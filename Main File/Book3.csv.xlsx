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f1c41580c55a67f5/Desktop/Excel/Practicle Exam (Excel)/Main File/"/>
    </mc:Choice>
  </mc:AlternateContent>
  <xr:revisionPtr revIDLastSave="169" documentId="13_ncr:1_{D7952C35-DB25-4A11-907C-98D31C41ADAC}" xr6:coauthVersionLast="47" xr6:coauthVersionMax="47" xr10:uidLastSave="{44EB9DAB-C5CD-4151-9B32-C22F74ED021C}"/>
  <bookViews>
    <workbookView xWindow="-108" yWindow="-108" windowWidth="23256" windowHeight="13176" activeTab="2" xr2:uid="{B2765344-F791-492E-9C8A-030202924C93}"/>
  </bookViews>
  <sheets>
    <sheet name="Dashboard" sheetId="1" r:id="rId1"/>
    <sheet name="Pivort Tables" sheetId="2" r:id="rId2"/>
    <sheet name="Queries-Output" sheetId="3" r:id="rId3"/>
    <sheet name="Database" sheetId="4" r:id="rId4"/>
  </sheets>
  <externalReferences>
    <externalReference r:id="rId5"/>
  </externalReferences>
  <definedNames>
    <definedName name="Slicer_Destination">#N/A</definedName>
    <definedName name="Slicer_RouteCode">#N/A</definedName>
  </definedNames>
  <calcPr calcId="191029"/>
  <pivotCaches>
    <pivotCache cacheId="2" r:id="rId6"/>
    <pivotCache cacheId="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3" i="1" l="1"/>
  <c r="G3" i="1"/>
  <c r="D3" i="1"/>
  <c r="A3" i="1"/>
  <c r="P5" i="4"/>
  <c r="P13" i="4"/>
  <c r="P34" i="4"/>
  <c r="P32" i="4"/>
  <c r="P37" i="4"/>
  <c r="P92" i="4"/>
  <c r="P88" i="4"/>
  <c r="P72" i="4"/>
  <c r="P79" i="4"/>
  <c r="N3" i="4"/>
  <c r="N2"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L1001" i="4"/>
  <c r="M1001" i="4"/>
  <c r="M1000" i="4"/>
  <c r="L1000" i="4"/>
  <c r="M999" i="4"/>
  <c r="L999" i="4"/>
  <c r="M998" i="4"/>
  <c r="L998" i="4"/>
  <c r="M997" i="4"/>
  <c r="L997" i="4"/>
  <c r="M996" i="4"/>
  <c r="L996" i="4"/>
  <c r="M995" i="4"/>
  <c r="L995" i="4"/>
  <c r="M994" i="4"/>
  <c r="L994" i="4"/>
  <c r="M993" i="4"/>
  <c r="L993" i="4"/>
  <c r="M992" i="4"/>
  <c r="L992" i="4"/>
  <c r="M991" i="4"/>
  <c r="L991" i="4"/>
  <c r="M990" i="4"/>
  <c r="L990" i="4"/>
  <c r="M989" i="4"/>
  <c r="L989" i="4"/>
  <c r="M988" i="4"/>
  <c r="L988" i="4"/>
  <c r="M987" i="4"/>
  <c r="L987" i="4"/>
  <c r="M986" i="4"/>
  <c r="L986" i="4"/>
  <c r="M985" i="4"/>
  <c r="L985" i="4"/>
  <c r="M984" i="4"/>
  <c r="L984" i="4"/>
  <c r="M983" i="4"/>
  <c r="L983" i="4"/>
  <c r="M982" i="4"/>
  <c r="L982" i="4"/>
  <c r="M981" i="4"/>
  <c r="L981" i="4"/>
  <c r="M980" i="4"/>
  <c r="L980" i="4"/>
  <c r="M979" i="4"/>
  <c r="L979" i="4"/>
  <c r="M978" i="4"/>
  <c r="L978" i="4"/>
  <c r="M977" i="4"/>
  <c r="L977" i="4"/>
  <c r="M976" i="4"/>
  <c r="L976" i="4"/>
  <c r="M975" i="4"/>
  <c r="L975" i="4"/>
  <c r="M974" i="4"/>
  <c r="L974" i="4"/>
  <c r="M973" i="4"/>
  <c r="L973" i="4"/>
  <c r="M972" i="4"/>
  <c r="L972" i="4"/>
  <c r="M971" i="4"/>
  <c r="L971" i="4"/>
  <c r="M970" i="4"/>
  <c r="L970" i="4"/>
  <c r="M969" i="4"/>
  <c r="L969" i="4"/>
  <c r="M968" i="4"/>
  <c r="L968" i="4"/>
  <c r="M967" i="4"/>
  <c r="L967" i="4"/>
  <c r="M966" i="4"/>
  <c r="L966" i="4"/>
  <c r="M965" i="4"/>
  <c r="L965" i="4"/>
  <c r="M964" i="4"/>
  <c r="L964" i="4"/>
  <c r="M963" i="4"/>
  <c r="L963" i="4"/>
  <c r="M962" i="4"/>
  <c r="L962" i="4"/>
  <c r="M961" i="4"/>
  <c r="L961" i="4"/>
  <c r="M960" i="4"/>
  <c r="L960" i="4"/>
  <c r="M959" i="4"/>
  <c r="L959" i="4"/>
  <c r="M958" i="4"/>
  <c r="L958" i="4"/>
  <c r="M957" i="4"/>
  <c r="L957" i="4"/>
  <c r="M956" i="4"/>
  <c r="L956" i="4"/>
  <c r="M955" i="4"/>
  <c r="L955" i="4"/>
  <c r="M954" i="4"/>
  <c r="L954" i="4"/>
  <c r="M953" i="4"/>
  <c r="L953" i="4"/>
  <c r="M952" i="4"/>
  <c r="L952" i="4"/>
  <c r="M951" i="4"/>
  <c r="L951" i="4"/>
  <c r="M950" i="4"/>
  <c r="L950" i="4"/>
  <c r="M949" i="4"/>
  <c r="L949" i="4"/>
  <c r="M948" i="4"/>
  <c r="L948" i="4"/>
  <c r="M947" i="4"/>
  <c r="L947" i="4"/>
  <c r="M946" i="4"/>
  <c r="L946" i="4"/>
  <c r="M945" i="4"/>
  <c r="L945" i="4"/>
  <c r="M944" i="4"/>
  <c r="L944" i="4"/>
  <c r="M943" i="4"/>
  <c r="L943" i="4"/>
  <c r="M942" i="4"/>
  <c r="L942" i="4"/>
  <c r="M941" i="4"/>
  <c r="L941" i="4"/>
  <c r="M940" i="4"/>
  <c r="L940" i="4"/>
  <c r="M939" i="4"/>
  <c r="L939" i="4"/>
  <c r="M938" i="4"/>
  <c r="L938" i="4"/>
  <c r="M937" i="4"/>
  <c r="L937" i="4"/>
  <c r="M936" i="4"/>
  <c r="L936" i="4"/>
  <c r="M935" i="4"/>
  <c r="L935" i="4"/>
  <c r="M934" i="4"/>
  <c r="L934" i="4"/>
  <c r="M933" i="4"/>
  <c r="L933" i="4"/>
  <c r="M932" i="4"/>
  <c r="L932" i="4"/>
  <c r="M931" i="4"/>
  <c r="L931" i="4"/>
  <c r="M930" i="4"/>
  <c r="L930" i="4"/>
  <c r="M929" i="4"/>
  <c r="L929" i="4"/>
  <c r="M928" i="4"/>
  <c r="L928" i="4"/>
  <c r="M927" i="4"/>
  <c r="L927" i="4"/>
  <c r="M926" i="4"/>
  <c r="L926" i="4"/>
  <c r="M925" i="4"/>
  <c r="L925" i="4"/>
  <c r="M924" i="4"/>
  <c r="L924" i="4"/>
  <c r="M923" i="4"/>
  <c r="L923" i="4"/>
  <c r="M922" i="4"/>
  <c r="L922" i="4"/>
  <c r="M921" i="4"/>
  <c r="L921" i="4"/>
  <c r="M920" i="4"/>
  <c r="L920" i="4"/>
  <c r="M919" i="4"/>
  <c r="L919" i="4"/>
  <c r="M918" i="4"/>
  <c r="L918" i="4"/>
  <c r="M917" i="4"/>
  <c r="L917" i="4"/>
  <c r="M916" i="4"/>
  <c r="L916" i="4"/>
  <c r="M915" i="4"/>
  <c r="L915" i="4"/>
  <c r="M914" i="4"/>
  <c r="L914" i="4"/>
  <c r="M913" i="4"/>
  <c r="L913" i="4"/>
  <c r="M912" i="4"/>
  <c r="L912" i="4"/>
  <c r="M911" i="4"/>
  <c r="L911" i="4"/>
  <c r="M910" i="4"/>
  <c r="L910" i="4"/>
  <c r="M909" i="4"/>
  <c r="L909" i="4"/>
  <c r="M908" i="4"/>
  <c r="L908" i="4"/>
  <c r="M907" i="4"/>
  <c r="L907" i="4"/>
  <c r="M906" i="4"/>
  <c r="L906" i="4"/>
  <c r="M905" i="4"/>
  <c r="L905" i="4"/>
  <c r="M904" i="4"/>
  <c r="L904" i="4"/>
  <c r="M903" i="4"/>
  <c r="L903" i="4"/>
  <c r="M902" i="4"/>
  <c r="L902" i="4"/>
  <c r="M901" i="4"/>
  <c r="L901" i="4"/>
  <c r="M900" i="4"/>
  <c r="L900" i="4"/>
  <c r="M899" i="4"/>
  <c r="L899" i="4"/>
  <c r="M898" i="4"/>
  <c r="L898" i="4"/>
  <c r="M897" i="4"/>
  <c r="L897" i="4"/>
  <c r="M896" i="4"/>
  <c r="L896" i="4"/>
  <c r="M895" i="4"/>
  <c r="L895" i="4"/>
  <c r="M894" i="4"/>
  <c r="L894" i="4"/>
  <c r="M893" i="4"/>
  <c r="L893" i="4"/>
  <c r="M892" i="4"/>
  <c r="L892" i="4"/>
  <c r="M891" i="4"/>
  <c r="L891" i="4"/>
  <c r="M890" i="4"/>
  <c r="L890" i="4"/>
  <c r="M889" i="4"/>
  <c r="L889" i="4"/>
  <c r="M888" i="4"/>
  <c r="L888" i="4"/>
  <c r="M887" i="4"/>
  <c r="L887" i="4"/>
  <c r="M886" i="4"/>
  <c r="L886" i="4"/>
  <c r="M885" i="4"/>
  <c r="L885" i="4"/>
  <c r="M884" i="4"/>
  <c r="L884" i="4"/>
  <c r="M883" i="4"/>
  <c r="L883" i="4"/>
  <c r="M882" i="4"/>
  <c r="L882" i="4"/>
  <c r="M881" i="4"/>
  <c r="L881" i="4"/>
  <c r="M880" i="4"/>
  <c r="L880" i="4"/>
  <c r="M879" i="4"/>
  <c r="L879" i="4"/>
  <c r="M878" i="4"/>
  <c r="L878" i="4"/>
  <c r="M877" i="4"/>
  <c r="L877" i="4"/>
  <c r="M876" i="4"/>
  <c r="L876" i="4"/>
  <c r="M875" i="4"/>
  <c r="L875" i="4"/>
  <c r="M874" i="4"/>
  <c r="L874" i="4"/>
  <c r="M873" i="4"/>
  <c r="L873" i="4"/>
  <c r="M872" i="4"/>
  <c r="L872" i="4"/>
  <c r="M871" i="4"/>
  <c r="L871" i="4"/>
  <c r="M870" i="4"/>
  <c r="L870" i="4"/>
  <c r="M869" i="4"/>
  <c r="L869" i="4"/>
  <c r="M868" i="4"/>
  <c r="L868" i="4"/>
  <c r="M867" i="4"/>
  <c r="L867" i="4"/>
  <c r="M866" i="4"/>
  <c r="L866" i="4"/>
  <c r="M865" i="4"/>
  <c r="L865" i="4"/>
  <c r="M864" i="4"/>
  <c r="L864" i="4"/>
  <c r="M863" i="4"/>
  <c r="L863" i="4"/>
  <c r="M862" i="4"/>
  <c r="L862" i="4"/>
  <c r="M861" i="4"/>
  <c r="L861" i="4"/>
  <c r="M860" i="4"/>
  <c r="L860" i="4"/>
  <c r="M859" i="4"/>
  <c r="L859" i="4"/>
  <c r="M858" i="4"/>
  <c r="L858" i="4"/>
  <c r="M857" i="4"/>
  <c r="L857" i="4"/>
  <c r="M856" i="4"/>
  <c r="L856" i="4"/>
  <c r="M855" i="4"/>
  <c r="L855" i="4"/>
  <c r="M854" i="4"/>
  <c r="L854" i="4"/>
  <c r="M853" i="4"/>
  <c r="L853" i="4"/>
  <c r="M852" i="4"/>
  <c r="L852" i="4"/>
  <c r="M851" i="4"/>
  <c r="L851" i="4"/>
  <c r="M850" i="4"/>
  <c r="L850" i="4"/>
  <c r="M849" i="4"/>
  <c r="L849" i="4"/>
  <c r="M848" i="4"/>
  <c r="L848" i="4"/>
  <c r="M847" i="4"/>
  <c r="L847" i="4"/>
  <c r="M846" i="4"/>
  <c r="L846" i="4"/>
  <c r="M845" i="4"/>
  <c r="L845" i="4"/>
  <c r="M844" i="4"/>
  <c r="L844" i="4"/>
  <c r="M843" i="4"/>
  <c r="L843" i="4"/>
  <c r="M842" i="4"/>
  <c r="L842" i="4"/>
  <c r="M841" i="4"/>
  <c r="L841" i="4"/>
  <c r="M840" i="4"/>
  <c r="L840" i="4"/>
  <c r="M839" i="4"/>
  <c r="L839" i="4"/>
  <c r="M838" i="4"/>
  <c r="L838" i="4"/>
  <c r="M837" i="4"/>
  <c r="L837" i="4"/>
  <c r="M836" i="4"/>
  <c r="L836" i="4"/>
  <c r="M835" i="4"/>
  <c r="L835" i="4"/>
  <c r="M834" i="4"/>
  <c r="L834" i="4"/>
  <c r="M833" i="4"/>
  <c r="L833" i="4"/>
  <c r="M832" i="4"/>
  <c r="L832" i="4"/>
  <c r="M831" i="4"/>
  <c r="L831" i="4"/>
  <c r="M830" i="4"/>
  <c r="L830" i="4"/>
  <c r="M829" i="4"/>
  <c r="L829" i="4"/>
  <c r="M828" i="4"/>
  <c r="L828" i="4"/>
  <c r="M827" i="4"/>
  <c r="L827" i="4"/>
  <c r="M826" i="4"/>
  <c r="L826" i="4"/>
  <c r="M825" i="4"/>
  <c r="L825" i="4"/>
  <c r="M824" i="4"/>
  <c r="L824" i="4"/>
  <c r="M823" i="4"/>
  <c r="L823" i="4"/>
  <c r="M822" i="4"/>
  <c r="L822" i="4"/>
  <c r="M821" i="4"/>
  <c r="L821" i="4"/>
  <c r="M820" i="4"/>
  <c r="L820" i="4"/>
  <c r="M819" i="4"/>
  <c r="L819" i="4"/>
  <c r="M818" i="4"/>
  <c r="L818" i="4"/>
  <c r="M817" i="4"/>
  <c r="L817" i="4"/>
  <c r="M816" i="4"/>
  <c r="L816" i="4"/>
  <c r="M815" i="4"/>
  <c r="L815" i="4"/>
  <c r="M814" i="4"/>
  <c r="L814" i="4"/>
  <c r="M813" i="4"/>
  <c r="L813" i="4"/>
  <c r="M812" i="4"/>
  <c r="L812" i="4"/>
  <c r="M811" i="4"/>
  <c r="L811" i="4"/>
  <c r="M810" i="4"/>
  <c r="L810" i="4"/>
  <c r="M809" i="4"/>
  <c r="L809" i="4"/>
  <c r="M808" i="4"/>
  <c r="L808" i="4"/>
  <c r="M807" i="4"/>
  <c r="L807" i="4"/>
  <c r="M806" i="4"/>
  <c r="L806" i="4"/>
  <c r="M805" i="4"/>
  <c r="L805" i="4"/>
  <c r="M804" i="4"/>
  <c r="L804" i="4"/>
  <c r="M803" i="4"/>
  <c r="L803" i="4"/>
  <c r="M802" i="4"/>
  <c r="L802" i="4"/>
  <c r="M801" i="4"/>
  <c r="L801" i="4"/>
  <c r="M800" i="4"/>
  <c r="L800" i="4"/>
  <c r="M799" i="4"/>
  <c r="L799" i="4"/>
  <c r="M798" i="4"/>
  <c r="L798" i="4"/>
  <c r="M797" i="4"/>
  <c r="L797" i="4"/>
  <c r="M796" i="4"/>
  <c r="L796" i="4"/>
  <c r="M795" i="4"/>
  <c r="L795" i="4"/>
  <c r="M794" i="4"/>
  <c r="L794" i="4"/>
  <c r="M793" i="4"/>
  <c r="L793" i="4"/>
  <c r="M792" i="4"/>
  <c r="L792" i="4"/>
  <c r="M791" i="4"/>
  <c r="L791" i="4"/>
  <c r="M790" i="4"/>
  <c r="L790" i="4"/>
  <c r="M789" i="4"/>
  <c r="L789" i="4"/>
  <c r="M788" i="4"/>
  <c r="L788" i="4"/>
  <c r="M787" i="4"/>
  <c r="L787" i="4"/>
  <c r="M786" i="4"/>
  <c r="L786" i="4"/>
  <c r="M785" i="4"/>
  <c r="L785" i="4"/>
  <c r="M784" i="4"/>
  <c r="L784" i="4"/>
  <c r="M783" i="4"/>
  <c r="L783" i="4"/>
  <c r="M782" i="4"/>
  <c r="L782" i="4"/>
  <c r="M781" i="4"/>
  <c r="L781" i="4"/>
  <c r="M780" i="4"/>
  <c r="L780" i="4"/>
  <c r="M779" i="4"/>
  <c r="L779" i="4"/>
  <c r="M778" i="4"/>
  <c r="L778" i="4"/>
  <c r="M777" i="4"/>
  <c r="L777" i="4"/>
  <c r="M776" i="4"/>
  <c r="L776" i="4"/>
  <c r="M775" i="4"/>
  <c r="L775" i="4"/>
  <c r="M774" i="4"/>
  <c r="L774" i="4"/>
  <c r="M773" i="4"/>
  <c r="L773" i="4"/>
  <c r="M772" i="4"/>
  <c r="L772" i="4"/>
  <c r="M771" i="4"/>
  <c r="L771" i="4"/>
  <c r="M770" i="4"/>
  <c r="L770" i="4"/>
  <c r="M769" i="4"/>
  <c r="L769" i="4"/>
  <c r="M768" i="4"/>
  <c r="L768" i="4"/>
  <c r="M767" i="4"/>
  <c r="L767" i="4"/>
  <c r="M766" i="4"/>
  <c r="L766" i="4"/>
  <c r="M765" i="4"/>
  <c r="L765" i="4"/>
  <c r="M764" i="4"/>
  <c r="L764" i="4"/>
  <c r="M763" i="4"/>
  <c r="L763" i="4"/>
  <c r="M762" i="4"/>
  <c r="L762" i="4"/>
  <c r="M761" i="4"/>
  <c r="L761" i="4"/>
  <c r="M760" i="4"/>
  <c r="L760" i="4"/>
  <c r="M759" i="4"/>
  <c r="L759" i="4"/>
  <c r="M758" i="4"/>
  <c r="L758" i="4"/>
  <c r="M757" i="4"/>
  <c r="L757" i="4"/>
  <c r="M756" i="4"/>
  <c r="L756" i="4"/>
  <c r="M755" i="4"/>
  <c r="L755" i="4"/>
  <c r="M754" i="4"/>
  <c r="L754" i="4"/>
  <c r="M753" i="4"/>
  <c r="L753" i="4"/>
  <c r="M752" i="4"/>
  <c r="L752" i="4"/>
  <c r="M751" i="4"/>
  <c r="L751" i="4"/>
  <c r="M750" i="4"/>
  <c r="L750" i="4"/>
  <c r="M749" i="4"/>
  <c r="L749" i="4"/>
  <c r="M748" i="4"/>
  <c r="L748" i="4"/>
  <c r="M747" i="4"/>
  <c r="L747" i="4"/>
  <c r="M746" i="4"/>
  <c r="L746" i="4"/>
  <c r="M745" i="4"/>
  <c r="L745" i="4"/>
  <c r="M744" i="4"/>
  <c r="L744" i="4"/>
  <c r="M743" i="4"/>
  <c r="L743" i="4"/>
  <c r="M742" i="4"/>
  <c r="L742" i="4"/>
  <c r="M741" i="4"/>
  <c r="L741" i="4"/>
  <c r="M740" i="4"/>
  <c r="L740" i="4"/>
  <c r="M739" i="4"/>
  <c r="L739" i="4"/>
  <c r="M738" i="4"/>
  <c r="L738" i="4"/>
  <c r="M737" i="4"/>
  <c r="L737" i="4"/>
  <c r="M736" i="4"/>
  <c r="L736" i="4"/>
  <c r="M735" i="4"/>
  <c r="L735" i="4"/>
  <c r="M734" i="4"/>
  <c r="L734" i="4"/>
  <c r="M733" i="4"/>
  <c r="L733" i="4"/>
  <c r="M732" i="4"/>
  <c r="L732" i="4"/>
  <c r="M731" i="4"/>
  <c r="L731" i="4"/>
  <c r="M730" i="4"/>
  <c r="L730" i="4"/>
  <c r="M729" i="4"/>
  <c r="L729" i="4"/>
  <c r="M728" i="4"/>
  <c r="L728" i="4"/>
  <c r="M727" i="4"/>
  <c r="L727" i="4"/>
  <c r="M726" i="4"/>
  <c r="L726" i="4"/>
  <c r="M725" i="4"/>
  <c r="L725" i="4"/>
  <c r="M724" i="4"/>
  <c r="L724" i="4"/>
  <c r="M723" i="4"/>
  <c r="L723" i="4"/>
  <c r="M722" i="4"/>
  <c r="L722" i="4"/>
  <c r="M721" i="4"/>
  <c r="L721" i="4"/>
  <c r="M720" i="4"/>
  <c r="L720" i="4"/>
  <c r="M719" i="4"/>
  <c r="L719" i="4"/>
  <c r="M718" i="4"/>
  <c r="L718" i="4"/>
  <c r="M717" i="4"/>
  <c r="L717" i="4"/>
  <c r="M716" i="4"/>
  <c r="L716" i="4"/>
  <c r="M715" i="4"/>
  <c r="L715" i="4"/>
  <c r="M714" i="4"/>
  <c r="L714" i="4"/>
  <c r="M713" i="4"/>
  <c r="L713" i="4"/>
  <c r="M712" i="4"/>
  <c r="L712" i="4"/>
  <c r="M711" i="4"/>
  <c r="L711" i="4"/>
  <c r="M710" i="4"/>
  <c r="L710" i="4"/>
  <c r="M709" i="4"/>
  <c r="L709" i="4"/>
  <c r="M708" i="4"/>
  <c r="L708" i="4"/>
  <c r="M707" i="4"/>
  <c r="L707" i="4"/>
  <c r="M706" i="4"/>
  <c r="L706" i="4"/>
  <c r="M705" i="4"/>
  <c r="L705" i="4"/>
  <c r="M704" i="4"/>
  <c r="L704" i="4"/>
  <c r="M703" i="4"/>
  <c r="L703" i="4"/>
  <c r="M702" i="4"/>
  <c r="L702" i="4"/>
  <c r="M701" i="4"/>
  <c r="L701" i="4"/>
  <c r="M700" i="4"/>
  <c r="L700" i="4"/>
  <c r="M699" i="4"/>
  <c r="L699" i="4"/>
  <c r="M698" i="4"/>
  <c r="L698" i="4"/>
  <c r="M697" i="4"/>
  <c r="L697" i="4"/>
  <c r="M696" i="4"/>
  <c r="L696" i="4"/>
  <c r="M695" i="4"/>
  <c r="L695" i="4"/>
  <c r="M694" i="4"/>
  <c r="L694" i="4"/>
  <c r="M693" i="4"/>
  <c r="L693" i="4"/>
  <c r="M692" i="4"/>
  <c r="L692" i="4"/>
  <c r="M691" i="4"/>
  <c r="L691" i="4"/>
  <c r="M690" i="4"/>
  <c r="L690" i="4"/>
  <c r="M689" i="4"/>
  <c r="L689" i="4"/>
  <c r="M688" i="4"/>
  <c r="L688" i="4"/>
  <c r="M687" i="4"/>
  <c r="L687" i="4"/>
  <c r="M686" i="4"/>
  <c r="L686" i="4"/>
  <c r="M685" i="4"/>
  <c r="L685" i="4"/>
  <c r="M684" i="4"/>
  <c r="L684" i="4"/>
  <c r="M683" i="4"/>
  <c r="L683" i="4"/>
  <c r="M682" i="4"/>
  <c r="L682" i="4"/>
  <c r="M681" i="4"/>
  <c r="L681" i="4"/>
  <c r="M680" i="4"/>
  <c r="L680" i="4"/>
  <c r="M679" i="4"/>
  <c r="L679" i="4"/>
  <c r="M678" i="4"/>
  <c r="L678" i="4"/>
  <c r="M677" i="4"/>
  <c r="L677" i="4"/>
  <c r="M676" i="4"/>
  <c r="L676" i="4"/>
  <c r="M675" i="4"/>
  <c r="L675" i="4"/>
  <c r="M674" i="4"/>
  <c r="L674" i="4"/>
  <c r="M673" i="4"/>
  <c r="L673" i="4"/>
  <c r="M672" i="4"/>
  <c r="L672" i="4"/>
  <c r="M671" i="4"/>
  <c r="L671" i="4"/>
  <c r="M670" i="4"/>
  <c r="L670" i="4"/>
  <c r="M669" i="4"/>
  <c r="L669" i="4"/>
  <c r="M668" i="4"/>
  <c r="L668" i="4"/>
  <c r="M667" i="4"/>
  <c r="L667" i="4"/>
  <c r="M666" i="4"/>
  <c r="L666" i="4"/>
  <c r="M665" i="4"/>
  <c r="L665" i="4"/>
  <c r="M664" i="4"/>
  <c r="L664" i="4"/>
  <c r="M663" i="4"/>
  <c r="L663" i="4"/>
  <c r="M662" i="4"/>
  <c r="L662" i="4"/>
  <c r="M661" i="4"/>
  <c r="L661" i="4"/>
  <c r="M660" i="4"/>
  <c r="L660" i="4"/>
  <c r="M659" i="4"/>
  <c r="L659" i="4"/>
  <c r="M658" i="4"/>
  <c r="L658" i="4"/>
  <c r="M657" i="4"/>
  <c r="L657" i="4"/>
  <c r="M656" i="4"/>
  <c r="L656" i="4"/>
  <c r="M655" i="4"/>
  <c r="L655" i="4"/>
  <c r="M654" i="4"/>
  <c r="L654" i="4"/>
  <c r="M653" i="4"/>
  <c r="L653" i="4"/>
  <c r="M652" i="4"/>
  <c r="L652" i="4"/>
  <c r="M651" i="4"/>
  <c r="L651" i="4"/>
  <c r="M650" i="4"/>
  <c r="L650" i="4"/>
  <c r="M649" i="4"/>
  <c r="L649" i="4"/>
  <c r="M648" i="4"/>
  <c r="L648" i="4"/>
  <c r="M647" i="4"/>
  <c r="L647" i="4"/>
  <c r="M646" i="4"/>
  <c r="L646" i="4"/>
  <c r="M645" i="4"/>
  <c r="L645" i="4"/>
  <c r="M644" i="4"/>
  <c r="L644" i="4"/>
  <c r="M643" i="4"/>
  <c r="L643" i="4"/>
  <c r="M642" i="4"/>
  <c r="L642" i="4"/>
  <c r="M641" i="4"/>
  <c r="L641" i="4"/>
  <c r="M640" i="4"/>
  <c r="L640" i="4"/>
  <c r="M639" i="4"/>
  <c r="L639" i="4"/>
  <c r="M638" i="4"/>
  <c r="L638" i="4"/>
  <c r="M637" i="4"/>
  <c r="L637" i="4"/>
  <c r="M636" i="4"/>
  <c r="L636" i="4"/>
  <c r="M635" i="4"/>
  <c r="L635" i="4"/>
  <c r="M634" i="4"/>
  <c r="L634" i="4"/>
  <c r="M633" i="4"/>
  <c r="L633" i="4"/>
  <c r="M632" i="4"/>
  <c r="L632" i="4"/>
  <c r="M631" i="4"/>
  <c r="L631" i="4"/>
  <c r="M630" i="4"/>
  <c r="L630" i="4"/>
  <c r="M629" i="4"/>
  <c r="L629" i="4"/>
  <c r="M628" i="4"/>
  <c r="L628" i="4"/>
  <c r="M627" i="4"/>
  <c r="L627" i="4"/>
  <c r="M626" i="4"/>
  <c r="L626" i="4"/>
  <c r="M625" i="4"/>
  <c r="L625" i="4"/>
  <c r="M624" i="4"/>
  <c r="L624" i="4"/>
  <c r="M623" i="4"/>
  <c r="L623" i="4"/>
  <c r="M622" i="4"/>
  <c r="L622" i="4"/>
  <c r="M621" i="4"/>
  <c r="L621" i="4"/>
  <c r="M620" i="4"/>
  <c r="L620" i="4"/>
  <c r="M619" i="4"/>
  <c r="L619" i="4"/>
  <c r="M618" i="4"/>
  <c r="L618" i="4"/>
  <c r="M617" i="4"/>
  <c r="L617" i="4"/>
  <c r="M616" i="4"/>
  <c r="L616" i="4"/>
  <c r="M615" i="4"/>
  <c r="L615" i="4"/>
  <c r="M614" i="4"/>
  <c r="L614" i="4"/>
  <c r="M613" i="4"/>
  <c r="L613" i="4"/>
  <c r="M612" i="4"/>
  <c r="L612" i="4"/>
  <c r="M611" i="4"/>
  <c r="L611" i="4"/>
  <c r="M610" i="4"/>
  <c r="L610" i="4"/>
  <c r="M609" i="4"/>
  <c r="L609" i="4"/>
  <c r="M608" i="4"/>
  <c r="L608" i="4"/>
  <c r="M607" i="4"/>
  <c r="L607" i="4"/>
  <c r="M606" i="4"/>
  <c r="L606" i="4"/>
  <c r="M605" i="4"/>
  <c r="L605" i="4"/>
  <c r="M604" i="4"/>
  <c r="L604" i="4"/>
  <c r="M603" i="4"/>
  <c r="L603" i="4"/>
  <c r="M602" i="4"/>
  <c r="L602" i="4"/>
  <c r="M601" i="4"/>
  <c r="L601" i="4"/>
  <c r="M600" i="4"/>
  <c r="L600" i="4"/>
  <c r="M599" i="4"/>
  <c r="L599" i="4"/>
  <c r="M598" i="4"/>
  <c r="L598" i="4"/>
  <c r="M597" i="4"/>
  <c r="L597" i="4"/>
  <c r="M596" i="4"/>
  <c r="L596" i="4"/>
  <c r="M595" i="4"/>
  <c r="L595" i="4"/>
  <c r="M594" i="4"/>
  <c r="L594" i="4"/>
  <c r="M593" i="4"/>
  <c r="L593" i="4"/>
  <c r="M592" i="4"/>
  <c r="L592" i="4"/>
  <c r="M591" i="4"/>
  <c r="L591" i="4"/>
  <c r="M590" i="4"/>
  <c r="L590" i="4"/>
  <c r="M589" i="4"/>
  <c r="L589" i="4"/>
  <c r="M588" i="4"/>
  <c r="L588" i="4"/>
  <c r="M587" i="4"/>
  <c r="L587" i="4"/>
  <c r="M586" i="4"/>
  <c r="L586" i="4"/>
  <c r="M585" i="4"/>
  <c r="L585" i="4"/>
  <c r="M584" i="4"/>
  <c r="L584" i="4"/>
  <c r="M583" i="4"/>
  <c r="L583" i="4"/>
  <c r="M582" i="4"/>
  <c r="L582" i="4"/>
  <c r="M581" i="4"/>
  <c r="L581" i="4"/>
  <c r="M580" i="4"/>
  <c r="L580" i="4"/>
  <c r="M579" i="4"/>
  <c r="L579" i="4"/>
  <c r="M578" i="4"/>
  <c r="L578" i="4"/>
  <c r="M577" i="4"/>
  <c r="L577" i="4"/>
  <c r="M576" i="4"/>
  <c r="L576" i="4"/>
  <c r="M575" i="4"/>
  <c r="L575" i="4"/>
  <c r="M574" i="4"/>
  <c r="L574" i="4"/>
  <c r="M573" i="4"/>
  <c r="L573" i="4"/>
  <c r="M572" i="4"/>
  <c r="L572" i="4"/>
  <c r="M571" i="4"/>
  <c r="L571" i="4"/>
  <c r="M570" i="4"/>
  <c r="L570" i="4"/>
  <c r="M569" i="4"/>
  <c r="L569" i="4"/>
  <c r="M568" i="4"/>
  <c r="L568" i="4"/>
  <c r="M567" i="4"/>
  <c r="L567" i="4"/>
  <c r="M566" i="4"/>
  <c r="L566" i="4"/>
  <c r="M565" i="4"/>
  <c r="L565" i="4"/>
  <c r="M564" i="4"/>
  <c r="L564" i="4"/>
  <c r="M563" i="4"/>
  <c r="L563" i="4"/>
  <c r="M562" i="4"/>
  <c r="L562" i="4"/>
  <c r="M561" i="4"/>
  <c r="L561" i="4"/>
  <c r="M560" i="4"/>
  <c r="L560" i="4"/>
  <c r="M559" i="4"/>
  <c r="L559" i="4"/>
  <c r="M558" i="4"/>
  <c r="L558" i="4"/>
  <c r="M557" i="4"/>
  <c r="L557" i="4"/>
  <c r="M556" i="4"/>
  <c r="L556" i="4"/>
  <c r="M555" i="4"/>
  <c r="L555" i="4"/>
  <c r="M554" i="4"/>
  <c r="L554" i="4"/>
  <c r="M553" i="4"/>
  <c r="L553" i="4"/>
  <c r="M552" i="4"/>
  <c r="L552" i="4"/>
  <c r="M551" i="4"/>
  <c r="L551" i="4"/>
  <c r="M550" i="4"/>
  <c r="L550" i="4"/>
  <c r="M549" i="4"/>
  <c r="L549" i="4"/>
  <c r="M548" i="4"/>
  <c r="L548" i="4"/>
  <c r="M547" i="4"/>
  <c r="L547" i="4"/>
  <c r="M546" i="4"/>
  <c r="L546" i="4"/>
  <c r="M545" i="4"/>
  <c r="L545" i="4"/>
  <c r="M544" i="4"/>
  <c r="L544" i="4"/>
  <c r="M543" i="4"/>
  <c r="L543" i="4"/>
  <c r="M542" i="4"/>
  <c r="L542" i="4"/>
  <c r="M541" i="4"/>
  <c r="L541" i="4"/>
  <c r="M540" i="4"/>
  <c r="L540" i="4"/>
  <c r="M539" i="4"/>
  <c r="L539" i="4"/>
  <c r="M538" i="4"/>
  <c r="L538" i="4"/>
  <c r="M537" i="4"/>
  <c r="L537" i="4"/>
  <c r="M536" i="4"/>
  <c r="L536" i="4"/>
  <c r="M535" i="4"/>
  <c r="L535" i="4"/>
  <c r="M534" i="4"/>
  <c r="L534" i="4"/>
  <c r="M533" i="4"/>
  <c r="L533" i="4"/>
  <c r="M532" i="4"/>
  <c r="L532" i="4"/>
  <c r="M531" i="4"/>
  <c r="L531" i="4"/>
  <c r="M530" i="4"/>
  <c r="L530" i="4"/>
  <c r="M529" i="4"/>
  <c r="L529" i="4"/>
  <c r="M528" i="4"/>
  <c r="L528" i="4"/>
  <c r="M527" i="4"/>
  <c r="L527" i="4"/>
  <c r="M526" i="4"/>
  <c r="L526" i="4"/>
  <c r="M525" i="4"/>
  <c r="L525" i="4"/>
  <c r="M524" i="4"/>
  <c r="L524" i="4"/>
  <c r="M523" i="4"/>
  <c r="L523" i="4"/>
  <c r="M522" i="4"/>
  <c r="L522" i="4"/>
  <c r="M521" i="4"/>
  <c r="L521" i="4"/>
  <c r="M520" i="4"/>
  <c r="L520" i="4"/>
  <c r="M519" i="4"/>
  <c r="L519" i="4"/>
  <c r="M518" i="4"/>
  <c r="L518" i="4"/>
  <c r="M517" i="4"/>
  <c r="L517" i="4"/>
  <c r="M516" i="4"/>
  <c r="L516" i="4"/>
  <c r="M515" i="4"/>
  <c r="L515" i="4"/>
  <c r="M514" i="4"/>
  <c r="L514" i="4"/>
  <c r="M513" i="4"/>
  <c r="L513" i="4"/>
  <c r="M512" i="4"/>
  <c r="L512" i="4"/>
  <c r="M511" i="4"/>
  <c r="L511" i="4"/>
  <c r="M510" i="4"/>
  <c r="L510" i="4"/>
  <c r="M509" i="4"/>
  <c r="L509" i="4"/>
  <c r="M508" i="4"/>
  <c r="L508" i="4"/>
  <c r="M507" i="4"/>
  <c r="L507" i="4"/>
  <c r="M506" i="4"/>
  <c r="L506" i="4"/>
  <c r="M505" i="4"/>
  <c r="L505" i="4"/>
  <c r="M504" i="4"/>
  <c r="L504" i="4"/>
  <c r="M503" i="4"/>
  <c r="L503" i="4"/>
  <c r="M502" i="4"/>
  <c r="L502" i="4"/>
  <c r="M501" i="4"/>
  <c r="L501" i="4"/>
  <c r="M500" i="4"/>
  <c r="L500" i="4"/>
  <c r="M499" i="4"/>
  <c r="L499" i="4"/>
  <c r="M498" i="4"/>
  <c r="L498" i="4"/>
  <c r="M497" i="4"/>
  <c r="L497" i="4"/>
  <c r="M496" i="4"/>
  <c r="L496" i="4"/>
  <c r="M495" i="4"/>
  <c r="L495" i="4"/>
  <c r="M494" i="4"/>
  <c r="L494" i="4"/>
  <c r="M493" i="4"/>
  <c r="L493" i="4"/>
  <c r="M492" i="4"/>
  <c r="L492" i="4"/>
  <c r="M491" i="4"/>
  <c r="L491" i="4"/>
  <c r="M490" i="4"/>
  <c r="L490" i="4"/>
  <c r="M489" i="4"/>
  <c r="L489" i="4"/>
  <c r="M488" i="4"/>
  <c r="L488" i="4"/>
  <c r="M487" i="4"/>
  <c r="L487" i="4"/>
  <c r="M486" i="4"/>
  <c r="L486" i="4"/>
  <c r="M485" i="4"/>
  <c r="L485" i="4"/>
  <c r="M484" i="4"/>
  <c r="L484" i="4"/>
  <c r="M483" i="4"/>
  <c r="L483" i="4"/>
  <c r="M482" i="4"/>
  <c r="L482" i="4"/>
  <c r="M481" i="4"/>
  <c r="L481" i="4"/>
  <c r="M480" i="4"/>
  <c r="L480" i="4"/>
  <c r="M479" i="4"/>
  <c r="L479" i="4"/>
  <c r="M478" i="4"/>
  <c r="L478" i="4"/>
  <c r="M477" i="4"/>
  <c r="L477" i="4"/>
  <c r="M476" i="4"/>
  <c r="L476" i="4"/>
  <c r="M475" i="4"/>
  <c r="L475" i="4"/>
  <c r="M474" i="4"/>
  <c r="L474" i="4"/>
  <c r="M473" i="4"/>
  <c r="L473" i="4"/>
  <c r="M472" i="4"/>
  <c r="L472" i="4"/>
  <c r="M471" i="4"/>
  <c r="L471" i="4"/>
  <c r="M470" i="4"/>
  <c r="L470" i="4"/>
  <c r="M469" i="4"/>
  <c r="L469" i="4"/>
  <c r="M468" i="4"/>
  <c r="L468" i="4"/>
  <c r="M467" i="4"/>
  <c r="L467" i="4"/>
  <c r="M466" i="4"/>
  <c r="L466" i="4"/>
  <c r="M465" i="4"/>
  <c r="L465" i="4"/>
  <c r="M464" i="4"/>
  <c r="L464" i="4"/>
  <c r="M463" i="4"/>
  <c r="L463" i="4"/>
  <c r="M462" i="4"/>
  <c r="L462" i="4"/>
  <c r="M461" i="4"/>
  <c r="L461" i="4"/>
  <c r="M460" i="4"/>
  <c r="L460" i="4"/>
  <c r="M459" i="4"/>
  <c r="L459" i="4"/>
  <c r="M458" i="4"/>
  <c r="L458" i="4"/>
  <c r="M457" i="4"/>
  <c r="L457" i="4"/>
  <c r="M456" i="4"/>
  <c r="L456" i="4"/>
  <c r="M455" i="4"/>
  <c r="L455" i="4"/>
  <c r="M454" i="4"/>
  <c r="L454" i="4"/>
  <c r="M453" i="4"/>
  <c r="L453" i="4"/>
  <c r="M452" i="4"/>
  <c r="L452" i="4"/>
  <c r="M451" i="4"/>
  <c r="L451" i="4"/>
  <c r="M450" i="4"/>
  <c r="L450" i="4"/>
  <c r="M449" i="4"/>
  <c r="L449" i="4"/>
  <c r="M448" i="4"/>
  <c r="L448" i="4"/>
  <c r="M447" i="4"/>
  <c r="L447" i="4"/>
  <c r="M446" i="4"/>
  <c r="L446" i="4"/>
  <c r="M445" i="4"/>
  <c r="L445" i="4"/>
  <c r="M444" i="4"/>
  <c r="L444" i="4"/>
  <c r="M443" i="4"/>
  <c r="L443" i="4"/>
  <c r="M442" i="4"/>
  <c r="L442" i="4"/>
  <c r="M441" i="4"/>
  <c r="L441" i="4"/>
  <c r="M440" i="4"/>
  <c r="L440" i="4"/>
  <c r="M439" i="4"/>
  <c r="L439" i="4"/>
  <c r="M438" i="4"/>
  <c r="L438" i="4"/>
  <c r="M437" i="4"/>
  <c r="L437" i="4"/>
  <c r="M436" i="4"/>
  <c r="L436" i="4"/>
  <c r="M435" i="4"/>
  <c r="L435" i="4"/>
  <c r="M434" i="4"/>
  <c r="L434" i="4"/>
  <c r="M433" i="4"/>
  <c r="L433" i="4"/>
  <c r="M432" i="4"/>
  <c r="L432" i="4"/>
  <c r="M431" i="4"/>
  <c r="L431" i="4"/>
  <c r="M430" i="4"/>
  <c r="L430" i="4"/>
  <c r="M429" i="4"/>
  <c r="L429" i="4"/>
  <c r="M428" i="4"/>
  <c r="L428" i="4"/>
  <c r="M427" i="4"/>
  <c r="L427" i="4"/>
  <c r="M426" i="4"/>
  <c r="L426" i="4"/>
  <c r="M425" i="4"/>
  <c r="L425" i="4"/>
  <c r="M424" i="4"/>
  <c r="L424" i="4"/>
  <c r="M423" i="4"/>
  <c r="L423" i="4"/>
  <c r="M422" i="4"/>
  <c r="L422" i="4"/>
  <c r="M421" i="4"/>
  <c r="L421" i="4"/>
  <c r="M420" i="4"/>
  <c r="L420" i="4"/>
  <c r="M419" i="4"/>
  <c r="L419" i="4"/>
  <c r="M418" i="4"/>
  <c r="L418" i="4"/>
  <c r="M417" i="4"/>
  <c r="L417" i="4"/>
  <c r="M416" i="4"/>
  <c r="L416" i="4"/>
  <c r="M415" i="4"/>
  <c r="L415" i="4"/>
  <c r="M414" i="4"/>
  <c r="L414" i="4"/>
  <c r="M413" i="4"/>
  <c r="L413" i="4"/>
  <c r="M412" i="4"/>
  <c r="L412" i="4"/>
  <c r="M411" i="4"/>
  <c r="L411" i="4"/>
  <c r="M410" i="4"/>
  <c r="L410" i="4"/>
  <c r="M409" i="4"/>
  <c r="L409" i="4"/>
  <c r="M408" i="4"/>
  <c r="L408" i="4"/>
  <c r="M407" i="4"/>
  <c r="L407" i="4"/>
  <c r="M406" i="4"/>
  <c r="L406" i="4"/>
  <c r="M405" i="4"/>
  <c r="L405" i="4"/>
  <c r="M404" i="4"/>
  <c r="L404" i="4"/>
  <c r="M403" i="4"/>
  <c r="L403" i="4"/>
  <c r="M402" i="4"/>
  <c r="L402" i="4"/>
  <c r="M401" i="4"/>
  <c r="L401" i="4"/>
  <c r="M400" i="4"/>
  <c r="L400" i="4"/>
  <c r="M399" i="4"/>
  <c r="L399" i="4"/>
  <c r="M398" i="4"/>
  <c r="L398" i="4"/>
  <c r="M397" i="4"/>
  <c r="L397" i="4"/>
  <c r="M396" i="4"/>
  <c r="L396" i="4"/>
  <c r="M395" i="4"/>
  <c r="L395" i="4"/>
  <c r="M394" i="4"/>
  <c r="L394" i="4"/>
  <c r="M393" i="4"/>
  <c r="L393" i="4"/>
  <c r="M392" i="4"/>
  <c r="L392" i="4"/>
  <c r="M391" i="4"/>
  <c r="L391" i="4"/>
  <c r="M390" i="4"/>
  <c r="L390" i="4"/>
  <c r="M389" i="4"/>
  <c r="L389" i="4"/>
  <c r="M388" i="4"/>
  <c r="L388" i="4"/>
  <c r="M387" i="4"/>
  <c r="L387" i="4"/>
  <c r="M386" i="4"/>
  <c r="L386" i="4"/>
  <c r="M385" i="4"/>
  <c r="L385" i="4"/>
  <c r="M384" i="4"/>
  <c r="L384" i="4"/>
  <c r="M383" i="4"/>
  <c r="L383" i="4"/>
  <c r="M382" i="4"/>
  <c r="L382" i="4"/>
  <c r="M381" i="4"/>
  <c r="L381" i="4"/>
  <c r="M380" i="4"/>
  <c r="L380" i="4"/>
  <c r="M379" i="4"/>
  <c r="L379" i="4"/>
  <c r="M378" i="4"/>
  <c r="L378" i="4"/>
  <c r="M377" i="4"/>
  <c r="L377" i="4"/>
  <c r="M376" i="4"/>
  <c r="L376" i="4"/>
  <c r="M375" i="4"/>
  <c r="L375" i="4"/>
  <c r="M374" i="4"/>
  <c r="L374" i="4"/>
  <c r="M373" i="4"/>
  <c r="L373" i="4"/>
  <c r="M372" i="4"/>
  <c r="L372" i="4"/>
  <c r="M371" i="4"/>
  <c r="L371" i="4"/>
  <c r="M370" i="4"/>
  <c r="L370" i="4"/>
  <c r="M369" i="4"/>
  <c r="L369" i="4"/>
  <c r="M368" i="4"/>
  <c r="L368" i="4"/>
  <c r="M367" i="4"/>
  <c r="L367" i="4"/>
  <c r="M366" i="4"/>
  <c r="L366" i="4"/>
  <c r="M365" i="4"/>
  <c r="L365" i="4"/>
  <c r="M364" i="4"/>
  <c r="L364" i="4"/>
  <c r="M363" i="4"/>
  <c r="L363" i="4"/>
  <c r="M362" i="4"/>
  <c r="L362" i="4"/>
  <c r="M361" i="4"/>
  <c r="L361" i="4"/>
  <c r="M360" i="4"/>
  <c r="L360" i="4"/>
  <c r="M359" i="4"/>
  <c r="L359" i="4"/>
  <c r="M358" i="4"/>
  <c r="L358" i="4"/>
  <c r="M357" i="4"/>
  <c r="L357" i="4"/>
  <c r="M356" i="4"/>
  <c r="L356" i="4"/>
  <c r="M355" i="4"/>
  <c r="L355" i="4"/>
  <c r="M354" i="4"/>
  <c r="L354" i="4"/>
  <c r="M353" i="4"/>
  <c r="L353" i="4"/>
  <c r="M352" i="4"/>
  <c r="L352" i="4"/>
  <c r="M351" i="4"/>
  <c r="L351" i="4"/>
  <c r="M350" i="4"/>
  <c r="L350" i="4"/>
  <c r="M349" i="4"/>
  <c r="L349" i="4"/>
  <c r="M348" i="4"/>
  <c r="L348" i="4"/>
  <c r="M347" i="4"/>
  <c r="L347" i="4"/>
  <c r="M346" i="4"/>
  <c r="L346" i="4"/>
  <c r="M345" i="4"/>
  <c r="L345" i="4"/>
  <c r="M344" i="4"/>
  <c r="L344" i="4"/>
  <c r="M343" i="4"/>
  <c r="L343" i="4"/>
  <c r="M342" i="4"/>
  <c r="L342" i="4"/>
  <c r="M341" i="4"/>
  <c r="L341" i="4"/>
  <c r="M340" i="4"/>
  <c r="L340" i="4"/>
  <c r="M339" i="4"/>
  <c r="L339" i="4"/>
  <c r="M338" i="4"/>
  <c r="L338" i="4"/>
  <c r="M337" i="4"/>
  <c r="L337" i="4"/>
  <c r="M336" i="4"/>
  <c r="L336" i="4"/>
  <c r="M335" i="4"/>
  <c r="L335" i="4"/>
  <c r="M334" i="4"/>
  <c r="L334" i="4"/>
  <c r="M333" i="4"/>
  <c r="L333" i="4"/>
  <c r="M332" i="4"/>
  <c r="L332" i="4"/>
  <c r="M331" i="4"/>
  <c r="L331" i="4"/>
  <c r="M330" i="4"/>
  <c r="L330" i="4"/>
  <c r="M329" i="4"/>
  <c r="L329" i="4"/>
  <c r="M328" i="4"/>
  <c r="L328" i="4"/>
  <c r="M327" i="4"/>
  <c r="L327" i="4"/>
  <c r="M326" i="4"/>
  <c r="L326" i="4"/>
  <c r="M325" i="4"/>
  <c r="L325" i="4"/>
  <c r="M324" i="4"/>
  <c r="L324" i="4"/>
  <c r="M323" i="4"/>
  <c r="L323" i="4"/>
  <c r="M322" i="4"/>
  <c r="L322" i="4"/>
  <c r="M321" i="4"/>
  <c r="L321" i="4"/>
  <c r="M320" i="4"/>
  <c r="L320" i="4"/>
  <c r="M319" i="4"/>
  <c r="L319" i="4"/>
  <c r="M318" i="4"/>
  <c r="L318" i="4"/>
  <c r="M317" i="4"/>
  <c r="L317" i="4"/>
  <c r="M316" i="4"/>
  <c r="L316" i="4"/>
  <c r="M315" i="4"/>
  <c r="L315" i="4"/>
  <c r="M314" i="4"/>
  <c r="L314" i="4"/>
  <c r="M313" i="4"/>
  <c r="L313" i="4"/>
  <c r="M312" i="4"/>
  <c r="L312" i="4"/>
  <c r="M311" i="4"/>
  <c r="L311" i="4"/>
  <c r="M310" i="4"/>
  <c r="L310" i="4"/>
  <c r="M309" i="4"/>
  <c r="L309" i="4"/>
  <c r="M308" i="4"/>
  <c r="L308" i="4"/>
  <c r="M307" i="4"/>
  <c r="L307" i="4"/>
  <c r="M306" i="4"/>
  <c r="L306" i="4"/>
  <c r="M305" i="4"/>
  <c r="L305" i="4"/>
  <c r="M304" i="4"/>
  <c r="L304" i="4"/>
  <c r="M303" i="4"/>
  <c r="L303" i="4"/>
  <c r="M302" i="4"/>
  <c r="L302" i="4"/>
  <c r="M301" i="4"/>
  <c r="L301" i="4"/>
  <c r="M300" i="4"/>
  <c r="L300" i="4"/>
  <c r="M299" i="4"/>
  <c r="L299" i="4"/>
  <c r="M298" i="4"/>
  <c r="L298" i="4"/>
  <c r="M297" i="4"/>
  <c r="L297" i="4"/>
  <c r="M296" i="4"/>
  <c r="L296" i="4"/>
  <c r="M295" i="4"/>
  <c r="L295" i="4"/>
  <c r="M294" i="4"/>
  <c r="L294" i="4"/>
  <c r="M293" i="4"/>
  <c r="L293" i="4"/>
  <c r="M292" i="4"/>
  <c r="L292" i="4"/>
  <c r="M291" i="4"/>
  <c r="L291" i="4"/>
  <c r="M290" i="4"/>
  <c r="L290" i="4"/>
  <c r="M289" i="4"/>
  <c r="L289" i="4"/>
  <c r="M288" i="4"/>
  <c r="L288" i="4"/>
  <c r="M287" i="4"/>
  <c r="L287" i="4"/>
  <c r="M286" i="4"/>
  <c r="L286" i="4"/>
  <c r="M285" i="4"/>
  <c r="L285" i="4"/>
  <c r="M284" i="4"/>
  <c r="L284" i="4"/>
  <c r="M283" i="4"/>
  <c r="L283" i="4"/>
  <c r="M282" i="4"/>
  <c r="L282" i="4"/>
  <c r="M281" i="4"/>
  <c r="L281" i="4"/>
  <c r="M280" i="4"/>
  <c r="L280" i="4"/>
  <c r="M279" i="4"/>
  <c r="L279" i="4"/>
  <c r="M278" i="4"/>
  <c r="L278" i="4"/>
  <c r="M277" i="4"/>
  <c r="L277" i="4"/>
  <c r="M276" i="4"/>
  <c r="L276" i="4"/>
  <c r="M275" i="4"/>
  <c r="L275" i="4"/>
  <c r="M274" i="4"/>
  <c r="L274" i="4"/>
  <c r="M273" i="4"/>
  <c r="L273" i="4"/>
  <c r="M272" i="4"/>
  <c r="L272" i="4"/>
  <c r="M271" i="4"/>
  <c r="L271" i="4"/>
  <c r="M270" i="4"/>
  <c r="L270" i="4"/>
  <c r="M269" i="4"/>
  <c r="L269" i="4"/>
  <c r="M268" i="4"/>
  <c r="L268" i="4"/>
  <c r="M267" i="4"/>
  <c r="L267" i="4"/>
  <c r="M266" i="4"/>
  <c r="L266" i="4"/>
  <c r="M265" i="4"/>
  <c r="L265" i="4"/>
  <c r="M264" i="4"/>
  <c r="L264" i="4"/>
  <c r="M263" i="4"/>
  <c r="L263" i="4"/>
  <c r="M262" i="4"/>
  <c r="L262" i="4"/>
  <c r="M261" i="4"/>
  <c r="L261" i="4"/>
  <c r="M260" i="4"/>
  <c r="L260" i="4"/>
  <c r="M259" i="4"/>
  <c r="L259" i="4"/>
  <c r="M258" i="4"/>
  <c r="L258" i="4"/>
  <c r="M257" i="4"/>
  <c r="L257" i="4"/>
  <c r="M256" i="4"/>
  <c r="L256" i="4"/>
  <c r="M255" i="4"/>
  <c r="L255" i="4"/>
  <c r="M254" i="4"/>
  <c r="L254" i="4"/>
  <c r="M253" i="4"/>
  <c r="L253" i="4"/>
  <c r="M252" i="4"/>
  <c r="L252" i="4"/>
  <c r="M251" i="4"/>
  <c r="L251" i="4"/>
  <c r="M250" i="4"/>
  <c r="L250" i="4"/>
  <c r="M249" i="4"/>
  <c r="L249" i="4"/>
  <c r="M248" i="4"/>
  <c r="L248" i="4"/>
  <c r="M247" i="4"/>
  <c r="L247" i="4"/>
  <c r="M246" i="4"/>
  <c r="L246" i="4"/>
  <c r="M245" i="4"/>
  <c r="L245" i="4"/>
  <c r="M244" i="4"/>
  <c r="L244" i="4"/>
  <c r="M243" i="4"/>
  <c r="L243" i="4"/>
  <c r="M242" i="4"/>
  <c r="L242" i="4"/>
  <c r="M241" i="4"/>
  <c r="L241" i="4"/>
  <c r="M240" i="4"/>
  <c r="L240" i="4"/>
  <c r="M239" i="4"/>
  <c r="L239" i="4"/>
  <c r="M238" i="4"/>
  <c r="L238" i="4"/>
  <c r="M237" i="4"/>
  <c r="L237" i="4"/>
  <c r="M236" i="4"/>
  <c r="L236" i="4"/>
  <c r="M235" i="4"/>
  <c r="L235" i="4"/>
  <c r="M234" i="4"/>
  <c r="L234" i="4"/>
  <c r="M233" i="4"/>
  <c r="L233" i="4"/>
  <c r="M232" i="4"/>
  <c r="L232" i="4"/>
  <c r="M231" i="4"/>
  <c r="L231" i="4"/>
  <c r="M230" i="4"/>
  <c r="L230" i="4"/>
  <c r="M229" i="4"/>
  <c r="L229" i="4"/>
  <c r="M228" i="4"/>
  <c r="L228" i="4"/>
  <c r="M227" i="4"/>
  <c r="L227" i="4"/>
  <c r="M226" i="4"/>
  <c r="L226" i="4"/>
  <c r="M225" i="4"/>
  <c r="L225" i="4"/>
  <c r="M224" i="4"/>
  <c r="L224" i="4"/>
  <c r="M223" i="4"/>
  <c r="L223" i="4"/>
  <c r="M222" i="4"/>
  <c r="L222" i="4"/>
  <c r="M221" i="4"/>
  <c r="L221" i="4"/>
  <c r="M220" i="4"/>
  <c r="L220" i="4"/>
  <c r="M219" i="4"/>
  <c r="L219" i="4"/>
  <c r="M218" i="4"/>
  <c r="L218" i="4"/>
  <c r="M217" i="4"/>
  <c r="L217" i="4"/>
  <c r="M216" i="4"/>
  <c r="L216" i="4"/>
  <c r="M215" i="4"/>
  <c r="L215" i="4"/>
  <c r="M214" i="4"/>
  <c r="L214" i="4"/>
  <c r="M213" i="4"/>
  <c r="L213" i="4"/>
  <c r="M212" i="4"/>
  <c r="L212" i="4"/>
  <c r="M211" i="4"/>
  <c r="L211" i="4"/>
  <c r="M210" i="4"/>
  <c r="L210" i="4"/>
  <c r="M209" i="4"/>
  <c r="L209" i="4"/>
  <c r="M208" i="4"/>
  <c r="L208" i="4"/>
  <c r="M207" i="4"/>
  <c r="L207" i="4"/>
  <c r="M206" i="4"/>
  <c r="L206" i="4"/>
  <c r="M205" i="4"/>
  <c r="L205" i="4"/>
  <c r="M204" i="4"/>
  <c r="L204" i="4"/>
  <c r="M203" i="4"/>
  <c r="L203" i="4"/>
  <c r="M202" i="4"/>
  <c r="L202" i="4"/>
  <c r="M201" i="4"/>
  <c r="L201" i="4"/>
  <c r="M200" i="4"/>
  <c r="L200" i="4"/>
  <c r="M199" i="4"/>
  <c r="L199" i="4"/>
  <c r="M198" i="4"/>
  <c r="L198" i="4"/>
  <c r="M197" i="4"/>
  <c r="L197" i="4"/>
  <c r="M196" i="4"/>
  <c r="L196" i="4"/>
  <c r="M195" i="4"/>
  <c r="L195" i="4"/>
  <c r="M194" i="4"/>
  <c r="L194" i="4"/>
  <c r="M193" i="4"/>
  <c r="L193" i="4"/>
  <c r="M192" i="4"/>
  <c r="L192" i="4"/>
  <c r="M191" i="4"/>
  <c r="L191" i="4"/>
  <c r="M190" i="4"/>
  <c r="L190" i="4"/>
  <c r="M189" i="4"/>
  <c r="L189" i="4"/>
  <c r="M188" i="4"/>
  <c r="L188" i="4"/>
  <c r="M187" i="4"/>
  <c r="L187" i="4"/>
  <c r="M186" i="4"/>
  <c r="L186" i="4"/>
  <c r="M185" i="4"/>
  <c r="L185" i="4"/>
  <c r="M184" i="4"/>
  <c r="L184" i="4"/>
  <c r="M183" i="4"/>
  <c r="L183" i="4"/>
  <c r="M182" i="4"/>
  <c r="L182" i="4"/>
  <c r="M181" i="4"/>
  <c r="L181" i="4"/>
  <c r="M180" i="4"/>
  <c r="L180" i="4"/>
  <c r="M179" i="4"/>
  <c r="L179" i="4"/>
  <c r="M178" i="4"/>
  <c r="L178" i="4"/>
  <c r="M177" i="4"/>
  <c r="L177" i="4"/>
  <c r="M176" i="4"/>
  <c r="L176" i="4"/>
  <c r="M175" i="4"/>
  <c r="L175" i="4"/>
  <c r="M174" i="4"/>
  <c r="L174" i="4"/>
  <c r="M173" i="4"/>
  <c r="L173" i="4"/>
  <c r="M172" i="4"/>
  <c r="L172" i="4"/>
  <c r="M171" i="4"/>
  <c r="L171" i="4"/>
  <c r="M170" i="4"/>
  <c r="L170" i="4"/>
  <c r="M169" i="4"/>
  <c r="L169" i="4"/>
  <c r="M168" i="4"/>
  <c r="L168" i="4"/>
  <c r="M167" i="4"/>
  <c r="L167" i="4"/>
  <c r="M166" i="4"/>
  <c r="L166" i="4"/>
  <c r="M165" i="4"/>
  <c r="L165" i="4"/>
  <c r="M164" i="4"/>
  <c r="L164" i="4"/>
  <c r="M163" i="4"/>
  <c r="L163" i="4"/>
  <c r="M162" i="4"/>
  <c r="L162" i="4"/>
  <c r="M161" i="4"/>
  <c r="L161" i="4"/>
  <c r="M160" i="4"/>
  <c r="L160" i="4"/>
  <c r="M159" i="4"/>
  <c r="L159" i="4"/>
  <c r="M158" i="4"/>
  <c r="L158" i="4"/>
  <c r="M157" i="4"/>
  <c r="L157" i="4"/>
  <c r="M156" i="4"/>
  <c r="L156" i="4"/>
  <c r="M155" i="4"/>
  <c r="L155" i="4"/>
  <c r="M154" i="4"/>
  <c r="L154" i="4"/>
  <c r="M153" i="4"/>
  <c r="L153" i="4"/>
  <c r="M152" i="4"/>
  <c r="L152" i="4"/>
  <c r="M151" i="4"/>
  <c r="L151" i="4"/>
  <c r="M150" i="4"/>
  <c r="L150" i="4"/>
  <c r="M149" i="4"/>
  <c r="L149" i="4"/>
  <c r="M148" i="4"/>
  <c r="L148" i="4"/>
  <c r="M147" i="4"/>
  <c r="L147" i="4"/>
  <c r="M146" i="4"/>
  <c r="L146" i="4"/>
  <c r="M145" i="4"/>
  <c r="L145" i="4"/>
  <c r="M144" i="4"/>
  <c r="L144" i="4"/>
  <c r="M143" i="4"/>
  <c r="L143" i="4"/>
  <c r="M142" i="4"/>
  <c r="L142" i="4"/>
  <c r="M141" i="4"/>
  <c r="L141" i="4"/>
  <c r="M140" i="4"/>
  <c r="L140" i="4"/>
  <c r="M139" i="4"/>
  <c r="L139" i="4"/>
  <c r="M138" i="4"/>
  <c r="L138" i="4"/>
  <c r="M137" i="4"/>
  <c r="L137" i="4"/>
  <c r="M136" i="4"/>
  <c r="L136" i="4"/>
  <c r="M135" i="4"/>
  <c r="L135" i="4"/>
  <c r="M134" i="4"/>
  <c r="L134" i="4"/>
  <c r="M133" i="4"/>
  <c r="L133" i="4"/>
  <c r="M132" i="4"/>
  <c r="L132" i="4"/>
  <c r="M131" i="4"/>
  <c r="L131" i="4"/>
  <c r="M130" i="4"/>
  <c r="L130" i="4"/>
  <c r="M129" i="4"/>
  <c r="L129" i="4"/>
  <c r="M128" i="4"/>
  <c r="L128" i="4"/>
  <c r="M127" i="4"/>
  <c r="L127" i="4"/>
  <c r="M126" i="4"/>
  <c r="L126" i="4"/>
  <c r="M125" i="4"/>
  <c r="L125" i="4"/>
  <c r="M124" i="4"/>
  <c r="L124" i="4"/>
  <c r="M123" i="4"/>
  <c r="L123" i="4"/>
  <c r="M122" i="4"/>
  <c r="L122" i="4"/>
  <c r="M121" i="4"/>
  <c r="L121" i="4"/>
  <c r="M120" i="4"/>
  <c r="L120" i="4"/>
  <c r="M119" i="4"/>
  <c r="L119" i="4"/>
  <c r="M118" i="4"/>
  <c r="L118" i="4"/>
  <c r="M117" i="4"/>
  <c r="L117" i="4"/>
  <c r="M116" i="4"/>
  <c r="L116" i="4"/>
  <c r="M115" i="4"/>
  <c r="L115" i="4"/>
  <c r="M114" i="4"/>
  <c r="L114" i="4"/>
  <c r="M113" i="4"/>
  <c r="L113" i="4"/>
  <c r="M112" i="4"/>
  <c r="L112" i="4"/>
  <c r="M111" i="4"/>
  <c r="L111" i="4"/>
  <c r="M110" i="4"/>
  <c r="L110" i="4"/>
  <c r="M109" i="4"/>
  <c r="L109" i="4"/>
  <c r="M108" i="4"/>
  <c r="L108" i="4"/>
  <c r="M107" i="4"/>
  <c r="L107" i="4"/>
  <c r="M106" i="4"/>
  <c r="L106" i="4"/>
  <c r="M105" i="4"/>
  <c r="L105" i="4"/>
  <c r="M104" i="4"/>
  <c r="L104" i="4"/>
  <c r="M103" i="4"/>
  <c r="L103" i="4"/>
  <c r="M102" i="4"/>
  <c r="L102" i="4"/>
  <c r="M101" i="4"/>
  <c r="L101" i="4"/>
  <c r="M100" i="4"/>
  <c r="L100" i="4"/>
  <c r="M99" i="4"/>
  <c r="L99" i="4"/>
  <c r="M98" i="4"/>
  <c r="L98" i="4"/>
  <c r="M97" i="4"/>
  <c r="L97" i="4"/>
  <c r="M96" i="4"/>
  <c r="L96" i="4"/>
  <c r="M95" i="4"/>
  <c r="L95" i="4"/>
  <c r="M94" i="4"/>
  <c r="L94" i="4"/>
  <c r="M93" i="4"/>
  <c r="L93" i="4"/>
  <c r="M92" i="4"/>
  <c r="L92" i="4"/>
  <c r="M91" i="4"/>
  <c r="L91" i="4"/>
  <c r="M90" i="4"/>
  <c r="L90" i="4"/>
  <c r="M89" i="4"/>
  <c r="L89" i="4"/>
  <c r="M88" i="4"/>
  <c r="L88" i="4"/>
  <c r="M87" i="4"/>
  <c r="L87" i="4"/>
  <c r="M86" i="4"/>
  <c r="L86" i="4"/>
  <c r="M85" i="4"/>
  <c r="L85" i="4"/>
  <c r="M84" i="4"/>
  <c r="L84" i="4"/>
  <c r="M83" i="4"/>
  <c r="L83" i="4"/>
  <c r="M82" i="4"/>
  <c r="L82" i="4"/>
  <c r="M81" i="4"/>
  <c r="L81" i="4"/>
  <c r="M80" i="4"/>
  <c r="L80" i="4"/>
  <c r="M79" i="4"/>
  <c r="L79" i="4"/>
  <c r="M78" i="4"/>
  <c r="L78" i="4"/>
  <c r="M77" i="4"/>
  <c r="L77" i="4"/>
  <c r="M76" i="4"/>
  <c r="L76" i="4"/>
  <c r="M75" i="4"/>
  <c r="L75" i="4"/>
  <c r="M74" i="4"/>
  <c r="L74" i="4"/>
  <c r="M73" i="4"/>
  <c r="L73" i="4"/>
  <c r="M72" i="4"/>
  <c r="L72" i="4"/>
  <c r="M71" i="4"/>
  <c r="L71" i="4"/>
  <c r="M70" i="4"/>
  <c r="L70" i="4"/>
  <c r="M69" i="4"/>
  <c r="L69" i="4"/>
  <c r="M68" i="4"/>
  <c r="L68" i="4"/>
  <c r="M67" i="4"/>
  <c r="L67" i="4"/>
  <c r="M66" i="4"/>
  <c r="L66" i="4"/>
  <c r="M65" i="4"/>
  <c r="L65" i="4"/>
  <c r="M64" i="4"/>
  <c r="L64" i="4"/>
  <c r="M63" i="4"/>
  <c r="L63" i="4"/>
  <c r="M62" i="4"/>
  <c r="L62" i="4"/>
  <c r="M61" i="4"/>
  <c r="L61" i="4"/>
  <c r="M60" i="4"/>
  <c r="L60" i="4"/>
  <c r="M59" i="4"/>
  <c r="L59" i="4"/>
  <c r="M58" i="4"/>
  <c r="L58" i="4"/>
  <c r="M57" i="4"/>
  <c r="L57" i="4"/>
  <c r="M56" i="4"/>
  <c r="L56" i="4"/>
  <c r="M55" i="4"/>
  <c r="L55" i="4"/>
  <c r="M54" i="4"/>
  <c r="L54" i="4"/>
  <c r="M53" i="4"/>
  <c r="L53" i="4"/>
  <c r="M52" i="4"/>
  <c r="L52" i="4"/>
  <c r="M51" i="4"/>
  <c r="L51" i="4"/>
  <c r="M50" i="4"/>
  <c r="L50" i="4"/>
  <c r="M49" i="4"/>
  <c r="L49" i="4"/>
  <c r="M48" i="4"/>
  <c r="L48" i="4"/>
  <c r="M47" i="4"/>
  <c r="L47" i="4"/>
  <c r="M46" i="4"/>
  <c r="L46" i="4"/>
  <c r="M45" i="4"/>
  <c r="L45" i="4"/>
  <c r="M44" i="4"/>
  <c r="L44" i="4"/>
  <c r="M43" i="4"/>
  <c r="L43" i="4"/>
  <c r="M42" i="4"/>
  <c r="L42" i="4"/>
  <c r="M41" i="4"/>
  <c r="L41" i="4"/>
  <c r="M40" i="4"/>
  <c r="L40" i="4"/>
  <c r="M39" i="4"/>
  <c r="L39" i="4"/>
  <c r="M38" i="4"/>
  <c r="L38" i="4"/>
  <c r="M37" i="4"/>
  <c r="L37" i="4"/>
  <c r="M36" i="4"/>
  <c r="L36" i="4"/>
  <c r="M35" i="4"/>
  <c r="L35" i="4"/>
  <c r="M34" i="4"/>
  <c r="L34" i="4"/>
  <c r="M33" i="4"/>
  <c r="L33" i="4"/>
  <c r="M32" i="4"/>
  <c r="L32" i="4"/>
  <c r="M31" i="4"/>
  <c r="L31" i="4"/>
  <c r="M30" i="4"/>
  <c r="L30" i="4"/>
  <c r="M29" i="4"/>
  <c r="L29" i="4"/>
  <c r="M28" i="4"/>
  <c r="L28" i="4"/>
  <c r="M27" i="4"/>
  <c r="L27" i="4"/>
  <c r="M26" i="4"/>
  <c r="L26" i="4"/>
  <c r="M25" i="4"/>
  <c r="L25" i="4"/>
  <c r="M24" i="4"/>
  <c r="L24" i="4"/>
  <c r="M23" i="4"/>
  <c r="L23" i="4"/>
  <c r="M22" i="4"/>
  <c r="L22" i="4"/>
  <c r="M21" i="4"/>
  <c r="L21" i="4"/>
  <c r="M20" i="4"/>
  <c r="L20" i="4"/>
  <c r="M19" i="4"/>
  <c r="L19" i="4"/>
  <c r="M18" i="4"/>
  <c r="L18" i="4"/>
  <c r="M17" i="4"/>
  <c r="L17" i="4"/>
  <c r="M16" i="4"/>
  <c r="L16" i="4"/>
  <c r="M15" i="4"/>
  <c r="L15" i="4"/>
  <c r="M14" i="4"/>
  <c r="L14" i="4"/>
  <c r="M13" i="4"/>
  <c r="L13" i="4"/>
  <c r="M12" i="4"/>
  <c r="L12" i="4"/>
  <c r="M11" i="4"/>
  <c r="L11" i="4"/>
  <c r="M10" i="4"/>
  <c r="L10" i="4"/>
  <c r="M9" i="4"/>
  <c r="L9" i="4"/>
  <c r="M8" i="4"/>
  <c r="L8" i="4"/>
  <c r="M7" i="4"/>
  <c r="L7" i="4"/>
  <c r="M6" i="4"/>
  <c r="L6" i="4"/>
  <c r="M5" i="4"/>
  <c r="L5" i="4"/>
  <c r="M4" i="4"/>
  <c r="L4" i="4"/>
  <c r="M3" i="4"/>
  <c r="L3" i="4"/>
  <c r="M2" i="4"/>
  <c r="L2" i="4"/>
  <c r="M3"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<sst xmlns="http://schemas.openxmlformats.org/spreadsheetml/2006/main" count="5538" uniqueCount="1159">
  <si>
    <t>Row Labels</t>
  </si>
  <si>
    <t>Sum of Revenue</t>
  </si>
  <si>
    <t>BLR-GOI</t>
  </si>
  <si>
    <t>DEL</t>
  </si>
  <si>
    <t>BLR-CCU</t>
  </si>
  <si>
    <t>DEL-BOM</t>
  </si>
  <si>
    <t>PNQ</t>
  </si>
  <si>
    <t>BLR-DEL</t>
  </si>
  <si>
    <t>DEL-GOI</t>
  </si>
  <si>
    <t>BLR</t>
  </si>
  <si>
    <t>HYD-AMD</t>
  </si>
  <si>
    <t>GOI</t>
  </si>
  <si>
    <t>CCU-DEL</t>
  </si>
  <si>
    <t>GOI-CCU</t>
  </si>
  <si>
    <t>AMD</t>
  </si>
  <si>
    <t>JAI</t>
  </si>
  <si>
    <t>PNQ-CCU</t>
  </si>
  <si>
    <t>HYD</t>
  </si>
  <si>
    <t>PNQ-AMD</t>
  </si>
  <si>
    <t>MAA</t>
  </si>
  <si>
    <t>BOM</t>
  </si>
  <si>
    <t>CCU</t>
  </si>
  <si>
    <t>Grand Total</t>
  </si>
  <si>
    <t>1. List top 10 most frequent routes based on number of flights.</t>
  </si>
  <si>
    <t>--  2.Calculate average revenue, cost, and profit per route.</t>
  </si>
  <si>
    <t>3.Identify underperforming routes where average profit is negative</t>
  </si>
  <si>
    <t>4.  Calculate seat occupancy % for each route.</t>
  </si>
  <si>
    <t>5.Extract monthly trend of profit per route.</t>
  </si>
  <si>
    <t>6.  Compare profitability of domestic vs international routes.</t>
  </si>
  <si>
    <t>7. Rank routes based on revenue per minute of flight duration.</t>
  </si>
  <si>
    <t>RouteCode</t>
  </si>
  <si>
    <t>BOM-DEL</t>
  </si>
  <si>
    <t>No Output</t>
  </si>
  <si>
    <t>CCU-JAI</t>
  </si>
  <si>
    <t>AMD-BLR</t>
  </si>
  <si>
    <t>International</t>
  </si>
  <si>
    <t>PNQ-GOI</t>
  </si>
  <si>
    <t>CCU-AMD</t>
  </si>
  <si>
    <t>GOI-JAI</t>
  </si>
  <si>
    <t>AMD-BOM</t>
  </si>
  <si>
    <t>AMD-HYD</t>
  </si>
  <si>
    <t>HYD-DEL</t>
  </si>
  <si>
    <t>AMD-JAI</t>
  </si>
  <si>
    <t>BLR-HYD</t>
  </si>
  <si>
    <t>AMD-CCU</t>
  </si>
  <si>
    <t>JAI-CCU</t>
  </si>
  <si>
    <t>DEL-JAI</t>
  </si>
  <si>
    <t>AMD-DEL</t>
  </si>
  <si>
    <t>DEL-PNQ</t>
  </si>
  <si>
    <t>BLR-PNQ</t>
  </si>
  <si>
    <t>AMD-GOI</t>
  </si>
  <si>
    <t>MAA-DEL</t>
  </si>
  <si>
    <t>CCU-HYD</t>
  </si>
  <si>
    <t>AMD-MAA</t>
  </si>
  <si>
    <t>BOM-HYD</t>
  </si>
  <si>
    <t>AMD-PNQ</t>
  </si>
  <si>
    <t>DEL-HYD</t>
  </si>
  <si>
    <t>GOI-AMD</t>
  </si>
  <si>
    <t>BLR-MAA</t>
  </si>
  <si>
    <t>BLR-AMD</t>
  </si>
  <si>
    <t>BLR-BOM</t>
  </si>
  <si>
    <t>CCU-PNQ</t>
  </si>
  <si>
    <t>PNQ-BLR</t>
  </si>
  <si>
    <t>JAI-AMD</t>
  </si>
  <si>
    <t>JAI-BOM</t>
  </si>
  <si>
    <t>PNQ-BOM</t>
  </si>
  <si>
    <t>PNQ-HYD</t>
  </si>
  <si>
    <t>BLR-JAI</t>
  </si>
  <si>
    <t>GOI-PNQ</t>
  </si>
  <si>
    <t>CCU-BOM</t>
  </si>
  <si>
    <t>GOI-HYD</t>
  </si>
  <si>
    <t>BOM-AMD</t>
  </si>
  <si>
    <t>HYD-BLR</t>
  </si>
  <si>
    <t>MAA-HYD</t>
  </si>
  <si>
    <t>BOM-BLR</t>
  </si>
  <si>
    <t>GOI-DEL</t>
  </si>
  <si>
    <t>BOM-CCU</t>
  </si>
  <si>
    <t>HYD-PNQ</t>
  </si>
  <si>
    <t>BOM-GOI</t>
  </si>
  <si>
    <t>CCU-MAA</t>
  </si>
  <si>
    <t>BOM-JAI</t>
  </si>
  <si>
    <t>JAI-BLR</t>
  </si>
  <si>
    <t>BOM-MAA</t>
  </si>
  <si>
    <t>GOI-BLR</t>
  </si>
  <si>
    <t>PNQ-DEL</t>
  </si>
  <si>
    <t>BOM-PNQ</t>
  </si>
  <si>
    <t>CCU-BLR</t>
  </si>
  <si>
    <t>MAA-BLR</t>
  </si>
  <si>
    <t>GOI-MAA</t>
  </si>
  <si>
    <t>CCU-GOI</t>
  </si>
  <si>
    <t>JAI-PNQ</t>
  </si>
  <si>
    <t>JAI-MAA</t>
  </si>
  <si>
    <t>MAA-PNQ</t>
  </si>
  <si>
    <t>DEL-BLR</t>
  </si>
  <si>
    <t>MAA-JAI</t>
  </si>
  <si>
    <t>DEL-AMD</t>
  </si>
  <si>
    <t>DEL-CCU</t>
  </si>
  <si>
    <t>PNQ-JAI</t>
  </si>
  <si>
    <t>DEL-MAA</t>
  </si>
  <si>
    <t>GOI-BOM</t>
  </si>
  <si>
    <t>MAA-BOM</t>
  </si>
  <si>
    <t>MAA-GOI</t>
  </si>
  <si>
    <t>PNQ-MAA</t>
  </si>
  <si>
    <t>HYD-BOM</t>
  </si>
  <si>
    <t>HYD-CCU</t>
  </si>
  <si>
    <t>HYD-GOI</t>
  </si>
  <si>
    <t>HYD-JAI</t>
  </si>
  <si>
    <t>HYD-MAA</t>
  </si>
  <si>
    <t>JAI-HYD</t>
  </si>
  <si>
    <t>MAA-CCU</t>
  </si>
  <si>
    <t>JAI-GOI</t>
  </si>
  <si>
    <t>JAI-DEL</t>
  </si>
  <si>
    <t>MAA-AMD</t>
  </si>
  <si>
    <t>Boeing 737</t>
  </si>
  <si>
    <t>FL00002</t>
  </si>
  <si>
    <t>FL00003</t>
  </si>
  <si>
    <t>Boeing 787</t>
  </si>
  <si>
    <t>FL00004</t>
  </si>
  <si>
    <t>Airbus A321</t>
  </si>
  <si>
    <t>FL00005</t>
  </si>
  <si>
    <t>ATR 72</t>
  </si>
  <si>
    <t>FL00006</t>
  </si>
  <si>
    <t>Airbus A320</t>
  </si>
  <si>
    <t>FL00007</t>
  </si>
  <si>
    <t>FL00008</t>
  </si>
  <si>
    <t>FL00009</t>
  </si>
  <si>
    <t>FL00010</t>
  </si>
  <si>
    <t>FL00011</t>
  </si>
  <si>
    <t>FL00012</t>
  </si>
  <si>
    <t>FL00013</t>
  </si>
  <si>
    <t>FL00014</t>
  </si>
  <si>
    <t>FL00015</t>
  </si>
  <si>
    <t>FL00016</t>
  </si>
  <si>
    <t>FL00017</t>
  </si>
  <si>
    <t>FL00018</t>
  </si>
  <si>
    <t>FL00019</t>
  </si>
  <si>
    <t>FL00020</t>
  </si>
  <si>
    <t>FL00021</t>
  </si>
  <si>
    <t>FL00022</t>
  </si>
  <si>
    <t>FL00023</t>
  </si>
  <si>
    <t>FL00024</t>
  </si>
  <si>
    <t>FL00025</t>
  </si>
  <si>
    <t>FL00026</t>
  </si>
  <si>
    <t>FL00027</t>
  </si>
  <si>
    <t>FL00028</t>
  </si>
  <si>
    <t>FL00029</t>
  </si>
  <si>
    <t>FL00030</t>
  </si>
  <si>
    <t>FL00031</t>
  </si>
  <si>
    <t>FL00032</t>
  </si>
  <si>
    <t>FL00033</t>
  </si>
  <si>
    <t>FL00034</t>
  </si>
  <si>
    <t>FL00035</t>
  </si>
  <si>
    <t>FL00036</t>
  </si>
  <si>
    <t>FL00037</t>
  </si>
  <si>
    <t>FL00038</t>
  </si>
  <si>
    <t>FL00039</t>
  </si>
  <si>
    <t>FL00040</t>
  </si>
  <si>
    <t>FL00041</t>
  </si>
  <si>
    <t>FL00042</t>
  </si>
  <si>
    <t>FL00043</t>
  </si>
  <si>
    <t>FL00044</t>
  </si>
  <si>
    <t>FL00045</t>
  </si>
  <si>
    <t>FL00046</t>
  </si>
  <si>
    <t>FL00047</t>
  </si>
  <si>
    <t>FL00048</t>
  </si>
  <si>
    <t>FL00049</t>
  </si>
  <si>
    <t>FL00050</t>
  </si>
  <si>
    <t>FL00051</t>
  </si>
  <si>
    <t>FL00052</t>
  </si>
  <si>
    <t>FL00053</t>
  </si>
  <si>
    <t>FL00054</t>
  </si>
  <si>
    <t>FL00055</t>
  </si>
  <si>
    <t>FL00056</t>
  </si>
  <si>
    <t>FL00057</t>
  </si>
  <si>
    <t>FL00058</t>
  </si>
  <si>
    <t>FL00059</t>
  </si>
  <si>
    <t>FL00060</t>
  </si>
  <si>
    <t>FL00061</t>
  </si>
  <si>
    <t>FL00062</t>
  </si>
  <si>
    <t>FL00063</t>
  </si>
  <si>
    <t>FL00064</t>
  </si>
  <si>
    <t>FL00065</t>
  </si>
  <si>
    <t>FL00066</t>
  </si>
  <si>
    <t>FL00067</t>
  </si>
  <si>
    <t>FL00068</t>
  </si>
  <si>
    <t>FL00069</t>
  </si>
  <si>
    <t>FL00070</t>
  </si>
  <si>
    <t>FL00071</t>
  </si>
  <si>
    <t>FL00072</t>
  </si>
  <si>
    <t>FL00073</t>
  </si>
  <si>
    <t>FL00074</t>
  </si>
  <si>
    <t>FL00075</t>
  </si>
  <si>
    <t>FL00076</t>
  </si>
  <si>
    <t>FL00077</t>
  </si>
  <si>
    <t>FL00078</t>
  </si>
  <si>
    <t>FL00079</t>
  </si>
  <si>
    <t>FL00080</t>
  </si>
  <si>
    <t>FL00081</t>
  </si>
  <si>
    <t>FL00082</t>
  </si>
  <si>
    <t>FL00083</t>
  </si>
  <si>
    <t>FL00084</t>
  </si>
  <si>
    <t>FL00085</t>
  </si>
  <si>
    <t>FL00086</t>
  </si>
  <si>
    <t>FL00087</t>
  </si>
  <si>
    <t>FL00088</t>
  </si>
  <si>
    <t>FL00089</t>
  </si>
  <si>
    <t>FL00090</t>
  </si>
  <si>
    <t>FL00091</t>
  </si>
  <si>
    <t>FL00092</t>
  </si>
  <si>
    <t>FL00093</t>
  </si>
  <si>
    <t>FL00094</t>
  </si>
  <si>
    <t>FL00095</t>
  </si>
  <si>
    <t>FL00096</t>
  </si>
  <si>
    <t>FL00097</t>
  </si>
  <si>
    <t>FL00098</t>
  </si>
  <si>
    <t>FL00099</t>
  </si>
  <si>
    <t>FL00100</t>
  </si>
  <si>
    <t>FL00101</t>
  </si>
  <si>
    <t>FL00102</t>
  </si>
  <si>
    <t>FL00103</t>
  </si>
  <si>
    <t>FL00104</t>
  </si>
  <si>
    <t>FL00105</t>
  </si>
  <si>
    <t>FL00106</t>
  </si>
  <si>
    <t>FL00107</t>
  </si>
  <si>
    <t>FL00108</t>
  </si>
  <si>
    <t>FL00109</t>
  </si>
  <si>
    <t>FL00110</t>
  </si>
  <si>
    <t>FL00111</t>
  </si>
  <si>
    <t>FL00112</t>
  </si>
  <si>
    <t>FL00113</t>
  </si>
  <si>
    <t>FL00114</t>
  </si>
  <si>
    <t>FL00115</t>
  </si>
  <si>
    <t>FL00116</t>
  </si>
  <si>
    <t>FL00117</t>
  </si>
  <si>
    <t>FL00118</t>
  </si>
  <si>
    <t>FL00119</t>
  </si>
  <si>
    <t>FL00120</t>
  </si>
  <si>
    <t>FL00121</t>
  </si>
  <si>
    <t>FL00122</t>
  </si>
  <si>
    <t>FL00123</t>
  </si>
  <si>
    <t>FL00124</t>
  </si>
  <si>
    <t>FL00125</t>
  </si>
  <si>
    <t>FL00126</t>
  </si>
  <si>
    <t>FL00127</t>
  </si>
  <si>
    <t>FL00128</t>
  </si>
  <si>
    <t>FL00129</t>
  </si>
  <si>
    <t>FL00130</t>
  </si>
  <si>
    <t>FL00131</t>
  </si>
  <si>
    <t>FL00132</t>
  </si>
  <si>
    <t>FL00133</t>
  </si>
  <si>
    <t>FL00134</t>
  </si>
  <si>
    <t>FL00135</t>
  </si>
  <si>
    <t>FL00136</t>
  </si>
  <si>
    <t>FL00137</t>
  </si>
  <si>
    <t>FL00138</t>
  </si>
  <si>
    <t>FL00139</t>
  </si>
  <si>
    <t>FL00140</t>
  </si>
  <si>
    <t>FL00141</t>
  </si>
  <si>
    <t>FL00142</t>
  </si>
  <si>
    <t>FL00143</t>
  </si>
  <si>
    <t>FL00144</t>
  </si>
  <si>
    <t>FL00145</t>
  </si>
  <si>
    <t>FL00146</t>
  </si>
  <si>
    <t>FL00147</t>
  </si>
  <si>
    <t>FL00148</t>
  </si>
  <si>
    <t>FL00149</t>
  </si>
  <si>
    <t>FL00150</t>
  </si>
  <si>
    <t>FL00151</t>
  </si>
  <si>
    <t>FL00152</t>
  </si>
  <si>
    <t>FL00153</t>
  </si>
  <si>
    <t>FL00154</t>
  </si>
  <si>
    <t>FL00155</t>
  </si>
  <si>
    <t>FL00156</t>
  </si>
  <si>
    <t>FL00157</t>
  </si>
  <si>
    <t>FL00158</t>
  </si>
  <si>
    <t>FL00159</t>
  </si>
  <si>
    <t>FL00160</t>
  </si>
  <si>
    <t>FL00161</t>
  </si>
  <si>
    <t>FL00162</t>
  </si>
  <si>
    <t>FL00163</t>
  </si>
  <si>
    <t>FL00164</t>
  </si>
  <si>
    <t>FL00165</t>
  </si>
  <si>
    <t>FL00166</t>
  </si>
  <si>
    <t>FL00167</t>
  </si>
  <si>
    <t>FL00168</t>
  </si>
  <si>
    <t>FL00169</t>
  </si>
  <si>
    <t>FL00170</t>
  </si>
  <si>
    <t>FL00171</t>
  </si>
  <si>
    <t>FL00172</t>
  </si>
  <si>
    <t>FL00173</t>
  </si>
  <si>
    <t>FL00174</t>
  </si>
  <si>
    <t>FL00175</t>
  </si>
  <si>
    <t>FL00176</t>
  </si>
  <si>
    <t>FL00177</t>
  </si>
  <si>
    <t>FL00178</t>
  </si>
  <si>
    <t>FL00179</t>
  </si>
  <si>
    <t>FL00180</t>
  </si>
  <si>
    <t>FL00181</t>
  </si>
  <si>
    <t>FL00182</t>
  </si>
  <si>
    <t>FL00183</t>
  </si>
  <si>
    <t>FL00184</t>
  </si>
  <si>
    <t>FL00185</t>
  </si>
  <si>
    <t>FL00186</t>
  </si>
  <si>
    <t>FL00187</t>
  </si>
  <si>
    <t>FL00188</t>
  </si>
  <si>
    <t>FL00189</t>
  </si>
  <si>
    <t>FL00190</t>
  </si>
  <si>
    <t>FL00191</t>
  </si>
  <si>
    <t>FL00192</t>
  </si>
  <si>
    <t>FL00193</t>
  </si>
  <si>
    <t>FL00194</t>
  </si>
  <si>
    <t>FL00195</t>
  </si>
  <si>
    <t>FL00196</t>
  </si>
  <si>
    <t>FL00197</t>
  </si>
  <si>
    <t>FL00198</t>
  </si>
  <si>
    <t>FL00199</t>
  </si>
  <si>
    <t>FL00200</t>
  </si>
  <si>
    <t>FL00201</t>
  </si>
  <si>
    <t>FL00202</t>
  </si>
  <si>
    <t>FL00203</t>
  </si>
  <si>
    <t>FL00204</t>
  </si>
  <si>
    <t>FL00205</t>
  </si>
  <si>
    <t>FL00206</t>
  </si>
  <si>
    <t>FL00207</t>
  </si>
  <si>
    <t>FL00208</t>
  </si>
  <si>
    <t>FL00209</t>
  </si>
  <si>
    <t>FL00210</t>
  </si>
  <si>
    <t>FL00211</t>
  </si>
  <si>
    <t>FL00212</t>
  </si>
  <si>
    <t>FL00213</t>
  </si>
  <si>
    <t>FL00214</t>
  </si>
  <si>
    <t>FL00215</t>
  </si>
  <si>
    <t>FL00216</t>
  </si>
  <si>
    <t>FL00217</t>
  </si>
  <si>
    <t>FL00218</t>
  </si>
  <si>
    <t>FL00219</t>
  </si>
  <si>
    <t>FL00220</t>
  </si>
  <si>
    <t>FL00221</t>
  </si>
  <si>
    <t>FL00222</t>
  </si>
  <si>
    <t>FL00223</t>
  </si>
  <si>
    <t>FL00224</t>
  </si>
  <si>
    <t>FL00225</t>
  </si>
  <si>
    <t>FL00226</t>
  </si>
  <si>
    <t>FL00227</t>
  </si>
  <si>
    <t>FL00228</t>
  </si>
  <si>
    <t>FL00229</t>
  </si>
  <si>
    <t>FL00230</t>
  </si>
  <si>
    <t>FL00231</t>
  </si>
  <si>
    <t>FL00232</t>
  </si>
  <si>
    <t>FL00233</t>
  </si>
  <si>
    <t>FL00234</t>
  </si>
  <si>
    <t>FL00235</t>
  </si>
  <si>
    <t>FL00236</t>
  </si>
  <si>
    <t>FL00237</t>
  </si>
  <si>
    <t>FL00238</t>
  </si>
  <si>
    <t>FL00239</t>
  </si>
  <si>
    <t>FL00240</t>
  </si>
  <si>
    <t>FL00241</t>
  </si>
  <si>
    <t>FL00242</t>
  </si>
  <si>
    <t>FL00243</t>
  </si>
  <si>
    <t>FL00244</t>
  </si>
  <si>
    <t>FL00245</t>
  </si>
  <si>
    <t>FL00246</t>
  </si>
  <si>
    <t>FL00247</t>
  </si>
  <si>
    <t>FL00248</t>
  </si>
  <si>
    <t>FL00249</t>
  </si>
  <si>
    <t>FL00250</t>
  </si>
  <si>
    <t>FL00251</t>
  </si>
  <si>
    <t>FL00252</t>
  </si>
  <si>
    <t>FL00253</t>
  </si>
  <si>
    <t>FL00254</t>
  </si>
  <si>
    <t>FL00255</t>
  </si>
  <si>
    <t>FL00256</t>
  </si>
  <si>
    <t>FL00257</t>
  </si>
  <si>
    <t>FL00258</t>
  </si>
  <si>
    <t>FL00259</t>
  </si>
  <si>
    <t>FL00260</t>
  </si>
  <si>
    <t>FL00261</t>
  </si>
  <si>
    <t>FL00262</t>
  </si>
  <si>
    <t>FL00263</t>
  </si>
  <si>
    <t>FL00264</t>
  </si>
  <si>
    <t>FL00265</t>
  </si>
  <si>
    <t>FL00266</t>
  </si>
  <si>
    <t>FL00267</t>
  </si>
  <si>
    <t>FL00268</t>
  </si>
  <si>
    <t>FL00269</t>
  </si>
  <si>
    <t>FL00270</t>
  </si>
  <si>
    <t>FL00271</t>
  </si>
  <si>
    <t>FL00272</t>
  </si>
  <si>
    <t>FL00273</t>
  </si>
  <si>
    <t>FL00274</t>
  </si>
  <si>
    <t>FL00275</t>
  </si>
  <si>
    <t>FL00276</t>
  </si>
  <si>
    <t>FL00277</t>
  </si>
  <si>
    <t>FL00278</t>
  </si>
  <si>
    <t>FL00279</t>
  </si>
  <si>
    <t>FL00280</t>
  </si>
  <si>
    <t>FL00281</t>
  </si>
  <si>
    <t>FL00282</t>
  </si>
  <si>
    <t>FL00283</t>
  </si>
  <si>
    <t>FL00284</t>
  </si>
  <si>
    <t>FL00285</t>
  </si>
  <si>
    <t>FL00286</t>
  </si>
  <si>
    <t>FL00287</t>
  </si>
  <si>
    <t>FL00288</t>
  </si>
  <si>
    <t>FL00289</t>
  </si>
  <si>
    <t>FL00290</t>
  </si>
  <si>
    <t>FL00291</t>
  </si>
  <si>
    <t>FL00292</t>
  </si>
  <si>
    <t>FL00293</t>
  </si>
  <si>
    <t>FL00294</t>
  </si>
  <si>
    <t>FL00295</t>
  </si>
  <si>
    <t>FL00296</t>
  </si>
  <si>
    <t>FL00297</t>
  </si>
  <si>
    <t>FL00298</t>
  </si>
  <si>
    <t>FL00299</t>
  </si>
  <si>
    <t>FL00300</t>
  </si>
  <si>
    <t>FL00301</t>
  </si>
  <si>
    <t>FL00302</t>
  </si>
  <si>
    <t>FL00303</t>
  </si>
  <si>
    <t>FL00304</t>
  </si>
  <si>
    <t>FL00305</t>
  </si>
  <si>
    <t>FL00306</t>
  </si>
  <si>
    <t>FL00307</t>
  </si>
  <si>
    <t>FL00308</t>
  </si>
  <si>
    <t>FL00309</t>
  </si>
  <si>
    <t>FL00310</t>
  </si>
  <si>
    <t>FL00311</t>
  </si>
  <si>
    <t>FL00312</t>
  </si>
  <si>
    <t>FL00313</t>
  </si>
  <si>
    <t>FL00314</t>
  </si>
  <si>
    <t>FL00315</t>
  </si>
  <si>
    <t>FL00316</t>
  </si>
  <si>
    <t>FL00317</t>
  </si>
  <si>
    <t>FL00318</t>
  </si>
  <si>
    <t>FL00319</t>
  </si>
  <si>
    <t>FL00320</t>
  </si>
  <si>
    <t>FL00321</t>
  </si>
  <si>
    <t>FL00322</t>
  </si>
  <si>
    <t>FL00323</t>
  </si>
  <si>
    <t>FL00324</t>
  </si>
  <si>
    <t>FL00325</t>
  </si>
  <si>
    <t>FL00326</t>
  </si>
  <si>
    <t>FL00327</t>
  </si>
  <si>
    <t>FL00328</t>
  </si>
  <si>
    <t>FL00329</t>
  </si>
  <si>
    <t>FL00330</t>
  </si>
  <si>
    <t>FL00331</t>
  </si>
  <si>
    <t>FL00332</t>
  </si>
  <si>
    <t>FL00333</t>
  </si>
  <si>
    <t>FL00334</t>
  </si>
  <si>
    <t>FL00335</t>
  </si>
  <si>
    <t>FL00336</t>
  </si>
  <si>
    <t>FL00337</t>
  </si>
  <si>
    <t>FL00338</t>
  </si>
  <si>
    <t>FL00339</t>
  </si>
  <si>
    <t>FL00340</t>
  </si>
  <si>
    <t>FL00341</t>
  </si>
  <si>
    <t>FL00342</t>
  </si>
  <si>
    <t>FL00343</t>
  </si>
  <si>
    <t>FL00344</t>
  </si>
  <si>
    <t>FL00345</t>
  </si>
  <si>
    <t>FL00346</t>
  </si>
  <si>
    <t>FL00347</t>
  </si>
  <si>
    <t>FL00348</t>
  </si>
  <si>
    <t>FL00349</t>
  </si>
  <si>
    <t>FL00350</t>
  </si>
  <si>
    <t>FL00351</t>
  </si>
  <si>
    <t>FL00352</t>
  </si>
  <si>
    <t>FL00353</t>
  </si>
  <si>
    <t>FL00354</t>
  </si>
  <si>
    <t>FL00355</t>
  </si>
  <si>
    <t>FL00356</t>
  </si>
  <si>
    <t>FL00357</t>
  </si>
  <si>
    <t>FL00358</t>
  </si>
  <si>
    <t>FL00359</t>
  </si>
  <si>
    <t>FL00360</t>
  </si>
  <si>
    <t>FL00361</t>
  </si>
  <si>
    <t>FL00362</t>
  </si>
  <si>
    <t>FL00363</t>
  </si>
  <si>
    <t>FL00364</t>
  </si>
  <si>
    <t>FL00365</t>
  </si>
  <si>
    <t>FL00366</t>
  </si>
  <si>
    <t>FL00367</t>
  </si>
  <si>
    <t>FL00368</t>
  </si>
  <si>
    <t>FL00369</t>
  </si>
  <si>
    <t>FL00370</t>
  </si>
  <si>
    <t>FL00371</t>
  </si>
  <si>
    <t>FL00372</t>
  </si>
  <si>
    <t>FL00373</t>
  </si>
  <si>
    <t>FL00374</t>
  </si>
  <si>
    <t>FL00375</t>
  </si>
  <si>
    <t>FL00376</t>
  </si>
  <si>
    <t>FL00377</t>
  </si>
  <si>
    <t>FL00378</t>
  </si>
  <si>
    <t>FL00379</t>
  </si>
  <si>
    <t>FL00380</t>
  </si>
  <si>
    <t>FL00381</t>
  </si>
  <si>
    <t>FL00382</t>
  </si>
  <si>
    <t>FL00383</t>
  </si>
  <si>
    <t>FL00384</t>
  </si>
  <si>
    <t>FL00385</t>
  </si>
  <si>
    <t>FL00386</t>
  </si>
  <si>
    <t>FL00387</t>
  </si>
  <si>
    <t>FL00388</t>
  </si>
  <si>
    <t>FL00389</t>
  </si>
  <si>
    <t>FL00390</t>
  </si>
  <si>
    <t>FL00391</t>
  </si>
  <si>
    <t>FL00392</t>
  </si>
  <si>
    <t>FL00393</t>
  </si>
  <si>
    <t>FL00394</t>
  </si>
  <si>
    <t>FL00395</t>
  </si>
  <si>
    <t>FL00396</t>
  </si>
  <si>
    <t>FL00397</t>
  </si>
  <si>
    <t>FL00398</t>
  </si>
  <si>
    <t>FL00399</t>
  </si>
  <si>
    <t>FL00400</t>
  </si>
  <si>
    <t>FL00401</t>
  </si>
  <si>
    <t>FL00402</t>
  </si>
  <si>
    <t>FL00403</t>
  </si>
  <si>
    <t>FL00404</t>
  </si>
  <si>
    <t>FL00405</t>
  </si>
  <si>
    <t>FL00406</t>
  </si>
  <si>
    <t>FL00407</t>
  </si>
  <si>
    <t>FL00408</t>
  </si>
  <si>
    <t>FL00409</t>
  </si>
  <si>
    <t>FL00410</t>
  </si>
  <si>
    <t>FL00411</t>
  </si>
  <si>
    <t>FL00412</t>
  </si>
  <si>
    <t>FL00413</t>
  </si>
  <si>
    <t>FL00414</t>
  </si>
  <si>
    <t>FL00415</t>
  </si>
  <si>
    <t>FL00416</t>
  </si>
  <si>
    <t>FL00417</t>
  </si>
  <si>
    <t>FL00418</t>
  </si>
  <si>
    <t>FL00419</t>
  </si>
  <si>
    <t>FL00420</t>
  </si>
  <si>
    <t>FL00421</t>
  </si>
  <si>
    <t>FL00422</t>
  </si>
  <si>
    <t>FL00423</t>
  </si>
  <si>
    <t>FL00424</t>
  </si>
  <si>
    <t>FL00425</t>
  </si>
  <si>
    <t>FL00426</t>
  </si>
  <si>
    <t>FL00427</t>
  </si>
  <si>
    <t>FL00428</t>
  </si>
  <si>
    <t>FL00429</t>
  </si>
  <si>
    <t>FL00430</t>
  </si>
  <si>
    <t>FL00431</t>
  </si>
  <si>
    <t>FL00432</t>
  </si>
  <si>
    <t>FL00433</t>
  </si>
  <si>
    <t>FL00434</t>
  </si>
  <si>
    <t>FL00435</t>
  </si>
  <si>
    <t>FL00436</t>
  </si>
  <si>
    <t>FL00437</t>
  </si>
  <si>
    <t>FL00438</t>
  </si>
  <si>
    <t>FL00439</t>
  </si>
  <si>
    <t>FL00440</t>
  </si>
  <si>
    <t>FL00441</t>
  </si>
  <si>
    <t>FL00442</t>
  </si>
  <si>
    <t>FL00443</t>
  </si>
  <si>
    <t>FL00444</t>
  </si>
  <si>
    <t>FL00445</t>
  </si>
  <si>
    <t>FL00446</t>
  </si>
  <si>
    <t>FL00447</t>
  </si>
  <si>
    <t>FL00448</t>
  </si>
  <si>
    <t>FL00449</t>
  </si>
  <si>
    <t>FL00450</t>
  </si>
  <si>
    <t>FL00451</t>
  </si>
  <si>
    <t>FL00452</t>
  </si>
  <si>
    <t>FL00453</t>
  </si>
  <si>
    <t>FL00454</t>
  </si>
  <si>
    <t>FL00455</t>
  </si>
  <si>
    <t>FL00456</t>
  </si>
  <si>
    <t>FL00457</t>
  </si>
  <si>
    <t>FL00458</t>
  </si>
  <si>
    <t>FL00459</t>
  </si>
  <si>
    <t>FL00460</t>
  </si>
  <si>
    <t>FL00461</t>
  </si>
  <si>
    <t>FL00462</t>
  </si>
  <si>
    <t>FL00463</t>
  </si>
  <si>
    <t>FL00464</t>
  </si>
  <si>
    <t>FL00465</t>
  </si>
  <si>
    <t>FL00466</t>
  </si>
  <si>
    <t>FL00467</t>
  </si>
  <si>
    <t>FL00468</t>
  </si>
  <si>
    <t>FL00469</t>
  </si>
  <si>
    <t>FL00470</t>
  </si>
  <si>
    <t>FL00471</t>
  </si>
  <si>
    <t>FL00472</t>
  </si>
  <si>
    <t>FL00473</t>
  </si>
  <si>
    <t>FL00474</t>
  </si>
  <si>
    <t>FL00475</t>
  </si>
  <si>
    <t>FL00476</t>
  </si>
  <si>
    <t>FL00477</t>
  </si>
  <si>
    <t>FL00478</t>
  </si>
  <si>
    <t>FL00479</t>
  </si>
  <si>
    <t>FL00480</t>
  </si>
  <si>
    <t>FL00481</t>
  </si>
  <si>
    <t>FL00482</t>
  </si>
  <si>
    <t>FL00483</t>
  </si>
  <si>
    <t>FL00484</t>
  </si>
  <si>
    <t>FL00485</t>
  </si>
  <si>
    <t>FL00486</t>
  </si>
  <si>
    <t>FL00487</t>
  </si>
  <si>
    <t>FL00488</t>
  </si>
  <si>
    <t>FL00489</t>
  </si>
  <si>
    <t>FL00490</t>
  </si>
  <si>
    <t>FL00491</t>
  </si>
  <si>
    <t>FL00492</t>
  </si>
  <si>
    <t>FL00493</t>
  </si>
  <si>
    <t>FL00494</t>
  </si>
  <si>
    <t>FL00495</t>
  </si>
  <si>
    <t>FL00496</t>
  </si>
  <si>
    <t>FL00497</t>
  </si>
  <si>
    <t>FL00498</t>
  </si>
  <si>
    <t>FL00499</t>
  </si>
  <si>
    <t>FL00500</t>
  </si>
  <si>
    <t>FL00501</t>
  </si>
  <si>
    <t>FL00502</t>
  </si>
  <si>
    <t>FL00503</t>
  </si>
  <si>
    <t>FL00504</t>
  </si>
  <si>
    <t>FL00505</t>
  </si>
  <si>
    <t>FL00506</t>
  </si>
  <si>
    <t>FL00507</t>
  </si>
  <si>
    <t>FL00508</t>
  </si>
  <si>
    <t>FL00509</t>
  </si>
  <si>
    <t>FL00510</t>
  </si>
  <si>
    <t>FL00511</t>
  </si>
  <si>
    <t>FL00512</t>
  </si>
  <si>
    <t>FL00513</t>
  </si>
  <si>
    <t>FL00514</t>
  </si>
  <si>
    <t>FL00515</t>
  </si>
  <si>
    <t>FL00516</t>
  </si>
  <si>
    <t>FL00517</t>
  </si>
  <si>
    <t>FL00518</t>
  </si>
  <si>
    <t>FL00519</t>
  </si>
  <si>
    <t>FL00520</t>
  </si>
  <si>
    <t>FL00521</t>
  </si>
  <si>
    <t>FL00522</t>
  </si>
  <si>
    <t>FL00523</t>
  </si>
  <si>
    <t>FL00524</t>
  </si>
  <si>
    <t>FL00525</t>
  </si>
  <si>
    <t>FL00526</t>
  </si>
  <si>
    <t>FL00527</t>
  </si>
  <si>
    <t>FL00528</t>
  </si>
  <si>
    <t>FL00529</t>
  </si>
  <si>
    <t>FL00530</t>
  </si>
  <si>
    <t>FL00531</t>
  </si>
  <si>
    <t>FL00532</t>
  </si>
  <si>
    <t>FL00533</t>
  </si>
  <si>
    <t>FL00534</t>
  </si>
  <si>
    <t>FL00535</t>
  </si>
  <si>
    <t>FL00536</t>
  </si>
  <si>
    <t>FL00537</t>
  </si>
  <si>
    <t>FL00538</t>
  </si>
  <si>
    <t>FL00539</t>
  </si>
  <si>
    <t>FL00540</t>
  </si>
  <si>
    <t>FL00541</t>
  </si>
  <si>
    <t>FL00542</t>
  </si>
  <si>
    <t>FL00543</t>
  </si>
  <si>
    <t>FL00544</t>
  </si>
  <si>
    <t>FL00545</t>
  </si>
  <si>
    <t>FL00546</t>
  </si>
  <si>
    <t>FL00547</t>
  </si>
  <si>
    <t>FL00548</t>
  </si>
  <si>
    <t>FL00549</t>
  </si>
  <si>
    <t>FL00550</t>
  </si>
  <si>
    <t>FL00551</t>
  </si>
  <si>
    <t>FL00552</t>
  </si>
  <si>
    <t>FL00553</t>
  </si>
  <si>
    <t>FL00554</t>
  </si>
  <si>
    <t>FL00555</t>
  </si>
  <si>
    <t>FL00556</t>
  </si>
  <si>
    <t>FL00557</t>
  </si>
  <si>
    <t>FL00558</t>
  </si>
  <si>
    <t>FL00559</t>
  </si>
  <si>
    <t>FL00560</t>
  </si>
  <si>
    <t>FL00561</t>
  </si>
  <si>
    <t>FL00562</t>
  </si>
  <si>
    <t>FL00563</t>
  </si>
  <si>
    <t>FL00564</t>
  </si>
  <si>
    <t>FL00565</t>
  </si>
  <si>
    <t>FL00566</t>
  </si>
  <si>
    <t>FL00567</t>
  </si>
  <si>
    <t>FL00568</t>
  </si>
  <si>
    <t>FL00569</t>
  </si>
  <si>
    <t>FL00570</t>
  </si>
  <si>
    <t>FL00571</t>
  </si>
  <si>
    <t>FL00572</t>
  </si>
  <si>
    <t>FL00573</t>
  </si>
  <si>
    <t>FL00574</t>
  </si>
  <si>
    <t>FL00575</t>
  </si>
  <si>
    <t>FL00576</t>
  </si>
  <si>
    <t>FL00577</t>
  </si>
  <si>
    <t>FL00578</t>
  </si>
  <si>
    <t>FL00579</t>
  </si>
  <si>
    <t>FL00580</t>
  </si>
  <si>
    <t>FL00581</t>
  </si>
  <si>
    <t>FL00582</t>
  </si>
  <si>
    <t>FL00583</t>
  </si>
  <si>
    <t>FL00584</t>
  </si>
  <si>
    <t>FL00585</t>
  </si>
  <si>
    <t>FL00586</t>
  </si>
  <si>
    <t>FL00587</t>
  </si>
  <si>
    <t>FL00588</t>
  </si>
  <si>
    <t>FL00589</t>
  </si>
  <si>
    <t>FL00590</t>
  </si>
  <si>
    <t>FL00591</t>
  </si>
  <si>
    <t>FL00592</t>
  </si>
  <si>
    <t>FL00593</t>
  </si>
  <si>
    <t>FL00594</t>
  </si>
  <si>
    <t>FL00595</t>
  </si>
  <si>
    <t>FL00596</t>
  </si>
  <si>
    <t>FL00597</t>
  </si>
  <si>
    <t>FL00598</t>
  </si>
  <si>
    <t>FL00599</t>
  </si>
  <si>
    <t>FL00600</t>
  </si>
  <si>
    <t>FL00601</t>
  </si>
  <si>
    <t>FL00602</t>
  </si>
  <si>
    <t>FL00603</t>
  </si>
  <si>
    <t>FL00604</t>
  </si>
  <si>
    <t>FL00605</t>
  </si>
  <si>
    <t>FL00606</t>
  </si>
  <si>
    <t>FL00607</t>
  </si>
  <si>
    <t>FL00608</t>
  </si>
  <si>
    <t>FL00609</t>
  </si>
  <si>
    <t>FL00610</t>
  </si>
  <si>
    <t>FL00611</t>
  </si>
  <si>
    <t>FL00612</t>
  </si>
  <si>
    <t>FL00613</t>
  </si>
  <si>
    <t>FL00614</t>
  </si>
  <si>
    <t>FL00615</t>
  </si>
  <si>
    <t>FL00616</t>
  </si>
  <si>
    <t>FL00617</t>
  </si>
  <si>
    <t>FL00618</t>
  </si>
  <si>
    <t>FL00619</t>
  </si>
  <si>
    <t>FL00620</t>
  </si>
  <si>
    <t>FL00621</t>
  </si>
  <si>
    <t>FL00622</t>
  </si>
  <si>
    <t>FL00623</t>
  </si>
  <si>
    <t>FL00624</t>
  </si>
  <si>
    <t>FL00625</t>
  </si>
  <si>
    <t>FL00626</t>
  </si>
  <si>
    <t>FL00627</t>
  </si>
  <si>
    <t>FL00628</t>
  </si>
  <si>
    <t>FL00629</t>
  </si>
  <si>
    <t>FL00630</t>
  </si>
  <si>
    <t>FL00631</t>
  </si>
  <si>
    <t>FL00632</t>
  </si>
  <si>
    <t>FL00633</t>
  </si>
  <si>
    <t>FL00634</t>
  </si>
  <si>
    <t>FL00635</t>
  </si>
  <si>
    <t>FL00636</t>
  </si>
  <si>
    <t>FL00637</t>
  </si>
  <si>
    <t>FL00638</t>
  </si>
  <si>
    <t>FL00639</t>
  </si>
  <si>
    <t>FL00640</t>
  </si>
  <si>
    <t>FL00641</t>
  </si>
  <si>
    <t>FL00642</t>
  </si>
  <si>
    <t>FL00643</t>
  </si>
  <si>
    <t>FL00644</t>
  </si>
  <si>
    <t>FL00645</t>
  </si>
  <si>
    <t>FL00646</t>
  </si>
  <si>
    <t>FL00647</t>
  </si>
  <si>
    <t>FL00648</t>
  </si>
  <si>
    <t>FL00649</t>
  </si>
  <si>
    <t>FL00650</t>
  </si>
  <si>
    <t>FL00651</t>
  </si>
  <si>
    <t>FL00652</t>
  </si>
  <si>
    <t>FL00653</t>
  </si>
  <si>
    <t>FL00654</t>
  </si>
  <si>
    <t>FL00655</t>
  </si>
  <si>
    <t>FL00656</t>
  </si>
  <si>
    <t>FL00657</t>
  </si>
  <si>
    <t>FL00658</t>
  </si>
  <si>
    <t>FL00659</t>
  </si>
  <si>
    <t>FL00660</t>
  </si>
  <si>
    <t>FL00661</t>
  </si>
  <si>
    <t>FL00662</t>
  </si>
  <si>
    <t>FL00663</t>
  </si>
  <si>
    <t>FL00664</t>
  </si>
  <si>
    <t>FL00665</t>
  </si>
  <si>
    <t>FL00666</t>
  </si>
  <si>
    <t>FL00667</t>
  </si>
  <si>
    <t>FL00668</t>
  </si>
  <si>
    <t>FL00669</t>
  </si>
  <si>
    <t>FL00670</t>
  </si>
  <si>
    <t>FL00671</t>
  </si>
  <si>
    <t>FL00672</t>
  </si>
  <si>
    <t>FL00673</t>
  </si>
  <si>
    <t>FL00674</t>
  </si>
  <si>
    <t>FL00675</t>
  </si>
  <si>
    <t>FL00676</t>
  </si>
  <si>
    <t>FL00677</t>
  </si>
  <si>
    <t>FL00678</t>
  </si>
  <si>
    <t>FL00679</t>
  </si>
  <si>
    <t>FL00680</t>
  </si>
  <si>
    <t>FL00681</t>
  </si>
  <si>
    <t>FL00682</t>
  </si>
  <si>
    <t>FL00683</t>
  </si>
  <si>
    <t>FL00684</t>
  </si>
  <si>
    <t>FL00685</t>
  </si>
  <si>
    <t>FL00686</t>
  </si>
  <si>
    <t>FL00687</t>
  </si>
  <si>
    <t>FL00688</t>
  </si>
  <si>
    <t>FL00689</t>
  </si>
  <si>
    <t>FL00690</t>
  </si>
  <si>
    <t>FL00691</t>
  </si>
  <si>
    <t>FL00692</t>
  </si>
  <si>
    <t>FL00693</t>
  </si>
  <si>
    <t>FL00694</t>
  </si>
  <si>
    <t>FL00695</t>
  </si>
  <si>
    <t>FL00696</t>
  </si>
  <si>
    <t>FL00697</t>
  </si>
  <si>
    <t>FL00698</t>
  </si>
  <si>
    <t>FL00699</t>
  </si>
  <si>
    <t>FL00700</t>
  </si>
  <si>
    <t>FL00701</t>
  </si>
  <si>
    <t>FL00702</t>
  </si>
  <si>
    <t>FL00703</t>
  </si>
  <si>
    <t>FL00704</t>
  </si>
  <si>
    <t>FL00705</t>
  </si>
  <si>
    <t>FL00706</t>
  </si>
  <si>
    <t>FL00707</t>
  </si>
  <si>
    <t>FL00708</t>
  </si>
  <si>
    <t>FL00709</t>
  </si>
  <si>
    <t>FL00710</t>
  </si>
  <si>
    <t>FL00711</t>
  </si>
  <si>
    <t>FL00712</t>
  </si>
  <si>
    <t>FL00713</t>
  </si>
  <si>
    <t>FL00714</t>
  </si>
  <si>
    <t>FL00715</t>
  </si>
  <si>
    <t>FL00716</t>
  </si>
  <si>
    <t>FL00717</t>
  </si>
  <si>
    <t>FL00718</t>
  </si>
  <si>
    <t>FL00719</t>
  </si>
  <si>
    <t>FL00720</t>
  </si>
  <si>
    <t>FL00721</t>
  </si>
  <si>
    <t>FL00722</t>
  </si>
  <si>
    <t>FL00723</t>
  </si>
  <si>
    <t>FL00724</t>
  </si>
  <si>
    <t>FL00725</t>
  </si>
  <si>
    <t>FL00726</t>
  </si>
  <si>
    <t>FL00727</t>
  </si>
  <si>
    <t>FL00728</t>
  </si>
  <si>
    <t>FL00729</t>
  </si>
  <si>
    <t>FL00730</t>
  </si>
  <si>
    <t>FL00731</t>
  </si>
  <si>
    <t>FL00732</t>
  </si>
  <si>
    <t>FL00733</t>
  </si>
  <si>
    <t>FL00734</t>
  </si>
  <si>
    <t>FL00735</t>
  </si>
  <si>
    <t>FL00736</t>
  </si>
  <si>
    <t>FL00737</t>
  </si>
  <si>
    <t>FL00738</t>
  </si>
  <si>
    <t>FL00739</t>
  </si>
  <si>
    <t>FL00740</t>
  </si>
  <si>
    <t>FL00741</t>
  </si>
  <si>
    <t>FL00742</t>
  </si>
  <si>
    <t>FL00743</t>
  </si>
  <si>
    <t>FL00744</t>
  </si>
  <si>
    <t>FL00745</t>
  </si>
  <si>
    <t>FL00746</t>
  </si>
  <si>
    <t>FL00747</t>
  </si>
  <si>
    <t>FL00748</t>
  </si>
  <si>
    <t>FL00749</t>
  </si>
  <si>
    <t>FL00750</t>
  </si>
  <si>
    <t>FL00751</t>
  </si>
  <si>
    <t>FL00752</t>
  </si>
  <si>
    <t>FL00753</t>
  </si>
  <si>
    <t>FL00754</t>
  </si>
  <si>
    <t>FL00755</t>
  </si>
  <si>
    <t>FL00756</t>
  </si>
  <si>
    <t>FL00757</t>
  </si>
  <si>
    <t>FL00758</t>
  </si>
  <si>
    <t>FL00759</t>
  </si>
  <si>
    <t>FL00760</t>
  </si>
  <si>
    <t>FL00761</t>
  </si>
  <si>
    <t>FL00762</t>
  </si>
  <si>
    <t>FL00763</t>
  </si>
  <si>
    <t>FL00764</t>
  </si>
  <si>
    <t>FL00765</t>
  </si>
  <si>
    <t>FL00766</t>
  </si>
  <si>
    <t>FL00767</t>
  </si>
  <si>
    <t>FL00768</t>
  </si>
  <si>
    <t>FL00769</t>
  </si>
  <si>
    <t>FL00770</t>
  </si>
  <si>
    <t>FL00771</t>
  </si>
  <si>
    <t>FL00772</t>
  </si>
  <si>
    <t>FL00773</t>
  </si>
  <si>
    <t>FL00774</t>
  </si>
  <si>
    <t>FL00775</t>
  </si>
  <si>
    <t>FL00776</t>
  </si>
  <si>
    <t>FL00777</t>
  </si>
  <si>
    <t>FL00778</t>
  </si>
  <si>
    <t>FL00779</t>
  </si>
  <si>
    <t>FL00780</t>
  </si>
  <si>
    <t>FL00781</t>
  </si>
  <si>
    <t>FL00782</t>
  </si>
  <si>
    <t>FL00783</t>
  </si>
  <si>
    <t>FL00784</t>
  </si>
  <si>
    <t>FL00785</t>
  </si>
  <si>
    <t>FL00786</t>
  </si>
  <si>
    <t>FL00787</t>
  </si>
  <si>
    <t>FL00788</t>
  </si>
  <si>
    <t>FL00789</t>
  </si>
  <si>
    <t>FL00790</t>
  </si>
  <si>
    <t>FL00791</t>
  </si>
  <si>
    <t>FL00792</t>
  </si>
  <si>
    <t>FL00793</t>
  </si>
  <si>
    <t>FL00794</t>
  </si>
  <si>
    <t>FL00795</t>
  </si>
  <si>
    <t>FL00796</t>
  </si>
  <si>
    <t>FL00797</t>
  </si>
  <si>
    <t>FL00798</t>
  </si>
  <si>
    <t>FL00799</t>
  </si>
  <si>
    <t>FL00800</t>
  </si>
  <si>
    <t>FL00801</t>
  </si>
  <si>
    <t>FL00802</t>
  </si>
  <si>
    <t>FL00803</t>
  </si>
  <si>
    <t>FL00804</t>
  </si>
  <si>
    <t>FL00805</t>
  </si>
  <si>
    <t>FL00806</t>
  </si>
  <si>
    <t>FL00807</t>
  </si>
  <si>
    <t>FL00808</t>
  </si>
  <si>
    <t>FL00809</t>
  </si>
  <si>
    <t>FL00810</t>
  </si>
  <si>
    <t>FL00811</t>
  </si>
  <si>
    <t>FL00812</t>
  </si>
  <si>
    <t>FL00813</t>
  </si>
  <si>
    <t>FL00814</t>
  </si>
  <si>
    <t>FL00815</t>
  </si>
  <si>
    <t>FL00816</t>
  </si>
  <si>
    <t>FL00817</t>
  </si>
  <si>
    <t>FL00818</t>
  </si>
  <si>
    <t>FL00819</t>
  </si>
  <si>
    <t>FL00820</t>
  </si>
  <si>
    <t>FL00821</t>
  </si>
  <si>
    <t>FL00822</t>
  </si>
  <si>
    <t>FL00823</t>
  </si>
  <si>
    <t>FL00824</t>
  </si>
  <si>
    <t>FL00825</t>
  </si>
  <si>
    <t>FL00826</t>
  </si>
  <si>
    <t>FL00827</t>
  </si>
  <si>
    <t>FL00828</t>
  </si>
  <si>
    <t>FL00829</t>
  </si>
  <si>
    <t>FL00830</t>
  </si>
  <si>
    <t>FL00831</t>
  </si>
  <si>
    <t>FL00832</t>
  </si>
  <si>
    <t>FL00833</t>
  </si>
  <si>
    <t>FL00834</t>
  </si>
  <si>
    <t>FL00835</t>
  </si>
  <si>
    <t>FL00836</t>
  </si>
  <si>
    <t>FL00837</t>
  </si>
  <si>
    <t>FL00838</t>
  </si>
  <si>
    <t>FL00839</t>
  </si>
  <si>
    <t>FL00840</t>
  </si>
  <si>
    <t>FL00841</t>
  </si>
  <si>
    <t>FL00842</t>
  </si>
  <si>
    <t>FL00843</t>
  </si>
  <si>
    <t>FL00844</t>
  </si>
  <si>
    <t>FL00845</t>
  </si>
  <si>
    <t>FL00846</t>
  </si>
  <si>
    <t>FL00847</t>
  </si>
  <si>
    <t>FL00848</t>
  </si>
  <si>
    <t>FL00849</t>
  </si>
  <si>
    <t>FL00850</t>
  </si>
  <si>
    <t>FL00851</t>
  </si>
  <si>
    <t>FL00852</t>
  </si>
  <si>
    <t>FL00853</t>
  </si>
  <si>
    <t>FL00854</t>
  </si>
  <si>
    <t>FL00855</t>
  </si>
  <si>
    <t>FL00856</t>
  </si>
  <si>
    <t>FL00857</t>
  </si>
  <si>
    <t>FL00858</t>
  </si>
  <si>
    <t>FL00859</t>
  </si>
  <si>
    <t>FL00860</t>
  </si>
  <si>
    <t>FL00861</t>
  </si>
  <si>
    <t>FL00862</t>
  </si>
  <si>
    <t>FL00863</t>
  </si>
  <si>
    <t>FL00864</t>
  </si>
  <si>
    <t>FL00865</t>
  </si>
  <si>
    <t>FL00866</t>
  </si>
  <si>
    <t>FL00867</t>
  </si>
  <si>
    <t>FL00868</t>
  </si>
  <si>
    <t>FL00869</t>
  </si>
  <si>
    <t>FL00870</t>
  </si>
  <si>
    <t>FL00871</t>
  </si>
  <si>
    <t>FL00872</t>
  </si>
  <si>
    <t>FL00873</t>
  </si>
  <si>
    <t>FL00874</t>
  </si>
  <si>
    <t>FL00875</t>
  </si>
  <si>
    <t>FL00876</t>
  </si>
  <si>
    <t>FL00877</t>
  </si>
  <si>
    <t>FL00878</t>
  </si>
  <si>
    <t>FL00879</t>
  </si>
  <si>
    <t>FL00880</t>
  </si>
  <si>
    <t>FL00881</t>
  </si>
  <si>
    <t>FL00882</t>
  </si>
  <si>
    <t>FL00883</t>
  </si>
  <si>
    <t>FL00884</t>
  </si>
  <si>
    <t>FL00885</t>
  </si>
  <si>
    <t>FL00886</t>
  </si>
  <si>
    <t>FL00887</t>
  </si>
  <si>
    <t>FL00888</t>
  </si>
  <si>
    <t>FL00889</t>
  </si>
  <si>
    <t>FL00890</t>
  </si>
  <si>
    <t>FL00891</t>
  </si>
  <si>
    <t>FL00892</t>
  </si>
  <si>
    <t>FL00893</t>
  </si>
  <si>
    <t>FL00894</t>
  </si>
  <si>
    <t>FL00895</t>
  </si>
  <si>
    <t>FL00896</t>
  </si>
  <si>
    <t>FL00897</t>
  </si>
  <si>
    <t>FL00898</t>
  </si>
  <si>
    <t>FL00899</t>
  </si>
  <si>
    <t>FL00900</t>
  </si>
  <si>
    <t>FL00901</t>
  </si>
  <si>
    <t>FL00902</t>
  </si>
  <si>
    <t>FL00903</t>
  </si>
  <si>
    <t>FL00904</t>
  </si>
  <si>
    <t>FL00905</t>
  </si>
  <si>
    <t>FL00906</t>
  </si>
  <si>
    <t>FL00907</t>
  </si>
  <si>
    <t>FL00908</t>
  </si>
  <si>
    <t>FL00909</t>
  </si>
  <si>
    <t>FL00910</t>
  </si>
  <si>
    <t>FL00911</t>
  </si>
  <si>
    <t>FL00912</t>
  </si>
  <si>
    <t>FL00913</t>
  </si>
  <si>
    <t>FL00914</t>
  </si>
  <si>
    <t>FL00915</t>
  </si>
  <si>
    <t>FL00916</t>
  </si>
  <si>
    <t>FL00917</t>
  </si>
  <si>
    <t>FL00918</t>
  </si>
  <si>
    <t>FL00919</t>
  </si>
  <si>
    <t>FL00920</t>
  </si>
  <si>
    <t>FL00921</t>
  </si>
  <si>
    <t>FL00922</t>
  </si>
  <si>
    <t>FL00923</t>
  </si>
  <si>
    <t>FL00924</t>
  </si>
  <si>
    <t>FL00925</t>
  </si>
  <si>
    <t>FL00926</t>
  </si>
  <si>
    <t>FL00927</t>
  </si>
  <si>
    <t>FL00928</t>
  </si>
  <si>
    <t>FL00929</t>
  </si>
  <si>
    <t>FL00930</t>
  </si>
  <si>
    <t>FL00931</t>
  </si>
  <si>
    <t>FL00932</t>
  </si>
  <si>
    <t>FL00933</t>
  </si>
  <si>
    <t>FL00934</t>
  </si>
  <si>
    <t>FL00935</t>
  </si>
  <si>
    <t>FL00936</t>
  </si>
  <si>
    <t>FL00937</t>
  </si>
  <si>
    <t>FL00938</t>
  </si>
  <si>
    <t>FL00939</t>
  </si>
  <si>
    <t>FL00940</t>
  </si>
  <si>
    <t>FL00941</t>
  </si>
  <si>
    <t>FL00942</t>
  </si>
  <si>
    <t>FL00943</t>
  </si>
  <si>
    <t>FL00944</t>
  </si>
  <si>
    <t>FL00945</t>
  </si>
  <si>
    <t>FL00946</t>
  </si>
  <si>
    <t>FL00947</t>
  </si>
  <si>
    <t>FL00948</t>
  </si>
  <si>
    <t>FL00949</t>
  </si>
  <si>
    <t>FL00950</t>
  </si>
  <si>
    <t>FL00951</t>
  </si>
  <si>
    <t>FL00952</t>
  </si>
  <si>
    <t>FL00953</t>
  </si>
  <si>
    <t>FL00954</t>
  </si>
  <si>
    <t>FL00955</t>
  </si>
  <si>
    <t>FL00956</t>
  </si>
  <si>
    <t>FL00957</t>
  </si>
  <si>
    <t>FL00958</t>
  </si>
  <si>
    <t>FL00959</t>
  </si>
  <si>
    <t>FL00960</t>
  </si>
  <si>
    <t>FL00961</t>
  </si>
  <si>
    <t>FL00962</t>
  </si>
  <si>
    <t>FL00963</t>
  </si>
  <si>
    <t>FL00964</t>
  </si>
  <si>
    <t>FL00965</t>
  </si>
  <si>
    <t>FL00966</t>
  </si>
  <si>
    <t>FL00967</t>
  </si>
  <si>
    <t>FL00968</t>
  </si>
  <si>
    <t>FL00969</t>
  </si>
  <si>
    <t>FL00970</t>
  </si>
  <si>
    <t>FL00971</t>
  </si>
  <si>
    <t>FL00972</t>
  </si>
  <si>
    <t>FL00973</t>
  </si>
  <si>
    <t>FL00974</t>
  </si>
  <si>
    <t>FL00975</t>
  </si>
  <si>
    <t>FL00976</t>
  </si>
  <si>
    <t>FL00977</t>
  </si>
  <si>
    <t>FL00978</t>
  </si>
  <si>
    <t>FL00979</t>
  </si>
  <si>
    <t>FL00980</t>
  </si>
  <si>
    <t>FL00981</t>
  </si>
  <si>
    <t>FL00982</t>
  </si>
  <si>
    <t>FL00983</t>
  </si>
  <si>
    <t>FL00984</t>
  </si>
  <si>
    <t>FL00985</t>
  </si>
  <si>
    <t>FL00986</t>
  </si>
  <si>
    <t>FL00987</t>
  </si>
  <si>
    <t>FL00988</t>
  </si>
  <si>
    <t>FL00989</t>
  </si>
  <si>
    <t>FL00990</t>
  </si>
  <si>
    <t>FL00991</t>
  </si>
  <si>
    <t>FL00992</t>
  </si>
  <si>
    <t>FL00993</t>
  </si>
  <si>
    <t>FL00994</t>
  </si>
  <si>
    <t>FL00995</t>
  </si>
  <si>
    <t>FL00996</t>
  </si>
  <si>
    <t>FL00997</t>
  </si>
  <si>
    <t>FL00998</t>
  </si>
  <si>
    <t>FL00999</t>
  </si>
  <si>
    <t>FL01000</t>
  </si>
  <si>
    <t>FlightID</t>
  </si>
  <si>
    <t>Origin</t>
  </si>
  <si>
    <t>Destination</t>
  </si>
  <si>
    <t>FlightDate</t>
  </si>
  <si>
    <t>FlightDurationMins</t>
  </si>
  <si>
    <t>AircraftType</t>
  </si>
  <si>
    <t>SeatsAvailable</t>
  </si>
  <si>
    <t>SeatsSold</t>
  </si>
  <si>
    <t>Revenue</t>
  </si>
  <si>
    <t>OperationalCost</t>
  </si>
  <si>
    <t>Profit</t>
  </si>
  <si>
    <t>Month</t>
  </si>
  <si>
    <t>Occcupies Seats</t>
  </si>
  <si>
    <t>Year Month</t>
  </si>
  <si>
    <t>Total Flights</t>
  </si>
  <si>
    <r>
      <rPr>
        <b/>
        <sz val="11"/>
        <color theme="3" tint="0.89999084444715716"/>
        <rFont val="Arial Black"/>
        <family val="2"/>
      </rPr>
      <t>FLIGHTS</t>
    </r>
    <r>
      <rPr>
        <sz val="11"/>
        <color theme="3" tint="0.89999084444715716"/>
        <rFont val="Aptos Narrow"/>
        <family val="2"/>
        <scheme val="minor"/>
      </rPr>
      <t xml:space="preserve"> </t>
    </r>
  </si>
  <si>
    <t>REVENUE</t>
  </si>
  <si>
    <t>Total Revenue</t>
  </si>
  <si>
    <t>SEATS SOLD</t>
  </si>
  <si>
    <t>Total Seats Sold</t>
  </si>
  <si>
    <t>Cost</t>
  </si>
  <si>
    <t>Total Operational Cost</t>
  </si>
  <si>
    <t>PROFIT MARGIN</t>
  </si>
  <si>
    <t>Profit / revenue</t>
  </si>
  <si>
    <t>Sum of SeatsSold</t>
  </si>
  <si>
    <t>Sum of SeatsAvailable</t>
  </si>
  <si>
    <t>S</t>
  </si>
  <si>
    <t>Sum of Profit</t>
  </si>
  <si>
    <t>Jan</t>
  </si>
  <si>
    <t>Feb</t>
  </si>
  <si>
    <t>Mar</t>
  </si>
  <si>
    <t>Apr</t>
  </si>
  <si>
    <t>May</t>
  </si>
  <si>
    <t>Jun</t>
  </si>
  <si>
    <t>Jul</t>
  </si>
  <si>
    <t>Aug</t>
  </si>
  <si>
    <t>Sep</t>
  </si>
  <si>
    <t>Oct</t>
  </si>
  <si>
    <t>Nov</t>
  </si>
  <si>
    <t>Dec</t>
  </si>
  <si>
    <t>Values</t>
  </si>
  <si>
    <t>Sum of OperationalCost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</si>
</sst>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4009]h:mm:ss;@"/>
    <numFmt numFmtId="165" formatCode="0.0,,&quot;M&quot;"/>
    <numFmt numFmtId="166" formatCode="0.00,&quot;K&quot;"/>
    <numFmt numFmtId="167" formatCode="0.00,,&quot;M&quot;"/>
  </numFmts>
  <fonts count="9" x14ac:knownFonts="1">
    <font>
      <sz val="11"/>
      <color theme="1"/>
      <name val="Aptos Narrow"/>
      <family val="2"/>
      <scheme val="minor"/>
    </font>
    <font>
      <sz val="11"/>
      <color theme="1"/>
      <name val="Aptos Narrow"/>
      <family val="2"/>
      <scheme val="minor"/>
    </font>
    <font>
      <sz val="11"/>
      <color rgb="FFFF0000"/>
      <name val="Aptos Narrow"/>
      <family val="2"/>
      <scheme val="minor"/>
    </font>
    <font>
      <sz val="11"/>
      <color theme="3" tint="0.249977111117893"/>
      <name val="Aptos Narrow"/>
      <family val="2"/>
      <scheme val="minor"/>
    </font>
    <font>
      <u/>
      <sz val="11"/>
      <color theme="10"/>
      <name val="Aptos Narrow"/>
      <family val="2"/>
      <scheme val="minor"/>
    </font>
    <font>
      <sz val="13"/>
      <color rgb="FF000000"/>
      <name val="Roboto"/>
    </font>
    <font>
      <sz val="11"/>
      <color theme="3" tint="0.89999084444715716"/>
      <name val="Aptos Narrow"/>
      <family val="2"/>
      <scheme val="minor"/>
    </font>
    <font>
      <b/>
      <sz val="11"/>
      <color theme="3" tint="0.89999084444715716"/>
      <name val="Arial Black"/>
      <family val="2"/>
    </font>
    <font>
      <sz val="11"/>
      <color theme="3" tint="0.89999084444715716"/>
      <name val="Arial Black"/>
      <family val="2"/>
    </font>
  </fonts>
  <fills count="7">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0E2335"/>
        <bgColor indexed="64"/>
      </patternFill>
    </fill>
    <fill>
      <patternFill patternType="solid">
        <fgColor rgb="FF042433"/>
        <bgColor indexed="64"/>
      </patternFill>
    </fill>
    <fill>
      <patternFill patternType="solid">
        <fgColor rgb="FF0D75A3"/>
        <bgColor indexed="64"/>
      </patternFill>
    </fill>
  </fills>
  <borders count="8">
    <border>
      <left/>
      <right/>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53">
    <xf numFmtId="0" fontId="0" fillId="0" borderId="0" xfId="0"/>
    <xf numFmtId="0" fontId="0" fillId="0" borderId="0" xfId="0" quotePrefix="1" applyAlignment="1">
      <alignment horizontal="left"/>
    </xf>
    <xf numFmtId="0" fontId="0" fillId="0" borderId="0" xfId="0" applyAlignment="1">
      <alignment horizontal="left"/>
    </xf>
    <xf numFmtId="0" fontId="0" fillId="0" borderId="0" xfId="0" pivotButton="1"/>
    <xf numFmtId="0" fontId="0" fillId="0" borderId="0" xfId="0" applyAlignment="1">
      <alignment vertical="center"/>
    </xf>
    <xf numFmtId="0" fontId="2" fillId="2" borderId="0" xfId="0" applyFont="1" applyFill="1"/>
    <xf numFmtId="0" fontId="2" fillId="2" borderId="0" xfId="0" applyFont="1" applyFill="1" applyAlignment="1">
      <alignment vertical="center"/>
    </xf>
    <xf numFmtId="0" fontId="2" fillId="2" borderId="0" xfId="0" applyFont="1" applyFill="1" applyAlignment="1">
      <alignment horizontal="center" vertical="center"/>
    </xf>
    <xf numFmtId="0" fontId="3" fillId="3" borderId="0" xfId="0" applyFont="1" applyFill="1" applyAlignment="1">
      <alignment horizontal="center" vertical="center"/>
    </xf>
    <xf numFmtId="0" fontId="4" fillId="0" borderId="0" xfId="2" quotePrefix="1" applyAlignment="1">
      <alignment horizontal="left"/>
    </xf>
    <xf numFmtId="0" fontId="0" fillId="0" borderId="2" xfId="0" applyBorder="1"/>
    <xf numFmtId="14" fontId="0" fillId="0" borderId="2" xfId="0" applyNumberFormat="1" applyBorder="1"/>
    <xf numFmtId="0" fontId="0" fillId="0" borderId="1" xfId="0" quotePrefix="1" applyBorder="1" applyAlignment="1">
      <alignment horizontal="left"/>
    </xf>
    <xf numFmtId="0" fontId="5" fillId="0" borderId="0" xfId="0" applyFont="1" applyAlignment="1">
      <alignment wrapText="1"/>
    </xf>
    <xf numFmtId="0" fontId="5" fillId="0" borderId="0" xfId="0" quotePrefix="1" applyFont="1" applyAlignment="1">
      <alignment horizontal="left" wrapText="1"/>
    </xf>
    <xf numFmtId="0" fontId="0" fillId="0" borderId="0" xfId="1" applyNumberFormat="1" applyFont="1"/>
    <xf numFmtId="14" fontId="0" fillId="0" borderId="0" xfId="0" applyNumberFormat="1"/>
    <xf numFmtId="22" fontId="0" fillId="0" borderId="0" xfId="0" applyNumberFormat="1"/>
    <xf numFmtId="0" fontId="0" fillId="0" borderId="3" xfId="0" applyBorder="1"/>
    <xf numFmtId="22" fontId="5" fillId="0" borderId="2" xfId="0" applyNumberFormat="1" applyFont="1" applyBorder="1" applyAlignment="1">
      <alignment wrapText="1"/>
    </xf>
    <xf numFmtId="22" fontId="5" fillId="0" borderId="1" xfId="0" applyNumberFormat="1" applyFont="1" applyBorder="1" applyAlignment="1">
      <alignment wrapText="1"/>
    </xf>
    <xf numFmtId="0" fontId="5" fillId="0" borderId="1" xfId="0" quotePrefix="1" applyFont="1" applyBorder="1" applyAlignment="1">
      <alignment horizontal="left" wrapText="1"/>
    </xf>
    <xf numFmtId="164" fontId="0" fillId="0" borderId="0" xfId="0" applyNumberFormat="1"/>
    <xf numFmtId="0" fontId="6" fillId="4" borderId="0" xfId="0" applyFont="1" applyFill="1"/>
    <xf numFmtId="0" fontId="6" fillId="4" borderId="0" xfId="0" applyFont="1" applyFill="1" applyAlignment="1">
      <alignment horizontal="center"/>
    </xf>
    <xf numFmtId="0" fontId="6" fillId="5" borderId="0" xfId="0" applyFont="1" applyFill="1"/>
    <xf numFmtId="0" fontId="6" fillId="6" borderId="0" xfId="0" applyFont="1" applyFill="1"/>
    <xf numFmtId="0" fontId="6" fillId="6" borderId="0" xfId="0" quotePrefix="1" applyFont="1" applyFill="1" applyAlignment="1">
      <alignment horizontal="left"/>
    </xf>
    <xf numFmtId="0" fontId="8" fillId="6" borderId="0" xfId="0" applyFont="1" applyFill="1"/>
    <xf numFmtId="0" fontId="8" fillId="6" borderId="0" xfId="0" applyFont="1" applyFill="1" applyAlignment="1">
      <alignment horizontal="left" vertical="top"/>
    </xf>
    <xf numFmtId="165" fontId="8" fillId="6" borderId="0" xfId="0" applyNumberFormat="1" applyFont="1" applyFill="1" applyAlignment="1">
      <alignment horizontal="left" vertical="top"/>
    </xf>
    <xf numFmtId="0" fontId="8" fillId="6" borderId="0" xfId="0" quotePrefix="1" applyFont="1" applyFill="1" applyAlignment="1">
      <alignment horizontal="left"/>
    </xf>
    <xf numFmtId="166" fontId="8" fillId="6" borderId="0" xfId="0" applyNumberFormat="1" applyFont="1" applyFill="1" applyAlignment="1">
      <alignment horizontal="left" vertical="top"/>
    </xf>
    <xf numFmtId="167" fontId="8" fillId="6" borderId="0" xfId="0" applyNumberFormat="1" applyFont="1" applyFill="1" applyAlignment="1">
      <alignment horizontal="left" vertical="top"/>
    </xf>
    <xf numFmtId="10" fontId="8" fillId="6" borderId="0" xfId="1" applyNumberFormat="1" applyFont="1" applyFill="1" applyAlignment="1">
      <alignment horizontal="left" vertical="top"/>
    </xf>
    <xf numFmtId="0" fontId="2" fillId="2" borderId="6" xfId="0" applyFont="1" applyFill="1" applyBorder="1"/>
    <xf numFmtId="0" fontId="2" fillId="2" borderId="3" xfId="0" applyFont="1" applyFill="1" applyBorder="1"/>
    <xf numFmtId="0" fontId="2" fillId="2" borderId="7" xfId="0" applyFont="1" applyFill="1" applyBorder="1"/>
    <xf numFmtId="0" fontId="2" fillId="2" borderId="6"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7"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4" xfId="0" applyFont="1" applyFill="1" applyBorder="1"/>
    <xf numFmtId="0" fontId="3" fillId="3" borderId="2" xfId="0" applyFont="1" applyFill="1" applyBorder="1"/>
    <xf numFmtId="0" fontId="3" fillId="3" borderId="5" xfId="0" applyFont="1" applyFill="1" applyBorder="1"/>
    <xf numFmtId="0" fontId="3" fillId="3" borderId="0" xfId="0" applyFont="1" applyFill="1" applyAlignment="1">
      <alignment horizontal="center"/>
    </xf>
    <xf numFmtId="0" fontId="3" fillId="3" borderId="6" xfId="0" applyFont="1" applyFill="1" applyBorder="1"/>
    <xf numFmtId="0" fontId="3" fillId="3" borderId="3" xfId="0" applyFont="1" applyFill="1" applyBorder="1"/>
    <xf numFmtId="0" fontId="2" fillId="2" borderId="4" xfId="0" applyFont="1" applyFill="1" applyBorder="1" applyAlignment="1">
      <alignment horizontal="center"/>
    </xf>
    <xf numFmtId="0" fontId="2" fillId="2" borderId="2" xfId="0" applyFont="1" applyFill="1" applyBorder="1" applyAlignment="1">
      <alignment horizontal="center"/>
    </xf>
    <xf numFmtId="0" fontId="2" fillId="2" borderId="5" xfId="0" applyFont="1" applyFill="1" applyBorder="1" applyAlignment="1">
      <alignment horizontal="center"/>
    </xf>
    <xf numFmtId="0" fontId="2" fillId="2" borderId="0" xfId="0" applyFont="1" applyFill="1" applyAlignment="1">
      <alignment horizontal="center" vertical="center"/>
    </xf>
    <xf numFmtId="0" fontId="0" fillId="0" borderId="0" xfId="0" applyNumberFormat="1"/>
  </cellXfs>
  <cellStyles count="3">
    <cellStyle name="Hyperlink" xfId="2" builtinId="8"/>
    <cellStyle name="Normal" xfId="0" builtinId="0"/>
    <cellStyle name="Percent" xfId="1" builtinId="5"/>
  </cellStyles>
  <dxfs count="50">
    <dxf>
      <border diagonalUp="0" diagonalDown="0">
        <left/>
        <right/>
        <top style="thin">
          <color theme="4" tint="0.39997558519241921"/>
        </top>
        <bottom style="thin">
          <color theme="4" tint="0.39997558519241921"/>
        </bottom>
        <vertical/>
        <horizontal/>
      </border>
    </dxf>
    <dxf>
      <numFmt numFmtId="0" formatCode="General"/>
      <border diagonalUp="0" diagonalDown="0" outline="0">
        <left/>
        <right/>
        <top style="thin">
          <color theme="4" tint="0.39997558519241921"/>
        </top>
        <bottom style="thin">
          <color theme="4" tint="0.39997558519241921"/>
        </bottom>
      </border>
    </dxf>
    <dxf>
      <border diagonalUp="0" diagonalDown="0" outline="0">
        <left/>
        <right/>
        <top style="thin">
          <color theme="4" tint="0.39997558519241921"/>
        </top>
        <bottom style="thin">
          <color theme="4" tint="0.39997558519241921"/>
        </bottom>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style="thin">
          <color theme="4" tint="0.39997558519241921"/>
        </bottom>
      </border>
    </dxf>
    <dxf>
      <numFmt numFmtId="19" formatCode="dd/mm/yyyy"/>
      <border diagonalUp="0" diagonalDown="0" outline="0">
        <left/>
        <right/>
        <top style="thin">
          <color theme="4" tint="0.39997558519241921"/>
        </top>
        <bottom style="thin">
          <color theme="4" tint="0.39997558519241921"/>
        </bottom>
      </border>
    </dxf>
    <dxf>
      <border diagonalUp="0" diagonalDown="0" outline="0">
        <left/>
        <right/>
        <top style="thin">
          <color theme="4" tint="0.39997558519241921"/>
        </top>
        <bottom style="thin">
          <color theme="4" tint="0.39997558519241921"/>
        </bottom>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general" vertical="bottom"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general" vertical="bottom"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general" vertical="bottom"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general" vertical="bottom"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general" vertical="bottom"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3" tint="0.249977111117893"/>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center" vertical="center" textRotation="0" wrapText="0" indent="0" justifyLastLine="0" shrinkToFit="0" readingOrder="0"/>
    </dxf>
  </dxfs>
  <tableStyles count="0" defaultTableStyle="TableStyleMedium2" defaultPivotStyle="PivotStyleLight16"/>
  <colors>
    <mruColors>
      <color rgb="FF156082"/>
      <color rgb="FF0D75A3"/>
      <color rgb="FF1787B9"/>
      <color rgb="FF042433"/>
      <color rgb="FF042431"/>
      <color rgb="FF0E2335"/>
      <color rgb="FF122F48"/>
      <color rgb="FF0E2336"/>
      <color rgb="FF140C44"/>
      <color rgb="FF1400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[Book3.csv.xlsx]Pivort Tables!PivotTable3</c:name>
    <c:fmtId val="4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'Pivort Tables'!$K$1</c:f>
              <c:strCache>
                <c:ptCount val="1"/>
                <c:pt idx="0">
                  <c:v>Sum of OperationalCost</c:v>
                </c:pt>
              </c:strCache>
            </c:strRef>
          </c:tx>
          <c:spPr>
            <a:solidFill>
              <a:schemeClr val="accent1"/>
            </a:solidFill>
            <a:ln>
              <a:noFill/>
            </a:ln>
            <a:effectLst/>
          </c:spPr>
          <c:invertIfNegative val="0"/>
          <c:cat>
            <c:strRef>
              <c:f>'Pivort Tables'!$J$2:$J$92</c:f>
              <c:strCache>
                <c:ptCount val="90"/>
                <c:pt idx="0">
                  <c:v>AMD-BLR</c:v>
                </c:pt>
                <c:pt idx="1">
                  <c:v>AMD-BOM</c:v>
                </c:pt>
                <c:pt idx="2">
                  <c:v>AMD-CCU</c:v>
                </c:pt>
                <c:pt idx="3">
                  <c:v>AMD-DEL</c:v>
                </c:pt>
                <c:pt idx="4">
                  <c:v>AMD-GOI</c:v>
                </c:pt>
                <c:pt idx="5">
                  <c:v>AMD-HYD</c:v>
                </c:pt>
                <c:pt idx="6">
                  <c:v>AMD-JAI</c:v>
                </c:pt>
                <c:pt idx="7">
                  <c:v>AMD-MAA</c:v>
                </c:pt>
                <c:pt idx="8">
                  <c:v>AMD-PNQ</c:v>
                </c:pt>
                <c:pt idx="9">
                  <c:v>BLR-AMD</c:v>
                </c:pt>
                <c:pt idx="10">
                  <c:v>BLR-BOM</c:v>
                </c:pt>
                <c:pt idx="11">
                  <c:v>BLR-CCU</c:v>
                </c:pt>
                <c:pt idx="12">
                  <c:v>BLR-DEL</c:v>
                </c:pt>
                <c:pt idx="13">
                  <c:v>BLR-GOI</c:v>
                </c:pt>
                <c:pt idx="14">
                  <c:v>BLR-HYD</c:v>
                </c:pt>
                <c:pt idx="15">
                  <c:v>BLR-JAI</c:v>
                </c:pt>
                <c:pt idx="16">
                  <c:v>BLR-MAA</c:v>
                </c:pt>
                <c:pt idx="17">
                  <c:v>BLR-PNQ</c:v>
                </c:pt>
                <c:pt idx="18">
                  <c:v>BOM-AMD</c:v>
                </c:pt>
                <c:pt idx="19">
                  <c:v>BOM-BLR</c:v>
                </c:pt>
                <c:pt idx="20">
                  <c:v>BOM-CCU</c:v>
                </c:pt>
                <c:pt idx="21">
                  <c:v>BOM-DEL</c:v>
                </c:pt>
                <c:pt idx="22">
                  <c:v>BOM-GOI</c:v>
                </c:pt>
                <c:pt idx="23">
                  <c:v>BOM-HYD</c:v>
                </c:pt>
                <c:pt idx="24">
                  <c:v>BOM-JAI</c:v>
                </c:pt>
                <c:pt idx="25">
                  <c:v>BOM-MAA</c:v>
                </c:pt>
                <c:pt idx="26">
                  <c:v>BOM-PNQ</c:v>
                </c:pt>
                <c:pt idx="27">
                  <c:v>CCU-AMD</c:v>
                </c:pt>
                <c:pt idx="28">
                  <c:v>CCU-BLR</c:v>
                </c:pt>
                <c:pt idx="29">
                  <c:v>CCU-BOM</c:v>
                </c:pt>
                <c:pt idx="30">
                  <c:v>CCU-DEL</c:v>
                </c:pt>
                <c:pt idx="31">
                  <c:v>CCU-GOI</c:v>
                </c:pt>
                <c:pt idx="32">
                  <c:v>CCU-HYD</c:v>
                </c:pt>
                <c:pt idx="33">
                  <c:v>CCU-JAI</c:v>
                </c:pt>
                <c:pt idx="34">
                  <c:v>CCU-MAA</c:v>
                </c:pt>
                <c:pt idx="35">
                  <c:v>CCU-PNQ</c:v>
                </c:pt>
                <c:pt idx="36">
                  <c:v>DEL-AMD</c:v>
                </c:pt>
                <c:pt idx="37">
                  <c:v>DEL-BLR</c:v>
                </c:pt>
                <c:pt idx="38">
                  <c:v>DEL-BOM</c:v>
                </c:pt>
                <c:pt idx="39">
                  <c:v>DEL-CCU</c:v>
                </c:pt>
                <c:pt idx="40">
                  <c:v>DEL-GOI</c:v>
                </c:pt>
                <c:pt idx="41">
                  <c:v>DEL-HYD</c:v>
                </c:pt>
                <c:pt idx="42">
                  <c:v>DEL-JAI</c:v>
                </c:pt>
                <c:pt idx="43">
                  <c:v>DEL-MAA</c:v>
                </c:pt>
                <c:pt idx="44">
                  <c:v>DEL-PNQ</c:v>
                </c:pt>
                <c:pt idx="45">
                  <c:v>GOI-AMD</c:v>
                </c:pt>
                <c:pt idx="46">
                  <c:v>GOI-BLR</c:v>
                </c:pt>
                <c:pt idx="47">
                  <c:v>GOI-BOM</c:v>
                </c:pt>
                <c:pt idx="48">
                  <c:v>GOI-CCU</c:v>
                </c:pt>
                <c:pt idx="49">
                  <c:v>GOI-DEL</c:v>
                </c:pt>
                <c:pt idx="50">
                  <c:v>GOI-HYD</c:v>
                </c:pt>
                <c:pt idx="51">
                  <c:v>GOI-JAI</c:v>
                </c:pt>
                <c:pt idx="52">
                  <c:v>GOI-MAA</c:v>
                </c:pt>
                <c:pt idx="53">
                  <c:v>GOI-PNQ</c:v>
                </c:pt>
                <c:pt idx="54">
                  <c:v>HYD-AMD</c:v>
                </c:pt>
                <c:pt idx="55">
                  <c:v>HYD-BLR</c:v>
                </c:pt>
                <c:pt idx="56">
                  <c:v>HYD-BOM</c:v>
                </c:pt>
                <c:pt idx="57">
                  <c:v>HYD-CCU</c:v>
                </c:pt>
                <c:pt idx="58">
                  <c:v>HYD-DEL</c:v>
                </c:pt>
                <c:pt idx="59">
                  <c:v>HYD-GOI</c:v>
                </c:pt>
                <c:pt idx="60">
                  <c:v>HYD-JAI</c:v>
                </c:pt>
                <c:pt idx="61">
                  <c:v>HYD-MAA</c:v>
                </c:pt>
                <c:pt idx="62">
                  <c:v>HYD-PNQ</c:v>
                </c:pt>
                <c:pt idx="63">
                  <c:v>JAI-AMD</c:v>
                </c:pt>
                <c:pt idx="64">
                  <c:v>JAI-BLR</c:v>
                </c:pt>
                <c:pt idx="65">
                  <c:v>JAI-BOM</c:v>
                </c:pt>
                <c:pt idx="66">
                  <c:v>JAI-CCU</c:v>
                </c:pt>
                <c:pt idx="67">
                  <c:v>JAI-DEL</c:v>
                </c:pt>
                <c:pt idx="68">
                  <c:v>JAI-GOI</c:v>
                </c:pt>
                <c:pt idx="69">
                  <c:v>JAI-HYD</c:v>
                </c:pt>
                <c:pt idx="70">
                  <c:v>JAI-MAA</c:v>
                </c:pt>
                <c:pt idx="71">
                  <c:v>JAI-PNQ</c:v>
                </c:pt>
                <c:pt idx="72">
                  <c:v>MAA-AMD</c:v>
                </c:pt>
                <c:pt idx="73">
                  <c:v>MAA-BLR</c:v>
                </c:pt>
                <c:pt idx="74">
                  <c:v>MAA-BOM</c:v>
                </c:pt>
                <c:pt idx="75">
                  <c:v>MAA-CCU</c:v>
                </c:pt>
                <c:pt idx="76">
                  <c:v>MAA-DEL</c:v>
                </c:pt>
                <c:pt idx="77">
                  <c:v>MAA-GOI</c:v>
                </c:pt>
                <c:pt idx="78">
                  <c:v>MAA-HYD</c:v>
                </c:pt>
                <c:pt idx="79">
                  <c:v>MAA-JAI</c:v>
                </c:pt>
                <c:pt idx="80">
                  <c:v>MAA-PNQ</c:v>
                </c:pt>
                <c:pt idx="81">
                  <c:v>PNQ-AMD</c:v>
                </c:pt>
                <c:pt idx="82">
                  <c:v>PNQ-BLR</c:v>
                </c:pt>
                <c:pt idx="83">
                  <c:v>PNQ-BOM</c:v>
                </c:pt>
                <c:pt idx="84">
                  <c:v>PNQ-CCU</c:v>
                </c:pt>
                <c:pt idx="85">
                  <c:v>PNQ-DEL</c:v>
                </c:pt>
                <c:pt idx="86">
                  <c:v>PNQ-GOI</c:v>
                </c:pt>
                <c:pt idx="87">
                  <c:v>PNQ-HYD</c:v>
                </c:pt>
                <c:pt idx="88">
                  <c:v>PNQ-JAI</c:v>
                </c:pt>
                <c:pt idx="89">
                  <c:v>PNQ-MAA</c:v>
                </c:pt>
              </c:strCache>
            </c:strRef>
          </c:cat>
          <c:val>
            <c:numRef>
              <c:f>'Pivort Tables'!$K$2:$K$92</c:f>
              <c:numCache>
                <c:formatCode>General</c:formatCode>
                <c:ptCount val="90"/>
                <c:pt idx="0">
                  <c:v>859000</c:v>
                </c:pt>
                <c:pt idx="1">
                  <c:v>877727</c:v>
                </c:pt>
                <c:pt idx="2">
                  <c:v>672588</c:v>
                </c:pt>
                <c:pt idx="3">
                  <c:v>521771</c:v>
                </c:pt>
                <c:pt idx="4">
                  <c:v>694206</c:v>
                </c:pt>
                <c:pt idx="5">
                  <c:v>379872</c:v>
                </c:pt>
                <c:pt idx="6">
                  <c:v>377682</c:v>
                </c:pt>
                <c:pt idx="7">
                  <c:v>397375</c:v>
                </c:pt>
                <c:pt idx="8">
                  <c:v>876312</c:v>
                </c:pt>
                <c:pt idx="9">
                  <c:v>453243</c:v>
                </c:pt>
                <c:pt idx="10">
                  <c:v>463343</c:v>
                </c:pt>
                <c:pt idx="11">
                  <c:v>880443</c:v>
                </c:pt>
                <c:pt idx="12">
                  <c:v>917323</c:v>
                </c:pt>
                <c:pt idx="13">
                  <c:v>988740</c:v>
                </c:pt>
                <c:pt idx="14">
                  <c:v>787751</c:v>
                </c:pt>
                <c:pt idx="15">
                  <c:v>856645</c:v>
                </c:pt>
                <c:pt idx="16">
                  <c:v>477643</c:v>
                </c:pt>
                <c:pt idx="17">
                  <c:v>290505</c:v>
                </c:pt>
                <c:pt idx="18">
                  <c:v>643103</c:v>
                </c:pt>
                <c:pt idx="19">
                  <c:v>406707</c:v>
                </c:pt>
                <c:pt idx="20">
                  <c:v>367338</c:v>
                </c:pt>
                <c:pt idx="21">
                  <c:v>390950</c:v>
                </c:pt>
                <c:pt idx="22">
                  <c:v>530071</c:v>
                </c:pt>
                <c:pt idx="23">
                  <c:v>570378</c:v>
                </c:pt>
                <c:pt idx="24">
                  <c:v>596255</c:v>
                </c:pt>
                <c:pt idx="25">
                  <c:v>370567</c:v>
                </c:pt>
                <c:pt idx="26">
                  <c:v>606157</c:v>
                </c:pt>
                <c:pt idx="27">
                  <c:v>285432</c:v>
                </c:pt>
                <c:pt idx="28">
                  <c:v>404641</c:v>
                </c:pt>
                <c:pt idx="29">
                  <c:v>480903</c:v>
                </c:pt>
                <c:pt idx="30">
                  <c:v>789620</c:v>
                </c:pt>
                <c:pt idx="31">
                  <c:v>300869</c:v>
                </c:pt>
                <c:pt idx="32">
                  <c:v>510821</c:v>
                </c:pt>
                <c:pt idx="33">
                  <c:v>467516</c:v>
                </c:pt>
                <c:pt idx="34">
                  <c:v>685433</c:v>
                </c:pt>
                <c:pt idx="35">
                  <c:v>417491</c:v>
                </c:pt>
                <c:pt idx="36">
                  <c:v>557253</c:v>
                </c:pt>
                <c:pt idx="37">
                  <c:v>621595</c:v>
                </c:pt>
                <c:pt idx="38">
                  <c:v>1014063</c:v>
                </c:pt>
                <c:pt idx="39">
                  <c:v>800460</c:v>
                </c:pt>
                <c:pt idx="40">
                  <c:v>907106</c:v>
                </c:pt>
                <c:pt idx="41">
                  <c:v>693977</c:v>
                </c:pt>
                <c:pt idx="42">
                  <c:v>753290</c:v>
                </c:pt>
                <c:pt idx="43">
                  <c:v>728608</c:v>
                </c:pt>
                <c:pt idx="44">
                  <c:v>513256</c:v>
                </c:pt>
                <c:pt idx="45">
                  <c:v>955577</c:v>
                </c:pt>
                <c:pt idx="46">
                  <c:v>574138</c:v>
                </c:pt>
                <c:pt idx="47">
                  <c:v>731749</c:v>
                </c:pt>
                <c:pt idx="48">
                  <c:v>850847</c:v>
                </c:pt>
                <c:pt idx="49">
                  <c:v>410762</c:v>
                </c:pt>
                <c:pt idx="50">
                  <c:v>751630</c:v>
                </c:pt>
                <c:pt idx="51">
                  <c:v>380075</c:v>
                </c:pt>
                <c:pt idx="52">
                  <c:v>859862</c:v>
                </c:pt>
                <c:pt idx="53">
                  <c:v>661201</c:v>
                </c:pt>
                <c:pt idx="54">
                  <c:v>978613</c:v>
                </c:pt>
                <c:pt idx="55">
                  <c:v>207312</c:v>
                </c:pt>
                <c:pt idx="56">
                  <c:v>382887</c:v>
                </c:pt>
                <c:pt idx="57">
                  <c:v>670514</c:v>
                </c:pt>
                <c:pt idx="58">
                  <c:v>976754</c:v>
                </c:pt>
                <c:pt idx="59">
                  <c:v>213273</c:v>
                </c:pt>
                <c:pt idx="60">
                  <c:v>697143</c:v>
                </c:pt>
                <c:pt idx="61">
                  <c:v>455466</c:v>
                </c:pt>
                <c:pt idx="62">
                  <c:v>526617</c:v>
                </c:pt>
                <c:pt idx="63">
                  <c:v>567231</c:v>
                </c:pt>
                <c:pt idx="64">
                  <c:v>658297</c:v>
                </c:pt>
                <c:pt idx="65">
                  <c:v>565380</c:v>
                </c:pt>
                <c:pt idx="66">
                  <c:v>591303</c:v>
                </c:pt>
                <c:pt idx="67">
                  <c:v>336545</c:v>
                </c:pt>
                <c:pt idx="68">
                  <c:v>866699</c:v>
                </c:pt>
                <c:pt idx="69">
                  <c:v>618087</c:v>
                </c:pt>
                <c:pt idx="70">
                  <c:v>814569</c:v>
                </c:pt>
                <c:pt idx="71">
                  <c:v>415022</c:v>
                </c:pt>
                <c:pt idx="72">
                  <c:v>514936</c:v>
                </c:pt>
                <c:pt idx="73">
                  <c:v>260438</c:v>
                </c:pt>
                <c:pt idx="74">
                  <c:v>551809</c:v>
                </c:pt>
                <c:pt idx="75">
                  <c:v>581867</c:v>
                </c:pt>
                <c:pt idx="76">
                  <c:v>554113</c:v>
                </c:pt>
                <c:pt idx="77">
                  <c:v>612209</c:v>
                </c:pt>
                <c:pt idx="78">
                  <c:v>782988</c:v>
                </c:pt>
                <c:pt idx="79">
                  <c:v>423362</c:v>
                </c:pt>
                <c:pt idx="80">
                  <c:v>508549</c:v>
                </c:pt>
                <c:pt idx="81">
                  <c:v>763750</c:v>
                </c:pt>
                <c:pt idx="82">
                  <c:v>561823</c:v>
                </c:pt>
                <c:pt idx="83">
                  <c:v>719978</c:v>
                </c:pt>
                <c:pt idx="84">
                  <c:v>764657</c:v>
                </c:pt>
                <c:pt idx="85">
                  <c:v>458468</c:v>
                </c:pt>
                <c:pt idx="86">
                  <c:v>1045319</c:v>
                </c:pt>
                <c:pt idx="87">
                  <c:v>373981</c:v>
                </c:pt>
                <c:pt idx="88">
                  <c:v>680861</c:v>
                </c:pt>
                <c:pt idx="89">
                  <c:v>768213</c:v>
                </c:pt>
              </c:numCache>
            </c:numRef>
          </c:val>
          <c:extLst>
            <c:ext xmlns:c16="http://schemas.microsoft.com/office/drawing/2014/chart" uri="{C3380CC4-5D6E-409C-BE32-E72D297353CC}">
              <c16:uniqueId val="{00000011-B226-4847-B6F5-0C78D3825F05}"/>
            </c:ext>
          </c:extLst>
        </c:ser>
        <c:ser>
          <c:idx val="1"/>
          <c:order val="1"/>
          <c:tx>
            <c:strRef>
              <c:f>'Pivort Tables'!$L$1</c:f>
              <c:strCache>
                <c:ptCount val="1"/>
                <c:pt idx="0">
                  <c:v>Sum of Revenue</c:v>
                </c:pt>
              </c:strCache>
            </c:strRef>
          </c:tx>
          <c:spPr>
            <a:solidFill>
              <a:schemeClr val="accent2"/>
            </a:solidFill>
            <a:ln>
              <a:noFill/>
            </a:ln>
            <a:effectLst/>
          </c:spPr>
          <c:invertIfNegative val="0"/>
          <c:cat>
            <c:strRef>
              <c:f>'Pivort Tables'!$J$2:$J$92</c:f>
              <c:strCache>
                <c:ptCount val="90"/>
                <c:pt idx="0">
                  <c:v>AMD-BLR</c:v>
                </c:pt>
                <c:pt idx="1">
                  <c:v>AMD-BOM</c:v>
                </c:pt>
                <c:pt idx="2">
                  <c:v>AMD-CCU</c:v>
                </c:pt>
                <c:pt idx="3">
                  <c:v>AMD-DEL</c:v>
                </c:pt>
                <c:pt idx="4">
                  <c:v>AMD-GOI</c:v>
                </c:pt>
                <c:pt idx="5">
                  <c:v>AMD-HYD</c:v>
                </c:pt>
                <c:pt idx="6">
                  <c:v>AMD-JAI</c:v>
                </c:pt>
                <c:pt idx="7">
                  <c:v>AMD-MAA</c:v>
                </c:pt>
                <c:pt idx="8">
                  <c:v>AMD-PNQ</c:v>
                </c:pt>
                <c:pt idx="9">
                  <c:v>BLR-AMD</c:v>
                </c:pt>
                <c:pt idx="10">
                  <c:v>BLR-BOM</c:v>
                </c:pt>
                <c:pt idx="11">
                  <c:v>BLR-CCU</c:v>
                </c:pt>
                <c:pt idx="12">
                  <c:v>BLR-DEL</c:v>
                </c:pt>
                <c:pt idx="13">
                  <c:v>BLR-GOI</c:v>
                </c:pt>
                <c:pt idx="14">
                  <c:v>BLR-HYD</c:v>
                </c:pt>
                <c:pt idx="15">
                  <c:v>BLR-JAI</c:v>
                </c:pt>
                <c:pt idx="16">
                  <c:v>BLR-MAA</c:v>
                </c:pt>
                <c:pt idx="17">
                  <c:v>BLR-PNQ</c:v>
                </c:pt>
                <c:pt idx="18">
                  <c:v>BOM-AMD</c:v>
                </c:pt>
                <c:pt idx="19">
                  <c:v>BOM-BLR</c:v>
                </c:pt>
                <c:pt idx="20">
                  <c:v>BOM-CCU</c:v>
                </c:pt>
                <c:pt idx="21">
                  <c:v>BOM-DEL</c:v>
                </c:pt>
                <c:pt idx="22">
                  <c:v>BOM-GOI</c:v>
                </c:pt>
                <c:pt idx="23">
                  <c:v>BOM-HYD</c:v>
                </c:pt>
                <c:pt idx="24">
                  <c:v>BOM-JAI</c:v>
                </c:pt>
                <c:pt idx="25">
                  <c:v>BOM-MAA</c:v>
                </c:pt>
                <c:pt idx="26">
                  <c:v>BOM-PNQ</c:v>
                </c:pt>
                <c:pt idx="27">
                  <c:v>CCU-AMD</c:v>
                </c:pt>
                <c:pt idx="28">
                  <c:v>CCU-BLR</c:v>
                </c:pt>
                <c:pt idx="29">
                  <c:v>CCU-BOM</c:v>
                </c:pt>
                <c:pt idx="30">
                  <c:v>CCU-DEL</c:v>
                </c:pt>
                <c:pt idx="31">
                  <c:v>CCU-GOI</c:v>
                </c:pt>
                <c:pt idx="32">
                  <c:v>CCU-HYD</c:v>
                </c:pt>
                <c:pt idx="33">
                  <c:v>CCU-JAI</c:v>
                </c:pt>
                <c:pt idx="34">
                  <c:v>CCU-MAA</c:v>
                </c:pt>
                <c:pt idx="35">
                  <c:v>CCU-PNQ</c:v>
                </c:pt>
                <c:pt idx="36">
                  <c:v>DEL-AMD</c:v>
                </c:pt>
                <c:pt idx="37">
                  <c:v>DEL-BLR</c:v>
                </c:pt>
                <c:pt idx="38">
                  <c:v>DEL-BOM</c:v>
                </c:pt>
                <c:pt idx="39">
                  <c:v>DEL-CCU</c:v>
                </c:pt>
                <c:pt idx="40">
                  <c:v>DEL-GOI</c:v>
                </c:pt>
                <c:pt idx="41">
                  <c:v>DEL-HYD</c:v>
                </c:pt>
                <c:pt idx="42">
                  <c:v>DEL-JAI</c:v>
                </c:pt>
                <c:pt idx="43">
                  <c:v>DEL-MAA</c:v>
                </c:pt>
                <c:pt idx="44">
                  <c:v>DEL-PNQ</c:v>
                </c:pt>
                <c:pt idx="45">
                  <c:v>GOI-AMD</c:v>
                </c:pt>
                <c:pt idx="46">
                  <c:v>GOI-BLR</c:v>
                </c:pt>
                <c:pt idx="47">
                  <c:v>GOI-BOM</c:v>
                </c:pt>
                <c:pt idx="48">
                  <c:v>GOI-CCU</c:v>
                </c:pt>
                <c:pt idx="49">
                  <c:v>GOI-DEL</c:v>
                </c:pt>
                <c:pt idx="50">
                  <c:v>GOI-HYD</c:v>
                </c:pt>
                <c:pt idx="51">
                  <c:v>GOI-JAI</c:v>
                </c:pt>
                <c:pt idx="52">
                  <c:v>GOI-MAA</c:v>
                </c:pt>
                <c:pt idx="53">
                  <c:v>GOI-PNQ</c:v>
                </c:pt>
                <c:pt idx="54">
                  <c:v>HYD-AMD</c:v>
                </c:pt>
                <c:pt idx="55">
                  <c:v>HYD-BLR</c:v>
                </c:pt>
                <c:pt idx="56">
                  <c:v>HYD-BOM</c:v>
                </c:pt>
                <c:pt idx="57">
                  <c:v>HYD-CCU</c:v>
                </c:pt>
                <c:pt idx="58">
                  <c:v>HYD-DEL</c:v>
                </c:pt>
                <c:pt idx="59">
                  <c:v>HYD-GOI</c:v>
                </c:pt>
                <c:pt idx="60">
                  <c:v>HYD-JAI</c:v>
                </c:pt>
                <c:pt idx="61">
                  <c:v>HYD-MAA</c:v>
                </c:pt>
                <c:pt idx="62">
                  <c:v>HYD-PNQ</c:v>
                </c:pt>
                <c:pt idx="63">
                  <c:v>JAI-AMD</c:v>
                </c:pt>
                <c:pt idx="64">
                  <c:v>JAI-BLR</c:v>
                </c:pt>
                <c:pt idx="65">
                  <c:v>JAI-BOM</c:v>
                </c:pt>
                <c:pt idx="66">
                  <c:v>JAI-CCU</c:v>
                </c:pt>
                <c:pt idx="67">
                  <c:v>JAI-DEL</c:v>
                </c:pt>
                <c:pt idx="68">
                  <c:v>JAI-GOI</c:v>
                </c:pt>
                <c:pt idx="69">
                  <c:v>JAI-HYD</c:v>
                </c:pt>
                <c:pt idx="70">
                  <c:v>JAI-MAA</c:v>
                </c:pt>
                <c:pt idx="71">
                  <c:v>JAI-PNQ</c:v>
                </c:pt>
                <c:pt idx="72">
                  <c:v>MAA-AMD</c:v>
                </c:pt>
                <c:pt idx="73">
                  <c:v>MAA-BLR</c:v>
                </c:pt>
                <c:pt idx="74">
                  <c:v>MAA-BOM</c:v>
                </c:pt>
                <c:pt idx="75">
                  <c:v>MAA-CCU</c:v>
                </c:pt>
                <c:pt idx="76">
                  <c:v>MAA-DEL</c:v>
                </c:pt>
                <c:pt idx="77">
                  <c:v>MAA-GOI</c:v>
                </c:pt>
                <c:pt idx="78">
                  <c:v>MAA-HYD</c:v>
                </c:pt>
                <c:pt idx="79">
                  <c:v>MAA-JAI</c:v>
                </c:pt>
                <c:pt idx="80">
                  <c:v>MAA-PNQ</c:v>
                </c:pt>
                <c:pt idx="81">
                  <c:v>PNQ-AMD</c:v>
                </c:pt>
                <c:pt idx="82">
                  <c:v>PNQ-BLR</c:v>
                </c:pt>
                <c:pt idx="83">
                  <c:v>PNQ-BOM</c:v>
                </c:pt>
                <c:pt idx="84">
                  <c:v>PNQ-CCU</c:v>
                </c:pt>
                <c:pt idx="85">
                  <c:v>PNQ-DEL</c:v>
                </c:pt>
                <c:pt idx="86">
                  <c:v>PNQ-GOI</c:v>
                </c:pt>
                <c:pt idx="87">
                  <c:v>PNQ-HYD</c:v>
                </c:pt>
                <c:pt idx="88">
                  <c:v>PNQ-JAI</c:v>
                </c:pt>
                <c:pt idx="89">
                  <c:v>PNQ-MAA</c:v>
                </c:pt>
              </c:strCache>
            </c:strRef>
          </c:cat>
          <c:val>
            <c:numRef>
              <c:f>'Pivort Tables'!$L$2:$L$92</c:f>
              <c:numCache>
                <c:formatCode>General</c:formatCode>
                <c:ptCount val="90"/>
                <c:pt idx="0">
                  <c:v>9363587</c:v>
                </c:pt>
                <c:pt idx="1">
                  <c:v>9739363</c:v>
                </c:pt>
                <c:pt idx="2">
                  <c:v>9199331</c:v>
                </c:pt>
                <c:pt idx="3">
                  <c:v>5596329</c:v>
                </c:pt>
                <c:pt idx="4">
                  <c:v>9256912</c:v>
                </c:pt>
                <c:pt idx="5">
                  <c:v>6678355</c:v>
                </c:pt>
                <c:pt idx="6">
                  <c:v>6872963</c:v>
                </c:pt>
                <c:pt idx="7">
                  <c:v>5500101</c:v>
                </c:pt>
                <c:pt idx="8">
                  <c:v>10546333</c:v>
                </c:pt>
                <c:pt idx="9">
                  <c:v>5789107</c:v>
                </c:pt>
                <c:pt idx="10">
                  <c:v>5104671</c:v>
                </c:pt>
                <c:pt idx="11">
                  <c:v>11109986</c:v>
                </c:pt>
                <c:pt idx="12">
                  <c:v>11614082</c:v>
                </c:pt>
                <c:pt idx="13">
                  <c:v>12430327</c:v>
                </c:pt>
                <c:pt idx="14">
                  <c:v>9792730</c:v>
                </c:pt>
                <c:pt idx="15">
                  <c:v>10512259</c:v>
                </c:pt>
                <c:pt idx="16">
                  <c:v>7497052</c:v>
                </c:pt>
                <c:pt idx="17">
                  <c:v>4443615</c:v>
                </c:pt>
                <c:pt idx="18">
                  <c:v>8145682</c:v>
                </c:pt>
                <c:pt idx="19">
                  <c:v>4653429</c:v>
                </c:pt>
                <c:pt idx="20">
                  <c:v>3790877</c:v>
                </c:pt>
                <c:pt idx="21">
                  <c:v>8707186</c:v>
                </c:pt>
                <c:pt idx="22">
                  <c:v>6649271</c:v>
                </c:pt>
                <c:pt idx="23">
                  <c:v>9256092</c:v>
                </c:pt>
                <c:pt idx="24">
                  <c:v>7596620</c:v>
                </c:pt>
                <c:pt idx="25">
                  <c:v>4168251</c:v>
                </c:pt>
                <c:pt idx="26">
                  <c:v>6239476</c:v>
                </c:pt>
                <c:pt idx="27">
                  <c:v>5070734</c:v>
                </c:pt>
                <c:pt idx="28">
                  <c:v>5026602</c:v>
                </c:pt>
                <c:pt idx="29">
                  <c:v>6795489</c:v>
                </c:pt>
                <c:pt idx="30">
                  <c:v>11188721</c:v>
                </c:pt>
                <c:pt idx="31">
                  <c:v>3283247</c:v>
                </c:pt>
                <c:pt idx="32">
                  <c:v>8450686</c:v>
                </c:pt>
                <c:pt idx="33">
                  <c:v>6491625</c:v>
                </c:pt>
                <c:pt idx="34">
                  <c:v>8970011</c:v>
                </c:pt>
                <c:pt idx="35">
                  <c:v>6454333</c:v>
                </c:pt>
                <c:pt idx="36">
                  <c:v>6259729</c:v>
                </c:pt>
                <c:pt idx="37">
                  <c:v>8055121</c:v>
                </c:pt>
                <c:pt idx="38">
                  <c:v>12234026</c:v>
                </c:pt>
                <c:pt idx="39">
                  <c:v>8763923</c:v>
                </c:pt>
                <c:pt idx="40">
                  <c:v>12017426</c:v>
                </c:pt>
                <c:pt idx="41">
                  <c:v>8860363</c:v>
                </c:pt>
                <c:pt idx="42">
                  <c:v>6266265</c:v>
                </c:pt>
                <c:pt idx="43">
                  <c:v>7931968</c:v>
                </c:pt>
                <c:pt idx="44">
                  <c:v>8766210</c:v>
                </c:pt>
                <c:pt idx="45">
                  <c:v>10628685</c:v>
                </c:pt>
                <c:pt idx="46">
                  <c:v>6950205</c:v>
                </c:pt>
                <c:pt idx="47">
                  <c:v>7801496</c:v>
                </c:pt>
                <c:pt idx="48">
                  <c:v>11597483</c:v>
                </c:pt>
                <c:pt idx="49">
                  <c:v>4139688</c:v>
                </c:pt>
                <c:pt idx="50">
                  <c:v>9870839</c:v>
                </c:pt>
                <c:pt idx="51">
                  <c:v>5161292</c:v>
                </c:pt>
                <c:pt idx="52">
                  <c:v>9296280</c:v>
                </c:pt>
                <c:pt idx="53">
                  <c:v>7991433</c:v>
                </c:pt>
                <c:pt idx="54">
                  <c:v>11927560</c:v>
                </c:pt>
                <c:pt idx="55">
                  <c:v>2895497</c:v>
                </c:pt>
                <c:pt idx="56">
                  <c:v>4104706</c:v>
                </c:pt>
                <c:pt idx="57">
                  <c:v>6621701</c:v>
                </c:pt>
                <c:pt idx="58">
                  <c:v>10162536</c:v>
                </c:pt>
                <c:pt idx="59">
                  <c:v>1794735</c:v>
                </c:pt>
                <c:pt idx="60">
                  <c:v>6639744</c:v>
                </c:pt>
                <c:pt idx="61">
                  <c:v>4346850</c:v>
                </c:pt>
                <c:pt idx="62">
                  <c:v>6489688</c:v>
                </c:pt>
                <c:pt idx="63">
                  <c:v>7612709</c:v>
                </c:pt>
                <c:pt idx="64">
                  <c:v>7710883</c:v>
                </c:pt>
                <c:pt idx="65">
                  <c:v>7734444</c:v>
                </c:pt>
                <c:pt idx="66">
                  <c:v>8920988</c:v>
                </c:pt>
                <c:pt idx="67">
                  <c:v>2543717</c:v>
                </c:pt>
                <c:pt idx="68">
                  <c:v>8799284</c:v>
                </c:pt>
                <c:pt idx="69">
                  <c:v>6805614</c:v>
                </c:pt>
                <c:pt idx="70">
                  <c:v>8555975</c:v>
                </c:pt>
                <c:pt idx="71">
                  <c:v>4932238</c:v>
                </c:pt>
                <c:pt idx="72">
                  <c:v>3260828</c:v>
                </c:pt>
                <c:pt idx="73">
                  <c:v>3394416</c:v>
                </c:pt>
                <c:pt idx="74">
                  <c:v>7141295</c:v>
                </c:pt>
                <c:pt idx="75">
                  <c:v>5682217</c:v>
                </c:pt>
                <c:pt idx="76">
                  <c:v>8676135</c:v>
                </c:pt>
                <c:pt idx="77">
                  <c:v>7678123</c:v>
                </c:pt>
                <c:pt idx="78">
                  <c:v>9670811</c:v>
                </c:pt>
                <c:pt idx="79">
                  <c:v>4461261</c:v>
                </c:pt>
                <c:pt idx="80">
                  <c:v>6479884</c:v>
                </c:pt>
                <c:pt idx="81">
                  <c:v>11228789</c:v>
                </c:pt>
                <c:pt idx="82">
                  <c:v>7156698</c:v>
                </c:pt>
                <c:pt idx="83">
                  <c:v>7476434</c:v>
                </c:pt>
                <c:pt idx="84">
                  <c:v>11313309</c:v>
                </c:pt>
                <c:pt idx="85">
                  <c:v>4802926</c:v>
                </c:pt>
                <c:pt idx="86">
                  <c:v>10148261</c:v>
                </c:pt>
                <c:pt idx="87">
                  <c:v>5925313</c:v>
                </c:pt>
                <c:pt idx="88">
                  <c:v>8157281</c:v>
                </c:pt>
                <c:pt idx="89">
                  <c:v>8349881</c:v>
                </c:pt>
              </c:numCache>
            </c:numRef>
          </c:val>
          <c:extLst>
            <c:ext xmlns:c16="http://schemas.microsoft.com/office/drawing/2014/chart" uri="{C3380CC4-5D6E-409C-BE32-E72D297353CC}">
              <c16:uniqueId val="{00000013-B226-4847-B6F5-0C78D3825F05}"/>
            </c:ext>
          </c:extLst>
        </c:ser>
        <c:dLbls>
          <c:showLegendKey val="0"/>
          <c:showVal val="0"/>
          <c:showCatName val="0"/>
          <c:showSerName val="0"/>
          <c:showPercent val="0"/>
          <c:showBubbleSize val="0"/>
        </c:dLbls>
        <c:gapWidth val="150"/>
        <c:overlap val="100"/>
        <c:axId val="64402159"/>
        <c:axId val="207191599"/>
      </c:barChart>
      <c:catAx>
        <c:axId val="6440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7191599"/>
        <c:crosses val="autoZero"/>
        <c:auto val="1"/>
        <c:lblAlgn val="ctr"/>
        <c:lblOffset val="100"/>
        <c:noMultiLvlLbl val="0"/>
      </c:catAx>
      <c:valAx>
        <c:axId val="20719159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15608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[Book3.csv.xlsx]Pivort Tables!PivotTable2</c:name>
    <c:fmtId val="5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circle"/>
          <c:size val="5"/>
          <c:spPr>
            <a:solidFill>
              <a:schemeClr val="accent2"/>
            </a:solidFill>
            <a:ln w="22225">
              <a:solidFill>
                <a:schemeClr val="lt1"/>
              </a:solidFill>
              <a:round/>
            </a:ln>
            <a:effectLst/>
          </c:spPr>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'Pivort Tables'!$E$1</c:f>
              <c:strCache>
                <c:ptCount val="1"/>
                <c:pt idx="0">
                  <c:v>Total</c:v>
                </c:pt>
              </c:strCache>
            </c:strRef>
          </c:tx>
          <c:spPr>
            <a:pattFill prst="ltUpDiag">
              <a:fgClr>
                <a:schemeClr val="accent2"/>
              </a:fgClr>
              <a:bgClr>
                <a:schemeClr val="lt1"/>
              </a:bgClr>
            </a:pattFill>
            <a:ln>
              <a:noFill/>
            </a:ln>
            <a:effectLst/>
          </c:spPr>
          <c:invertIfNegative val="0"/>
          <c:cat>
            <c:strRef>
              <c:f>'Pivort Tables'!$D$2:$D$11</c:f>
              <c:strCache>
                <c:ptCount val="9"/>
                <c:pt idx="0">
                  <c:v>AMD-BLR</c:v>
                </c:pt>
                <c:pt idx="1">
                  <c:v>DEL-BLR</c:v>
                </c:pt>
                <c:pt idx="2">
                  <c:v>JAI-BLR</c:v>
                </c:pt>
                <c:pt idx="3">
                  <c:v>PNQ-BLR</c:v>
                </c:pt>
                <c:pt idx="4">
                  <c:v>GOI-BLR</c:v>
                </c:pt>
                <c:pt idx="5">
                  <c:v>CCU-BLR</c:v>
                </c:pt>
                <c:pt idx="6">
                  <c:v>BOM-BLR</c:v>
                </c:pt>
                <c:pt idx="7">
                  <c:v>MAA-BLR</c:v>
                </c:pt>
                <c:pt idx="8">
                  <c:v>HYD-BLR</c:v>
                </c:pt>
              </c:strCache>
            </c:strRef>
          </c:cat>
          <c:val>
            <c:numRef>
              <c:f>'Pivort Tables'!$E$2:$E$11</c:f>
              <c:numCache>
                <c:formatCode>General</c:formatCode>
                <c:ptCount val="9"/>
                <c:pt idx="0">
                  <c:v>8504587</c:v>
                </c:pt>
                <c:pt idx="1">
                  <c:v>7433526</c:v>
                </c:pt>
                <c:pt idx="2">
                  <c:v>7052586</c:v>
                </c:pt>
                <c:pt idx="3">
                  <c:v>6594875</c:v>
                </c:pt>
                <c:pt idx="4">
                  <c:v>6376067</c:v>
                </c:pt>
                <c:pt idx="5">
                  <c:v>4621961</c:v>
                </c:pt>
                <c:pt idx="6">
                  <c:v>4246722</c:v>
                </c:pt>
                <c:pt idx="7">
                  <c:v>3133978</c:v>
                </c:pt>
                <c:pt idx="8">
                  <c:v>2688185</c:v>
                </c:pt>
              </c:numCache>
            </c:numRef>
          </c:val>
          <c:extLst>
            <c:ext xmlns:c16="http://schemas.microsoft.com/office/drawing/2014/chart" uri="{C3380CC4-5D6E-409C-BE32-E72D297353CC}">
              <c16:uniqueId val="{00000003-26B3-46DC-B3E0-67F279DBFB3E}"/>
            </c:ext>
          </c:extLst>
        </c:ser>
        <c:dLbls>
          <c:showLegendKey val="0"/>
          <c:showVal val="0"/>
          <c:showCatName val="0"/>
          <c:showSerName val="0"/>
          <c:showPercent val="0"/>
          <c:showBubbleSize val="0"/>
        </c:dLbls>
        <c:gapWidth val="269"/>
        <c:overlap val="-20"/>
        <c:axId val="22944111"/>
        <c:axId val="1819798927"/>
      </c:barChart>
      <c:catAx>
        <c:axId val="22944111"/>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19798927"/>
        <c:crosses val="autoZero"/>
        <c:auto val="1"/>
        <c:lblAlgn val="ctr"/>
        <c:lblOffset val="100"/>
        <c:noMultiLvlLbl val="0"/>
      </c:catAx>
      <c:valAx>
        <c:axId val="181979892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94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[Book3.csv.xlsx]Pivort Tables!PivotTable7</c:name>
    <c:fmtId val="3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'Pivort Tables'!$H$1</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'Pivort Tables'!$G$2:$G$14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 Tables'!$H$2:$H$14</c:f>
              <c:numCache>
                <c:formatCode>General</c:formatCode>
                <c:ptCount val="12"/>
                <c:pt idx="0">
                  <c:v>53213807</c:v>
                </c:pt>
                <c:pt idx="1">
                  <c:v>41150779</c:v>
                </c:pt>
                <c:pt idx="2">
                  <c:v>57914675</c:v>
                </c:pt>
                <c:pt idx="3">
                  <c:v>64342211</c:v>
                </c:pt>
                <c:pt idx="4">
                  <c:v>60761299</c:v>
                </c:pt>
                <c:pt idx="5">
                  <c:v>39884972</c:v>
                </c:pt>
                <c:pt idx="6">
                  <c:v>50525059</c:v>
                </c:pt>
                <c:pt idx="7">
                  <c:v>46265909</c:v>
                </c:pt>
                <c:pt idx="8">
                  <c:v>49015944</c:v>
                </c:pt>
                <c:pt idx="9">
                  <c:v>47949515</c:v>
                </c:pt>
                <c:pt idx="10">
                  <c:v>49800262</c:v>
                </c:pt>
                <c:pt idx="11">
                  <c:v>58525263</c:v>
                </c:pt>
              </c:numCache>
            </c:numRef>
          </c:val>
          <c:smooth val="0"/>
          <c:extLst>
            <c:ext xmlns:c16="http://schemas.microsoft.com/office/drawing/2014/chart" uri="{C3380CC4-5D6E-409C-BE32-E72D297353CC}">
              <c16:uniqueId val="{00000003-A9D5-49C6-AABF-8B85ED0431E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4320959"/>
        <c:axId val="1819883407"/>
      </c:lineChart>
      <c:catAx>
        <c:axId val="6432095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19883407"/>
        <c:crosses val="autoZero"/>
        <c:auto val="1"/>
        <c:lblAlgn val="ctr"/>
        <c:lblOffset val="100"/>
        <c:noMultiLvlLbl val="0"/>
      </c:catAx>
      <c:valAx>
        <c:axId val="1819883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432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[Book3.csv.xlsx]Pivort Tables!PivotTable5</c:name>
    <c:fmtId val="1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pivotFmt>
      <c:pivotFmt>
        <c:idx val="169"/>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0"/>
        <c:spPr>
          <a:solidFill>
            <a:schemeClr val="lt1"/>
          </a:solidFill>
          <a:ln w="19050">
            <a:solidFill>
              <a:schemeClr val="accent1"/>
            </a:solidFill>
          </a:ln>
          <a:effectLst/>
        </c:spPr>
        <c:dLbl>
          <c:idx val="0"/>
          <c:layout>
            <c:manualLayout>
              <c:x val="0.1551587495511498"/>
              <c:y val="9.2592592592592587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CFE4937-FB7F-4EC4-BDC8-7A73DF6E3B41}" type="CATEGORYNAME">
                  <a:rPr lang="en-US">
                    <a:solidFill>
                      <a:srgbClr val="FF0000"/>
                    </a:solidFill>
                  </a:rPr>
                  <a:pPr>
                    <a:defRPr/>
                  </a:pPr>
                  <a:t>[CATEGORY NAME]</a:t>
                </a:fld>
                <a:r>
                  <a:rPr lang="en-US" baseline="0"/>
                  <a:t>
</a:t>
                </a:r>
                <a:fld id="{A3ED9DE5-FDA3-4DD7-8F53-BBAC556AF409}"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2"/>
        <c:spPr>
          <a:solidFill>
            <a:schemeClr val="lt1"/>
          </a:solidFill>
          <a:ln w="19050">
            <a:solidFill>
              <a:schemeClr val="accent1"/>
            </a:solidFill>
          </a:ln>
          <a:effectLst/>
        </c:spPr>
        <c:dLbl>
          <c:idx val="0"/>
          <c:layout>
            <c:manualLayout>
              <c:x val="-0.15066139449169619"/>
              <c:y val="-4.1666666666666755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AFB7D1FC-1025-411F-ADC8-09BDC629B236}" type="CATEGORYNAME">
                  <a:rPr lang="en-US">
                    <a:solidFill>
                      <a:srgbClr val="FF0000"/>
                    </a:solidFill>
                  </a:rPr>
                  <a:pPr>
                    <a:defRPr/>
                  </a:pPr>
                  <a:t>[CATEGORY NAME]</a:t>
                </a:fld>
                <a:r>
                  <a:rPr lang="en-US" baseline="0"/>
                  <a:t>
</a:t>
                </a:r>
                <a:fld id="{6264C0C6-7B87-4EAA-916F-90DDA7D74499}"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'Pivort Tables'!$O$1</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37B1-4C72-9FF8-2D782DA6596F}"/>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5-37B1-4C72-9FF8-2D782DA6596F}"/>
              </c:ext>
            </c:extLst>
          </c:dPt>
          <c:dLbls>
            <c:dLbl>
              <c:idx val="0"/>
              <c:layout>
                <c:manualLayout>
                  <c:x val="0.1551587495511498"/>
                  <c:y val="9.2592592592592587E-3"/>
                </c:manualLayout>
              </c:layout>
              <c:tx>
                <c:rich>
                  <a:bodyPr/>
                  <a:lstStyle/>
                  <a:p>
                    <a:fld id="{ECFE4937-FB7F-4EC4-BDC8-7A73DF6E3B41}" type="CATEGORYNAME">
                      <a:rPr lang="en-US">
                        <a:solidFill>
                          <a:srgbClr val="FF0000"/>
                        </a:solidFill>
                      </a:rPr>
                      <a:pPr/>
                      <a:t>[CATEGORY NAME]</a:t>
                    </a:fld>
                    <a:r>
                      <a:rPr lang="en-US" baseline="0"/>
                      <a:t>
</a:t>
                    </a:r>
                    <a:fld id="{A3ED9DE5-FDA3-4DD7-8F53-BBAC556AF409}"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7B1-4C72-9FF8-2D782DA6596F}"/>
                </c:ext>
              </c:extLst>
            </c:dLbl>
            <c:dLbl>
              <c:idx val="1"/>
              <c:layout>
                <c:manualLayout>
                  <c:x val="-0.15066139449169619"/>
                  <c:y val="-4.1666666666666755E-2"/>
                </c:manualLayout>
              </c:layout>
              <c:tx>
                <c:rich>
                  <a:bodyPr/>
                  <a:lstStyle/>
                  <a:p>
                    <a:fld id="{AFB7D1FC-1025-411F-ADC8-09BDC629B236}" type="CATEGORYNAME">
                      <a:rPr lang="en-US">
                        <a:solidFill>
                          <a:srgbClr val="FF0000"/>
                        </a:solidFill>
                      </a:rPr>
                      <a:pPr/>
                      <a:t>[CATEGORY NAME]</a:t>
                    </a:fld>
                    <a:r>
                      <a:rPr lang="en-US" baseline="0"/>
                      <a:t>
</a:t>
                    </a:r>
                    <a:fld id="{6264C0C6-7B87-4EAA-916F-90DDA7D74499}"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7B1-4C72-9FF8-2D782DA659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'Pivort Tables'!$N$2:$N$3</c:f>
              <c:strCache>
                <c:ptCount val="2"/>
                <c:pt idx="0">
                  <c:v>Sum of SeatsAvailable</c:v>
                </c:pt>
                <c:pt idx="1">
                  <c:v>Sum of SeatsSold</c:v>
                </c:pt>
              </c:strCache>
            </c:strRef>
          </c:cat>
          <c:val>
            <c:numRef>
              <c:f>'Pivort Tables'!$O$2:$O$3</c:f>
              <c:numCache>
                <c:formatCode>General</c:formatCode>
                <c:ptCount val="2"/>
                <c:pt idx="0">
                  <c:v>143505</c:v>
                </c:pt>
                <c:pt idx="1">
                  <c:v>93066</c:v>
                </c:pt>
              </c:numCache>
            </c:numRef>
          </c:val>
          <c:extLst>
            <c:ext xmlns:c16="http://schemas.microsoft.com/office/drawing/2014/chart" uri="{C3380CC4-5D6E-409C-BE32-E72D297353CC}">
              <c16:uniqueId val="{00000002-37B1-4C72-9FF8-2D782DA6596F}"/>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70925</xdr:colOff>
      <xdr:row>20</xdr:row>
      <xdr:rowOff>24620</xdr:rowOff>
    </xdr:from>
    <xdr:to>
      <xdr:col>14</xdr:col>
      <xdr:colOff>0</xdr:colOff>
      <xdr:row>35</xdr:row>
      <xdr:rowOff>56270</xdr:rowOff>
    </xdr:to>
    <xdr:graphicFrame macro="">
      <xdr:nvGraphicFramePr>
        <xdr:cNvPr id="9" name="Chart 8">
          <a:extLst>
            <a:ext uri="{FF2B5EF4-FFF2-40B4-BE49-F238E27FC236}">
              <a16:creationId xmlns:a16="http://schemas.microsoft.com/office/drawing/2014/main" id="{443CD2F4-8D75-4BEE-8FE8-4EF947C5D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112649</xdr:colOff>
      <xdr:row>1</xdr:row>
      <xdr:rowOff>155</xdr:rowOff>
    </xdr:from>
    <xdr:to>
      <xdr:col>1</xdr:col>
      <xdr:colOff>597955</xdr:colOff>
      <xdr:row>2</xdr:row>
      <xdr:rowOff>148958</xdr:rowOff>
    </xdr:to>
    <xdr:grpSp>
      <xdr:nvGrpSpPr>
        <xdr:cNvPr id="37" name="Group 36">
          <a:extLst>
            <a:ext uri="{FF2B5EF4-FFF2-40B4-BE49-F238E27FC236}">
              <a16:creationId xmlns:a16="http://schemas.microsoft.com/office/drawing/2014/main" id="{6DA7122B-2EC4-EE59-4E30-77AD5CF68490}"/>
            </a:ext>
          </a:extLst>
        </xdr:cNvPr>
        <xdr:cNvGrpSpPr/>
      </xdr:nvGrpSpPr>
      <xdr:grpSpPr>
        <a:xfrm>
          <a:off x="937402" y="179449"/>
          <a:ext cx="485306" cy="399815"/>
          <a:chOff x="4088301" y="185685"/>
          <a:chExt cx="485306" cy="400595"/>
        </a:xfrm>
      </xdr:grpSpPr>
      <xdr:sp macro="" textlink="">
        <xdr:nvSpPr>
          <xdr:cNvPr id="35" name="Freeform: Shape 34">
            <a:extLst>
              <a:ext uri="{FF2B5EF4-FFF2-40B4-BE49-F238E27FC236}">
                <a16:creationId xmlns:a16="http://schemas.microsoft.com/office/drawing/2014/main" id="{195DA956-A9F3-4AA8-94BC-0954784577FE}"/>
              </a:ext>
            </a:extLst>
          </xdr:cNvPr>
          <xdr:cNvSpPr/>
        </xdr:nvSpPr>
        <xdr:spPr>
          <a:xfrm>
            <a:off x="4088301" y="185685"/>
            <a:ext cx="485306" cy="400595"/>
          </a:xfrm>
          <a:custGeom>
            <a:avLst/>
            <a:gdLst>
              <a:gd name="csX0" fmla="*/ 35726 w 485306"/>
              <a:gd name="csY0" fmla="*/ 0 h 440985"/>
              <a:gd name="csX1" fmla="*/ 485306 w 485306"/>
              <a:gd name="csY1" fmla="*/ 373380 h 440985"/>
            </a:gdLst>
            <a:ahLst/>
            <a:cxnLst>
              <a:cxn ang="0">
                <a:pos x="csX0" y="csY0"/>
              </a:cxn>
              <a:cxn ang="0">
                <a:pos x="csX1" y="csY1"/>
              </a:cxn>
            </a:cxnLst>
            <a:rect l="l" t="t" r="r" b="b"/>
            <a:pathLst>
              <a:path w="485306" h="440985">
                <a:moveTo>
                  <a:pt x="35726" y="0"/>
                </a:moveTo>
                <a:cubicBezTo>
                  <a:pt x="-22694" y="287655"/>
                  <a:pt x="-81114" y="575310"/>
                  <a:pt x="485306" y="373380"/>
                </a:cubicBezTo>
              </a:path>
            </a:pathLst>
          </a:custGeom>
          <a:noFill/>
          <a:effectLst>
            <a:glow rad="101600">
              <a:schemeClr val="bg2">
                <a:lumMod val="1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36" name="Straight Connector 35">
            <a:extLst>
              <a:ext uri="{FF2B5EF4-FFF2-40B4-BE49-F238E27FC236}">
                <a16:creationId xmlns:a16="http://schemas.microsoft.com/office/drawing/2014/main" id="{AE10C42B-B59F-48FF-931E-6BFB33517F48}"/>
              </a:ext>
            </a:extLst>
          </xdr:cNvPr>
          <xdr:cNvCxnSpPr/>
        </xdr:nvCxnSpPr>
        <xdr:spPr>
          <a:xfrm flipV="1">
            <a:off x="4318973" y="212521"/>
            <a:ext cx="7672" cy="304764"/>
          </a:xfrm>
          <a:prstGeom prst="line">
            <a:avLst/>
          </a:prstGeom>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4</xdr:col>
      <xdr:colOff>112649</xdr:colOff>
      <xdr:row>1</xdr:row>
      <xdr:rowOff>155</xdr:rowOff>
    </xdr:from>
    <xdr:to>
      <xdr:col>4</xdr:col>
      <xdr:colOff>597955</xdr:colOff>
      <xdr:row>2</xdr:row>
      <xdr:rowOff>148958</xdr:rowOff>
    </xdr:to>
    <xdr:grpSp>
      <xdr:nvGrpSpPr>
        <xdr:cNvPr id="38" name="Group 37">
          <a:extLst>
            <a:ext uri="{FF2B5EF4-FFF2-40B4-BE49-F238E27FC236}">
              <a16:creationId xmlns:a16="http://schemas.microsoft.com/office/drawing/2014/main" id="{6C39097F-5A93-4146-ABEF-3A350CA5CF27}"/>
            </a:ext>
          </a:extLst>
        </xdr:cNvPr>
        <xdr:cNvGrpSpPr/>
      </xdr:nvGrpSpPr>
      <xdr:grpSpPr>
        <a:xfrm>
          <a:off x="3196508" y="179449"/>
          <a:ext cx="485306" cy="399815"/>
          <a:chOff x="4088301" y="185685"/>
          <a:chExt cx="485306" cy="400595"/>
        </a:xfrm>
      </xdr:grpSpPr>
      <xdr:sp macro="" textlink="">
        <xdr:nvSpPr>
          <xdr:cNvPr id="39" name="Freeform: Shape 38">
            <a:extLst>
              <a:ext uri="{FF2B5EF4-FFF2-40B4-BE49-F238E27FC236}">
                <a16:creationId xmlns:a16="http://schemas.microsoft.com/office/drawing/2014/main" id="{70229A23-482C-A396-6FE8-01A87FC4692F}"/>
              </a:ext>
            </a:extLst>
          </xdr:cNvPr>
          <xdr:cNvSpPr/>
        </xdr:nvSpPr>
        <xdr:spPr>
          <a:xfrm>
            <a:off x="4088301" y="185685"/>
            <a:ext cx="485306" cy="400595"/>
          </a:xfrm>
          <a:custGeom>
            <a:avLst/>
            <a:gdLst>
              <a:gd name="csX0" fmla="*/ 35726 w 485306"/>
              <a:gd name="csY0" fmla="*/ 0 h 440985"/>
              <a:gd name="csX1" fmla="*/ 485306 w 485306"/>
              <a:gd name="csY1" fmla="*/ 373380 h 440985"/>
            </a:gdLst>
            <a:ahLst/>
            <a:cxnLst>
              <a:cxn ang="0">
                <a:pos x="csX0" y="csY0"/>
              </a:cxn>
              <a:cxn ang="0">
                <a:pos x="csX1" y="csY1"/>
              </a:cxn>
            </a:cxnLst>
            <a:rect l="l" t="t" r="r" b="b"/>
            <a:pathLst>
              <a:path w="485306" h="440985">
                <a:moveTo>
                  <a:pt x="35726" y="0"/>
                </a:moveTo>
                <a:cubicBezTo>
                  <a:pt x="-22694" y="287655"/>
                  <a:pt x="-81114" y="575310"/>
                  <a:pt x="485306" y="373380"/>
                </a:cubicBezTo>
              </a:path>
            </a:pathLst>
          </a:custGeom>
          <a:noFill/>
          <a:effectLst>
            <a:glow rad="101600">
              <a:schemeClr val="bg2">
                <a:lumMod val="1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40" name="Straight Connector 39">
            <a:extLst>
              <a:ext uri="{FF2B5EF4-FFF2-40B4-BE49-F238E27FC236}">
                <a16:creationId xmlns:a16="http://schemas.microsoft.com/office/drawing/2014/main" id="{E240805C-AD73-9F29-EB0A-A017F061D5D5}"/>
              </a:ext>
            </a:extLst>
          </xdr:cNvPr>
          <xdr:cNvCxnSpPr/>
        </xdr:nvCxnSpPr>
        <xdr:spPr>
          <a:xfrm flipV="1">
            <a:off x="4318973" y="212521"/>
            <a:ext cx="7672" cy="304764"/>
          </a:xfrm>
          <a:prstGeom prst="line">
            <a:avLst/>
          </a:prstGeom>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7</xdr:col>
      <xdr:colOff>112649</xdr:colOff>
      <xdr:row>1</xdr:row>
      <xdr:rowOff>155</xdr:rowOff>
    </xdr:from>
    <xdr:to>
      <xdr:col>7</xdr:col>
      <xdr:colOff>597955</xdr:colOff>
      <xdr:row>2</xdr:row>
      <xdr:rowOff>148958</xdr:rowOff>
    </xdr:to>
    <xdr:grpSp>
      <xdr:nvGrpSpPr>
        <xdr:cNvPr id="41" name="Group 40">
          <a:extLst>
            <a:ext uri="{FF2B5EF4-FFF2-40B4-BE49-F238E27FC236}">
              <a16:creationId xmlns:a16="http://schemas.microsoft.com/office/drawing/2014/main" id="{1DE8334E-6129-41CB-9C73-B2628AC00F71}"/>
            </a:ext>
          </a:extLst>
        </xdr:cNvPr>
        <xdr:cNvGrpSpPr/>
      </xdr:nvGrpSpPr>
      <xdr:grpSpPr>
        <a:xfrm>
          <a:off x="5697661" y="179449"/>
          <a:ext cx="485306" cy="399815"/>
          <a:chOff x="4088301" y="185685"/>
          <a:chExt cx="485306" cy="400595"/>
        </a:xfrm>
      </xdr:grpSpPr>
      <xdr:sp macro="" textlink="">
        <xdr:nvSpPr>
          <xdr:cNvPr id="42" name="Freeform: Shape 41">
            <a:extLst>
              <a:ext uri="{FF2B5EF4-FFF2-40B4-BE49-F238E27FC236}">
                <a16:creationId xmlns:a16="http://schemas.microsoft.com/office/drawing/2014/main" id="{81816417-49A2-6770-4156-10DF4FB4AC2E}"/>
              </a:ext>
            </a:extLst>
          </xdr:cNvPr>
          <xdr:cNvSpPr/>
        </xdr:nvSpPr>
        <xdr:spPr>
          <a:xfrm>
            <a:off x="4088301" y="185685"/>
            <a:ext cx="485306" cy="400595"/>
          </a:xfrm>
          <a:custGeom>
            <a:avLst/>
            <a:gdLst>
              <a:gd name="csX0" fmla="*/ 35726 w 485306"/>
              <a:gd name="csY0" fmla="*/ 0 h 440985"/>
              <a:gd name="csX1" fmla="*/ 485306 w 485306"/>
              <a:gd name="csY1" fmla="*/ 373380 h 440985"/>
            </a:gdLst>
            <a:ahLst/>
            <a:cxnLst>
              <a:cxn ang="0">
                <a:pos x="csX0" y="csY0"/>
              </a:cxn>
              <a:cxn ang="0">
                <a:pos x="csX1" y="csY1"/>
              </a:cxn>
            </a:cxnLst>
            <a:rect l="l" t="t" r="r" b="b"/>
            <a:pathLst>
              <a:path w="485306" h="440985">
                <a:moveTo>
                  <a:pt x="35726" y="0"/>
                </a:moveTo>
                <a:cubicBezTo>
                  <a:pt x="-22694" y="287655"/>
                  <a:pt x="-81114" y="575310"/>
                  <a:pt x="485306" y="373380"/>
                </a:cubicBezTo>
              </a:path>
            </a:pathLst>
          </a:custGeom>
          <a:noFill/>
          <a:effectLst>
            <a:glow rad="101600">
              <a:schemeClr val="bg2">
                <a:lumMod val="1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43" name="Straight Connector 42">
            <a:extLst>
              <a:ext uri="{FF2B5EF4-FFF2-40B4-BE49-F238E27FC236}">
                <a16:creationId xmlns:a16="http://schemas.microsoft.com/office/drawing/2014/main" id="{6853C581-5333-0434-3236-1FEFFF684FF8}"/>
              </a:ext>
            </a:extLst>
          </xdr:cNvPr>
          <xdr:cNvCxnSpPr/>
        </xdr:nvCxnSpPr>
        <xdr:spPr>
          <a:xfrm flipV="1">
            <a:off x="4318973" y="212521"/>
            <a:ext cx="7672" cy="304764"/>
          </a:xfrm>
          <a:prstGeom prst="line">
            <a:avLst/>
          </a:prstGeom>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10</xdr:col>
      <xdr:colOff>112649</xdr:colOff>
      <xdr:row>1</xdr:row>
      <xdr:rowOff>155</xdr:rowOff>
    </xdr:from>
    <xdr:to>
      <xdr:col>10</xdr:col>
      <xdr:colOff>597955</xdr:colOff>
      <xdr:row>2</xdr:row>
      <xdr:rowOff>148958</xdr:rowOff>
    </xdr:to>
    <xdr:grpSp>
      <xdr:nvGrpSpPr>
        <xdr:cNvPr id="44" name="Group 43">
          <a:extLst>
            <a:ext uri="{FF2B5EF4-FFF2-40B4-BE49-F238E27FC236}">
              <a16:creationId xmlns:a16="http://schemas.microsoft.com/office/drawing/2014/main" id="{D1B77C12-7E81-433A-99A8-A05E453C8C7F}"/>
            </a:ext>
          </a:extLst>
        </xdr:cNvPr>
        <xdr:cNvGrpSpPr/>
      </xdr:nvGrpSpPr>
      <xdr:grpSpPr>
        <a:xfrm>
          <a:off x="8252602" y="179449"/>
          <a:ext cx="485306" cy="399815"/>
          <a:chOff x="4088301" y="185685"/>
          <a:chExt cx="485306" cy="400595"/>
        </a:xfrm>
      </xdr:grpSpPr>
      <xdr:sp macro="" textlink="">
        <xdr:nvSpPr>
          <xdr:cNvPr id="45" name="Freeform: Shape 44">
            <a:extLst>
              <a:ext uri="{FF2B5EF4-FFF2-40B4-BE49-F238E27FC236}">
                <a16:creationId xmlns:a16="http://schemas.microsoft.com/office/drawing/2014/main" id="{93891122-37F9-A536-38B3-68651324BB24}"/>
              </a:ext>
            </a:extLst>
          </xdr:cNvPr>
          <xdr:cNvSpPr/>
        </xdr:nvSpPr>
        <xdr:spPr>
          <a:xfrm>
            <a:off x="4088301" y="185685"/>
            <a:ext cx="485306" cy="400595"/>
          </a:xfrm>
          <a:custGeom>
            <a:avLst/>
            <a:gdLst>
              <a:gd name="csX0" fmla="*/ 35726 w 485306"/>
              <a:gd name="csY0" fmla="*/ 0 h 440985"/>
              <a:gd name="csX1" fmla="*/ 485306 w 485306"/>
              <a:gd name="csY1" fmla="*/ 373380 h 440985"/>
            </a:gdLst>
            <a:ahLst/>
            <a:cxnLst>
              <a:cxn ang="0">
                <a:pos x="csX0" y="csY0"/>
              </a:cxn>
              <a:cxn ang="0">
                <a:pos x="csX1" y="csY1"/>
              </a:cxn>
            </a:cxnLst>
            <a:rect l="l" t="t" r="r" b="b"/>
            <a:pathLst>
              <a:path w="485306" h="440985">
                <a:moveTo>
                  <a:pt x="35726" y="0"/>
                </a:moveTo>
                <a:cubicBezTo>
                  <a:pt x="-22694" y="287655"/>
                  <a:pt x="-81114" y="575310"/>
                  <a:pt x="485306" y="373380"/>
                </a:cubicBezTo>
              </a:path>
            </a:pathLst>
          </a:custGeom>
          <a:noFill/>
          <a:effectLst>
            <a:glow rad="101600">
              <a:schemeClr val="bg2">
                <a:lumMod val="1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46" name="Straight Connector 45">
            <a:extLst>
              <a:ext uri="{FF2B5EF4-FFF2-40B4-BE49-F238E27FC236}">
                <a16:creationId xmlns:a16="http://schemas.microsoft.com/office/drawing/2014/main" id="{F22EAA0F-CC9F-1613-65DA-2D1C9A933718}"/>
              </a:ext>
            </a:extLst>
          </xdr:cNvPr>
          <xdr:cNvCxnSpPr/>
        </xdr:nvCxnSpPr>
        <xdr:spPr>
          <a:xfrm flipV="1">
            <a:off x="4318973" y="212521"/>
            <a:ext cx="7672" cy="304764"/>
          </a:xfrm>
          <a:prstGeom prst="line">
            <a:avLst/>
          </a:prstGeom>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13</xdr:col>
      <xdr:colOff>431304</xdr:colOff>
      <xdr:row>1</xdr:row>
      <xdr:rowOff>155</xdr:rowOff>
    </xdr:from>
    <xdr:to>
      <xdr:col>13</xdr:col>
      <xdr:colOff>916610</xdr:colOff>
      <xdr:row>2</xdr:row>
      <xdr:rowOff>148958</xdr:rowOff>
    </xdr:to>
    <xdr:grpSp>
      <xdr:nvGrpSpPr>
        <xdr:cNvPr id="50" name="Group 49">
          <a:extLst>
            <a:ext uri="{FF2B5EF4-FFF2-40B4-BE49-F238E27FC236}">
              <a16:creationId xmlns:a16="http://schemas.microsoft.com/office/drawing/2014/main" id="{BB9F39B6-244A-4F71-8C1B-A27217338BAF}"/>
            </a:ext>
          </a:extLst>
        </xdr:cNvPr>
        <xdr:cNvGrpSpPr/>
      </xdr:nvGrpSpPr>
      <xdr:grpSpPr>
        <a:xfrm>
          <a:off x="11601328" y="179449"/>
          <a:ext cx="485306" cy="399815"/>
          <a:chOff x="4088301" y="185685"/>
          <a:chExt cx="485306" cy="400595"/>
        </a:xfrm>
      </xdr:grpSpPr>
      <xdr:sp macro="" textlink="">
        <xdr:nvSpPr>
          <xdr:cNvPr id="51" name="Freeform: Shape 50">
            <a:extLst>
              <a:ext uri="{FF2B5EF4-FFF2-40B4-BE49-F238E27FC236}">
                <a16:creationId xmlns:a16="http://schemas.microsoft.com/office/drawing/2014/main" id="{85D744C7-3FA8-2C5C-CB0F-AE67EBB409DE}"/>
              </a:ext>
            </a:extLst>
          </xdr:cNvPr>
          <xdr:cNvSpPr/>
        </xdr:nvSpPr>
        <xdr:spPr>
          <a:xfrm>
            <a:off x="4088301" y="185685"/>
            <a:ext cx="485306" cy="400595"/>
          </a:xfrm>
          <a:custGeom>
            <a:avLst/>
            <a:gdLst>
              <a:gd name="csX0" fmla="*/ 35726 w 485306"/>
              <a:gd name="csY0" fmla="*/ 0 h 440985"/>
              <a:gd name="csX1" fmla="*/ 485306 w 485306"/>
              <a:gd name="csY1" fmla="*/ 373380 h 440985"/>
            </a:gdLst>
            <a:ahLst/>
            <a:cxnLst>
              <a:cxn ang="0">
                <a:pos x="csX0" y="csY0"/>
              </a:cxn>
              <a:cxn ang="0">
                <a:pos x="csX1" y="csY1"/>
              </a:cxn>
            </a:cxnLst>
            <a:rect l="l" t="t" r="r" b="b"/>
            <a:pathLst>
              <a:path w="485306" h="440985">
                <a:moveTo>
                  <a:pt x="35726" y="0"/>
                </a:moveTo>
                <a:cubicBezTo>
                  <a:pt x="-22694" y="287655"/>
                  <a:pt x="-81114" y="575310"/>
                  <a:pt x="485306" y="373380"/>
                </a:cubicBezTo>
              </a:path>
            </a:pathLst>
          </a:custGeom>
          <a:noFill/>
          <a:effectLst>
            <a:glow rad="101600">
              <a:schemeClr val="bg2">
                <a:lumMod val="1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52" name="Straight Connector 51">
            <a:extLst>
              <a:ext uri="{FF2B5EF4-FFF2-40B4-BE49-F238E27FC236}">
                <a16:creationId xmlns:a16="http://schemas.microsoft.com/office/drawing/2014/main" id="{B079EAF4-5CE3-679A-3171-2F9B38133546}"/>
              </a:ext>
            </a:extLst>
          </xdr:cNvPr>
          <xdr:cNvCxnSpPr/>
        </xdr:nvCxnSpPr>
        <xdr:spPr>
          <a:xfrm flipV="1">
            <a:off x="4318973" y="212521"/>
            <a:ext cx="7672" cy="304764"/>
          </a:xfrm>
          <a:prstGeom prst="line">
            <a:avLst/>
          </a:prstGeom>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0</xdr:col>
      <xdr:colOff>6626</xdr:colOff>
      <xdr:row>5</xdr:row>
      <xdr:rowOff>2803</xdr:rowOff>
    </xdr:from>
    <xdr:to>
      <xdr:col>7</xdr:col>
      <xdr:colOff>137160</xdr:colOff>
      <xdr:row>20</xdr:row>
      <xdr:rowOff>53340</xdr:rowOff>
    </xdr:to>
    <xdr:graphicFrame macro="">
      <xdr:nvGraphicFramePr>
        <xdr:cNvPr id="53" name="Chart 52">
          <a:extLst>
            <a:ext uri="{FF2B5EF4-FFF2-40B4-BE49-F238E27FC236}">
              <a16:creationId xmlns:a16="http://schemas.microsoft.com/office/drawing/2014/main" id="{3518147D-6C0A-78F9-4723-D35CAC993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141005</xdr:colOff>
      <xdr:row>5</xdr:row>
      <xdr:rowOff>2803</xdr:rowOff>
    </xdr:from>
    <xdr:to>
      <xdr:col>14</xdr:col>
      <xdr:colOff>22860</xdr:colOff>
      <xdr:row>20</xdr:row>
      <xdr:rowOff>22680</xdr:rowOff>
    </xdr:to>
    <xdr:graphicFrame macro="">
      <xdr:nvGraphicFramePr>
        <xdr:cNvPr id="54" name="Chart 53">
          <a:extLst>
            <a:ext uri="{FF2B5EF4-FFF2-40B4-BE49-F238E27FC236}">
              <a16:creationId xmlns:a16="http://schemas.microsoft.com/office/drawing/2014/main" id="{AB14F607-B0A7-96D4-E94C-0DA472310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40178</xdr:colOff>
      <xdr:row>5</xdr:row>
      <xdr:rowOff>40870</xdr:rowOff>
    </xdr:from>
    <xdr:to>
      <xdr:col>17</xdr:col>
      <xdr:colOff>40178</xdr:colOff>
      <xdr:row>20</xdr:row>
      <xdr:rowOff>110837</xdr:rowOff>
    </xdr:to>
    <mc:AlternateContent xmlns:mc="http://schemas.openxmlformats.org/markup-compatibility/2006" xmlns:a14="http://schemas.microsoft.com/office/drawing/2010/main">
      <mc:Choice Requires="a14">
        <xdr:graphicFrame macro="">
          <xdr:nvGraphicFramePr>
            <xdr:cNvPr id="2" name="Destination">
              <a:extLst>
                <a:ext uri="{FF2B5EF4-FFF2-40B4-BE49-F238E27FC236}">
                  <a16:creationId xmlns:a16="http://schemas.microsoft.com/office/drawing/2014/main" id="{2A53592B-55C3-EDCC-F54D-A74E3CC1118F}"/>
                </a:ext>
              </a:extLst>
            </xdr:cNvPr>
            <xdr:cNvGraphicFramePr/>
          </xdr:nvGraphicFramePr>
          <xdr:xfrm>
            <a:off x="0" y="0"/>
            <a:ext cx="0" cy="0"/>
          </xdr:xfrm>
          <a:graphic>
            <a:graphicData uri="http://schemas.microsoft.com/office/drawing/2010/slicer">
              <sle:slicer xmlns:sle="http://schemas.microsoft.com/office/drawing/2010/slicer" name="Destination"/>
            </a:graphicData>
          </a:graphic>
        </xdr:graphicFrame>
      </mc:Choice>
      <mc:Fallback xmlns="">
        <xdr:sp macro="" textlink="">
          <xdr:nvSpPr>
            <xdr:cNvPr id="0" name=""/>
            <xdr:cNvSpPr>
              <a:spLocks noTextEdit="1"/>
            </xdr:cNvSpPr>
          </xdr:nvSpPr>
          <xdr:spPr>
            <a:xfrm>
              <a:off x="12135196" y="1093815"/>
              <a:ext cx="1828800" cy="2771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40179</xdr:colOff>
      <xdr:row>20</xdr:row>
      <xdr:rowOff>123998</xdr:rowOff>
    </xdr:from>
    <xdr:to>
      <xdr:col>17</xdr:col>
      <xdr:colOff>40179</xdr:colOff>
      <xdr:row>35</xdr:row>
      <xdr:rowOff>3637</xdr:rowOff>
    </xdr:to>
    <mc:AlternateContent xmlns:mc="http://schemas.openxmlformats.org/markup-compatibility/2006" xmlns:a14="http://schemas.microsoft.com/office/drawing/2010/main">
      <mc:Choice Requires="a14">
        <xdr:graphicFrame macro="">
          <xdr:nvGraphicFramePr>
            <xdr:cNvPr id="3" name="RouteCode">
              <a:extLst>
                <a:ext uri="{FF2B5EF4-FFF2-40B4-BE49-F238E27FC236}">
                  <a16:creationId xmlns:a16="http://schemas.microsoft.com/office/drawing/2014/main" id="{703353F3-192F-C8FD-E2A6-A2AF4B6D2639}"/>
                </a:ext>
              </a:extLst>
            </xdr:cNvPr>
            <xdr:cNvGraphicFramePr/>
          </xdr:nvGraphicFramePr>
          <xdr:xfrm>
            <a:off x="0" y="0"/>
            <a:ext cx="0" cy="0"/>
          </xdr:xfrm>
          <a:graphic>
            <a:graphicData uri="http://schemas.microsoft.com/office/drawing/2010/slicer">
              <sle:slicer xmlns:sle="http://schemas.microsoft.com/office/drawing/2010/slicer" name="RouteCode"/>
            </a:graphicData>
          </a:graphic>
        </xdr:graphicFrame>
      </mc:Choice>
      <mc:Fallback xmlns="">
        <xdr:sp macro="" textlink="">
          <xdr:nvSpPr>
            <xdr:cNvPr id="0" name=""/>
            <xdr:cNvSpPr>
              <a:spLocks noTextEdit="1"/>
            </xdr:cNvSpPr>
          </xdr:nvSpPr>
          <xdr:spPr>
            <a:xfrm>
              <a:off x="12135197" y="38785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8965</xdr:colOff>
      <xdr:row>20</xdr:row>
      <xdr:rowOff>26893</xdr:rowOff>
    </xdr:from>
    <xdr:to>
      <xdr:col>7</xdr:col>
      <xdr:colOff>71717</xdr:colOff>
      <xdr:row>35</xdr:row>
      <xdr:rowOff>80681</xdr:rowOff>
    </xdr:to>
    <xdr:graphicFrame macro="">
      <xdr:nvGraphicFramePr>
        <xdr:cNvPr id="8" name="Chart 7">
          <a:extLst>
            <a:ext uri="{FF2B5EF4-FFF2-40B4-BE49-F238E27FC236}">
              <a16:creationId xmlns:a16="http://schemas.microsoft.com/office/drawing/2014/main" id="{50D61B05-6333-42AE-840F-16C6D6A78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cuments/AirlineRoutesData.xlsx" TargetMode="External"/><Relationship Id="rId2" Type="http://schemas.openxmlformats.org/officeDocument/2006/relationships/externalLinkPath" Target="https://d.docs.live.net/F1C41580C55A67F5/Documents/AirlineRoutesData.xlsx" TargetMode="External"/><Relationship Id="rId1" Type="http://schemas.openxmlformats.org/officeDocument/2006/relationships/externalLinkPath" Target="/F1C41580C55A67F5/Documents/AirlineRoutes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irlineRoutesData"/>
      <sheetName val="Queries"/>
      <sheetName val="Sheet4"/>
      <sheetName val="Pivort Tables"/>
      <sheetName val="Sheet1"/>
      <sheetName val="Dashboard"/>
    </sheetNames>
    <sheetDataSet>
      <sheetData sheetId="0"/>
      <sheetData sheetId="1"/>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F1C41580C55A67F5/Documents/AirlineRoutesData.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Vahh" refreshedDate="46178.395699768516" createdVersion="8" refreshedVersion="8" minRefreshableVersion="3" recordCount="1000" xr:uid="{DF93157D-B1D6-48BF-80AD-BFDDFB658635}">
  <cacheSource type="worksheet">
    <worksheetSource name="Table1" r:id="rId2"/>
  </cacheSource>
  <cacheFields count="16">
    <cacheField name="FlightID" numFmtId="0">
      <sharedItems count="1000">
        <s v="FL00001"/>
        <s v="FL00002"/>
        <s v="FL00003"/>
        <s v="FL00004"/>
        <s v="FL00005"/>
        <s v="FL00006"/>
        <s v="FL00007"/>
        <s v="FL00008"/>
        <s v="FL00009"/>
        <s v="FL00010"/>
        <s v="FL00011"/>
        <s v="FL00012"/>
        <s v="FL00013"/>
        <s v="FL00014"/>
        <s v="FL00015"/>
        <s v="FL00016"/>
        <s v="FL00017"/>
        <s v="FL00018"/>
        <s v="FL00019"/>
        <s v="FL00020"/>
        <s v="FL00021"/>
        <s v="FL00022"/>
        <s v="FL00023"/>
        <s v="FL00024"/>
        <s v="FL00025"/>
        <s v="FL00026"/>
        <s v="FL00027"/>
        <s v="FL00028"/>
        <s v="FL00029"/>
        <s v="FL00030"/>
        <s v="FL00031"/>
        <s v="FL00032"/>
        <s v="FL00033"/>
        <s v="FL00034"/>
        <s v="FL00035"/>
        <s v="FL00036"/>
        <s v="FL00037"/>
        <s v="FL00038"/>
        <s v="FL00039"/>
        <s v="FL00040"/>
        <s v="FL00041"/>
        <s v="FL00042"/>
        <s v="FL00043"/>
        <s v="FL00044"/>
        <s v="FL00045"/>
        <s v="FL00046"/>
        <s v="FL00047"/>
        <s v="FL00048"/>
        <s v="FL00049"/>
        <s v="FL00050"/>
        <s v="FL00051"/>
        <s v="FL00052"/>
        <s v="FL00053"/>
        <s v="FL00054"/>
        <s v="FL00055"/>
        <s v="FL00056"/>
        <s v="FL00057"/>
        <s v="FL00058"/>
        <s v="FL00059"/>
        <s v="FL00060"/>
        <s v="FL00061"/>
        <s v="FL00062"/>
        <s v="FL00063"/>
        <s v="FL00064"/>
        <s v="FL00065"/>
        <s v="FL00066"/>
        <s v="FL00067"/>
        <s v="FL00068"/>
        <s v="FL00069"/>
        <s v="FL00070"/>
        <s v="FL00071"/>
        <s v="FL00072"/>
        <s v="FL00073"/>
        <s v="FL00074"/>
        <s v="FL00075"/>
        <s v="FL00076"/>
        <s v="FL00077"/>
        <s v="FL00078"/>
        <s v="FL00079"/>
        <s v="FL00080"/>
        <s v="FL00081"/>
        <s v="FL00082"/>
        <s v="FL00083"/>
        <s v="FL00084"/>
        <s v="FL00085"/>
        <s v="FL00086"/>
        <s v="FL00087"/>
        <s v="FL00088"/>
        <s v="FL00089"/>
        <s v="FL00090"/>
        <s v="FL00091"/>
        <s v="FL00092"/>
        <s v="FL00093"/>
        <s v="FL00094"/>
        <s v="FL00095"/>
        <s v="FL00096"/>
        <s v="FL00097"/>
        <s v="FL00098"/>
        <s v="FL00099"/>
        <s v="FL00100"/>
        <s v="FL00101"/>
        <s v="FL00102"/>
        <s v="FL00103"/>
        <s v="FL00104"/>
        <s v="FL00105"/>
        <s v="FL00106"/>
        <s v="FL00107"/>
        <s v="FL00108"/>
        <s v="FL00109"/>
        <s v="FL00110"/>
        <s v="FL00111"/>
        <s v="FL00112"/>
        <s v="FL00113"/>
        <s v="FL00114"/>
        <s v="FL00115"/>
        <s v="FL00116"/>
        <s v="FL00117"/>
        <s v="FL00118"/>
        <s v="FL00119"/>
        <s v="FL00120"/>
        <s v="FL00121"/>
        <s v="FL00122"/>
        <s v="FL00123"/>
        <s v="FL00124"/>
        <s v="FL00125"/>
        <s v="FL00126"/>
        <s v="FL00127"/>
        <s v="FL00128"/>
        <s v="FL00129"/>
        <s v="FL00130"/>
        <s v="FL00131"/>
        <s v="FL00132"/>
        <s v="FL00133"/>
        <s v="FL00134"/>
        <s v="FL00135"/>
        <s v="FL00136"/>
        <s v="FL00137"/>
        <s v="FL00138"/>
        <s v="FL00139"/>
        <s v="FL00140"/>
        <s v="FL00141"/>
        <s v="FL00142"/>
        <s v="FL00143"/>
        <s v="FL00144"/>
        <s v="FL00145"/>
        <s v="FL00146"/>
        <s v="FL00147"/>
        <s v="FL00148"/>
        <s v="FL00149"/>
        <s v="FL00150"/>
        <s v="FL00151"/>
        <s v="FL00152"/>
        <s v="FL00153"/>
        <s v="FL00154"/>
        <s v="FL00155"/>
        <s v="FL00156"/>
        <s v="FL00157"/>
        <s v="FL00158"/>
        <s v="FL00159"/>
        <s v="FL00160"/>
        <s v="FL00161"/>
        <s v="FL00162"/>
        <s v="FL00163"/>
        <s v="FL00164"/>
        <s v="FL00165"/>
        <s v="FL00166"/>
        <s v="FL00167"/>
        <s v="FL00168"/>
        <s v="FL00169"/>
        <s v="FL00170"/>
        <s v="FL00171"/>
        <s v="FL00172"/>
        <s v="FL00173"/>
        <s v="FL00174"/>
        <s v="FL00175"/>
        <s v="FL00176"/>
        <s v="FL00177"/>
        <s v="FL00178"/>
        <s v="FL00179"/>
        <s v="FL00180"/>
        <s v="FL00181"/>
        <s v="FL00182"/>
        <s v="FL00183"/>
        <s v="FL00184"/>
        <s v="FL00185"/>
        <s v="FL00186"/>
        <s v="FL00187"/>
        <s v="FL00188"/>
        <s v="FL00189"/>
        <s v="FL00190"/>
        <s v="FL00191"/>
        <s v="FL00192"/>
        <s v="FL00193"/>
        <s v="FL00194"/>
        <s v="FL00195"/>
        <s v="FL00196"/>
        <s v="FL00197"/>
        <s v="FL00198"/>
        <s v="FL00199"/>
        <s v="FL00200"/>
        <s v="FL00201"/>
        <s v="FL00202"/>
        <s v="FL00203"/>
        <s v="FL00204"/>
        <s v="FL00205"/>
        <s v="FL00206"/>
        <s v="FL00207"/>
        <s v="FL00208"/>
        <s v="FL00209"/>
        <s v="FL00210"/>
        <s v="FL00211"/>
        <s v="FL00212"/>
        <s v="FL00213"/>
        <s v="FL00214"/>
        <s v="FL00215"/>
        <s v="FL00216"/>
        <s v="FL00217"/>
        <s v="FL00218"/>
        <s v="FL00219"/>
        <s v="FL00220"/>
        <s v="FL00221"/>
        <s v="FL00222"/>
        <s v="FL00223"/>
        <s v="FL00224"/>
        <s v="FL00225"/>
        <s v="FL00226"/>
        <s v="FL00227"/>
        <s v="FL00228"/>
        <s v="FL00229"/>
        <s v="FL00230"/>
        <s v="FL00231"/>
        <s v="FL00232"/>
        <s v="FL00233"/>
        <s v="FL00234"/>
        <s v="FL00235"/>
        <s v="FL00236"/>
        <s v="FL00237"/>
        <s v="FL00238"/>
        <s v="FL00239"/>
        <s v="FL00240"/>
        <s v="FL00241"/>
        <s v="FL00242"/>
        <s v="FL00243"/>
        <s v="FL00244"/>
        <s v="FL00245"/>
        <s v="FL00246"/>
        <s v="FL00247"/>
        <s v="FL00248"/>
        <s v="FL00249"/>
        <s v="FL00250"/>
        <s v="FL00251"/>
        <s v="FL00252"/>
        <s v="FL00253"/>
        <s v="FL00254"/>
        <s v="FL00255"/>
        <s v="FL00256"/>
        <s v="FL00257"/>
        <s v="FL00258"/>
        <s v="FL00259"/>
        <s v="FL00260"/>
        <s v="FL00261"/>
        <s v="FL00262"/>
        <s v="FL00263"/>
        <s v="FL00264"/>
        <s v="FL00265"/>
        <s v="FL00266"/>
        <s v="FL00267"/>
        <s v="FL00268"/>
        <s v="FL00269"/>
        <s v="FL00270"/>
        <s v="FL00271"/>
        <s v="FL00272"/>
        <s v="FL00273"/>
        <s v="FL00274"/>
        <s v="FL00275"/>
        <s v="FL00276"/>
        <s v="FL00277"/>
        <s v="FL00278"/>
        <s v="FL00279"/>
        <s v="FL00280"/>
        <s v="FL00281"/>
        <s v="FL00282"/>
        <s v="FL00283"/>
        <s v="FL00284"/>
        <s v="FL00285"/>
        <s v="FL00286"/>
        <s v="FL00287"/>
        <s v="FL00288"/>
        <s v="FL00289"/>
        <s v="FL00290"/>
        <s v="FL00291"/>
        <s v="FL00292"/>
        <s v="FL00293"/>
        <s v="FL00294"/>
        <s v="FL00295"/>
        <s v="FL00296"/>
        <s v="FL00297"/>
        <s v="FL00298"/>
        <s v="FL00299"/>
        <s v="FL00300"/>
        <s v="FL00301"/>
        <s v="FL00302"/>
        <s v="FL00303"/>
        <s v="FL00304"/>
        <s v="FL00305"/>
        <s v="FL00306"/>
        <s v="FL00307"/>
        <s v="FL00308"/>
        <s v="FL00309"/>
        <s v="FL00310"/>
        <s v="FL00311"/>
        <s v="FL00312"/>
        <s v="FL00313"/>
        <s v="FL00314"/>
        <s v="FL00315"/>
        <s v="FL00316"/>
        <s v="FL00317"/>
        <s v="FL00318"/>
        <s v="FL00319"/>
        <s v="FL00320"/>
        <s v="FL00321"/>
        <s v="FL00322"/>
        <s v="FL00323"/>
        <s v="FL00324"/>
        <s v="FL00325"/>
        <s v="FL00326"/>
        <s v="FL00327"/>
        <s v="FL00328"/>
        <s v="FL00329"/>
        <s v="FL00330"/>
        <s v="FL00331"/>
        <s v="FL00332"/>
        <s v="FL00333"/>
        <s v="FL00334"/>
        <s v="FL00335"/>
        <s v="FL00336"/>
        <s v="FL00337"/>
        <s v="FL00338"/>
        <s v="FL00339"/>
        <s v="FL00340"/>
        <s v="FL00341"/>
        <s v="FL00342"/>
        <s v="FL00343"/>
        <s v="FL00344"/>
        <s v="FL00345"/>
        <s v="FL00346"/>
        <s v="FL00347"/>
        <s v="FL00348"/>
        <s v="FL00349"/>
        <s v="FL00350"/>
        <s v="FL00351"/>
        <s v="FL00352"/>
        <s v="FL00353"/>
        <s v="FL00354"/>
        <s v="FL00355"/>
        <s v="FL00356"/>
        <s v="FL00357"/>
        <s v="FL00358"/>
        <s v="FL00359"/>
        <s v="FL00360"/>
        <s v="FL00361"/>
        <s v="FL00362"/>
        <s v="FL00363"/>
        <s v="FL00364"/>
        <s v="FL00365"/>
        <s v="FL00366"/>
        <s v="FL00367"/>
        <s v="FL00368"/>
        <s v="FL00369"/>
        <s v="FL00370"/>
        <s v="FL00371"/>
        <s v="FL00372"/>
        <s v="FL00373"/>
        <s v="FL00374"/>
        <s v="FL00375"/>
        <s v="FL00376"/>
        <s v="FL00377"/>
        <s v="FL00378"/>
        <s v="FL00379"/>
        <s v="FL00380"/>
        <s v="FL00381"/>
        <s v="FL00382"/>
        <s v="FL00383"/>
        <s v="FL00384"/>
        <s v="FL00385"/>
        <s v="FL00386"/>
        <s v="FL00387"/>
        <s v="FL00388"/>
        <s v="FL00389"/>
        <s v="FL00390"/>
        <s v="FL00391"/>
        <s v="FL00392"/>
        <s v="FL00393"/>
        <s v="FL00394"/>
        <s v="FL00395"/>
        <s v="FL00396"/>
        <s v="FL00397"/>
        <s v="FL00398"/>
        <s v="FL00399"/>
        <s v="FL00400"/>
        <s v="FL00401"/>
        <s v="FL00402"/>
        <s v="FL00403"/>
        <s v="FL00404"/>
        <s v="FL00405"/>
        <s v="FL00406"/>
        <s v="FL00407"/>
        <s v="FL00408"/>
        <s v="FL00409"/>
        <s v="FL00410"/>
        <s v="FL00411"/>
        <s v="FL00412"/>
        <s v="FL00413"/>
        <s v="FL00414"/>
        <s v="FL00415"/>
        <s v="FL00416"/>
        <s v="FL00417"/>
        <s v="FL00418"/>
        <s v="FL00419"/>
        <s v="FL00420"/>
        <s v="FL00421"/>
        <s v="FL00422"/>
        <s v="FL00423"/>
        <s v="FL00424"/>
        <s v="FL00425"/>
        <s v="FL00426"/>
        <s v="FL00427"/>
        <s v="FL00428"/>
        <s v="FL00429"/>
        <s v="FL00430"/>
        <s v="FL00431"/>
        <s v="FL00432"/>
        <s v="FL00433"/>
        <s v="FL00434"/>
        <s v="FL00435"/>
        <s v="FL00436"/>
        <s v="FL00437"/>
        <s v="FL00438"/>
        <s v="FL00439"/>
        <s v="FL00440"/>
        <s v="FL00441"/>
        <s v="FL00442"/>
        <s v="FL00443"/>
        <s v="FL00444"/>
        <s v="FL00445"/>
        <s v="FL00446"/>
        <s v="FL00447"/>
        <s v="FL00448"/>
        <s v="FL00449"/>
        <s v="FL00450"/>
        <s v="FL00451"/>
        <s v="FL00452"/>
        <s v="FL00453"/>
        <s v="FL00454"/>
        <s v="FL00455"/>
        <s v="FL00456"/>
        <s v="FL00457"/>
        <s v="FL00458"/>
        <s v="FL00459"/>
        <s v="FL00460"/>
        <s v="FL00461"/>
        <s v="FL00462"/>
        <s v="FL00463"/>
        <s v="FL00464"/>
        <s v="FL00465"/>
        <s v="FL00466"/>
        <s v="FL00467"/>
        <s v="FL00468"/>
        <s v="FL00469"/>
        <s v="FL00470"/>
        <s v="FL00471"/>
        <s v="FL00472"/>
        <s v="FL00473"/>
        <s v="FL00474"/>
        <s v="FL00475"/>
        <s v="FL00476"/>
        <s v="FL00477"/>
        <s v="FL00478"/>
        <s v="FL00479"/>
        <s v="FL00480"/>
        <s v="FL00481"/>
        <s v="FL00482"/>
        <s v="FL00483"/>
        <s v="FL00484"/>
        <s v="FL00485"/>
        <s v="FL00486"/>
        <s v="FL00487"/>
        <s v="FL00488"/>
        <s v="FL00489"/>
        <s v="FL00490"/>
        <s v="FL00491"/>
        <s v="FL00492"/>
        <s v="FL00493"/>
        <s v="FL00494"/>
        <s v="FL00495"/>
        <s v="FL00496"/>
        <s v="FL00497"/>
        <s v="FL00498"/>
        <s v="FL00499"/>
        <s v="FL00500"/>
        <s v="FL00501"/>
        <s v="FL00502"/>
        <s v="FL00503"/>
        <s v="FL00504"/>
        <s v="FL00505"/>
        <s v="FL00506"/>
        <s v="FL00507"/>
        <s v="FL00508"/>
        <s v="FL00509"/>
        <s v="FL00510"/>
        <s v="FL00511"/>
        <s v="FL00512"/>
        <s v="FL00513"/>
        <s v="FL00514"/>
        <s v="FL00515"/>
        <s v="FL00516"/>
        <s v="FL00517"/>
        <s v="FL00518"/>
        <s v="FL00519"/>
        <s v="FL00520"/>
        <s v="FL00521"/>
        <s v="FL00522"/>
        <s v="FL00523"/>
        <s v="FL00524"/>
        <s v="FL00525"/>
        <s v="FL00526"/>
        <s v="FL00527"/>
        <s v="FL00528"/>
        <s v="FL00529"/>
        <s v="FL00530"/>
        <s v="FL00531"/>
        <s v="FL00532"/>
        <s v="FL00533"/>
        <s v="FL00534"/>
        <s v="FL00535"/>
        <s v="FL00536"/>
        <s v="FL00537"/>
        <s v="FL00538"/>
        <s v="FL00539"/>
        <s v="FL00540"/>
        <s v="FL00541"/>
        <s v="FL00542"/>
        <s v="FL00543"/>
        <s v="FL00544"/>
        <s v="FL00545"/>
        <s v="FL00546"/>
        <s v="FL00547"/>
        <s v="FL00548"/>
        <s v="FL00549"/>
        <s v="FL00550"/>
        <s v="FL00551"/>
        <s v="FL00552"/>
        <s v="FL00553"/>
        <s v="FL00554"/>
        <s v="FL00555"/>
        <s v="FL00556"/>
        <s v="FL00557"/>
        <s v="FL00558"/>
        <s v="FL00559"/>
        <s v="FL00560"/>
        <s v="FL00561"/>
        <s v="FL00562"/>
        <s v="FL00563"/>
        <s v="FL00564"/>
        <s v="FL00565"/>
        <s v="FL00566"/>
        <s v="FL00567"/>
        <s v="FL00568"/>
        <s v="FL00569"/>
        <s v="FL00570"/>
        <s v="FL00571"/>
        <s v="FL00572"/>
        <s v="FL00573"/>
        <s v="FL00574"/>
        <s v="FL00575"/>
        <s v="FL00576"/>
        <s v="FL00577"/>
        <s v="FL00578"/>
        <s v="FL00579"/>
        <s v="FL00580"/>
        <s v="FL00581"/>
        <s v="FL00582"/>
        <s v="FL00583"/>
        <s v="FL00584"/>
        <s v="FL00585"/>
        <s v="FL00586"/>
        <s v="FL00587"/>
        <s v="FL00588"/>
        <s v="FL00589"/>
        <s v="FL00590"/>
        <s v="FL00591"/>
        <s v="FL00592"/>
        <s v="FL00593"/>
        <s v="FL00594"/>
        <s v="FL00595"/>
        <s v="FL00596"/>
        <s v="FL00597"/>
        <s v="FL00598"/>
        <s v="FL00599"/>
        <s v="FL00600"/>
        <s v="FL00601"/>
        <s v="FL00602"/>
        <s v="FL00603"/>
        <s v="FL00604"/>
        <s v="FL00605"/>
        <s v="FL00606"/>
        <s v="FL00607"/>
        <s v="FL00608"/>
        <s v="FL00609"/>
        <s v="FL00610"/>
        <s v="FL00611"/>
        <s v="FL00612"/>
        <s v="FL00613"/>
        <s v="FL00614"/>
        <s v="FL00615"/>
        <s v="FL00616"/>
        <s v="FL00617"/>
        <s v="FL00618"/>
        <s v="FL00619"/>
        <s v="FL00620"/>
        <s v="FL00621"/>
        <s v="FL00622"/>
        <s v="FL00623"/>
        <s v="FL00624"/>
        <s v="FL00625"/>
        <s v="FL00626"/>
        <s v="FL00627"/>
        <s v="FL00628"/>
        <s v="FL00629"/>
        <s v="FL00630"/>
        <s v="FL00631"/>
        <s v="FL00632"/>
        <s v="FL00633"/>
        <s v="FL00634"/>
        <s v="FL00635"/>
        <s v="FL00636"/>
        <s v="FL00637"/>
        <s v="FL00638"/>
        <s v="FL00639"/>
        <s v="FL00640"/>
        <s v="FL00641"/>
        <s v="FL00642"/>
        <s v="FL00643"/>
        <s v="FL00644"/>
        <s v="FL00645"/>
        <s v="FL00646"/>
        <s v="FL00647"/>
        <s v="FL00648"/>
        <s v="FL00649"/>
        <s v="FL00650"/>
        <s v="FL00651"/>
        <s v="FL00652"/>
        <s v="FL00653"/>
        <s v="FL00654"/>
        <s v="FL00655"/>
        <s v="FL00656"/>
        <s v="FL00657"/>
        <s v="FL00658"/>
        <s v="FL00659"/>
        <s v="FL00660"/>
        <s v="FL00661"/>
        <s v="FL00662"/>
        <s v="FL00663"/>
        <s v="FL00664"/>
        <s v="FL00665"/>
        <s v="FL00666"/>
        <s v="FL00667"/>
        <s v="FL00668"/>
        <s v="FL00669"/>
        <s v="FL00670"/>
        <s v="FL00671"/>
        <s v="FL00672"/>
        <s v="FL00673"/>
        <s v="FL00674"/>
        <s v="FL00675"/>
        <s v="FL00676"/>
        <s v="FL00677"/>
        <s v="FL00678"/>
        <s v="FL00679"/>
        <s v="FL00680"/>
        <s v="FL00681"/>
        <s v="FL00682"/>
        <s v="FL00683"/>
        <s v="FL00684"/>
        <s v="FL00685"/>
        <s v="FL00686"/>
        <s v="FL00687"/>
        <s v="FL00688"/>
        <s v="FL00689"/>
        <s v="FL00690"/>
        <s v="FL00691"/>
        <s v="FL00692"/>
        <s v="FL00693"/>
        <s v="FL00694"/>
        <s v="FL00695"/>
        <s v="FL00696"/>
        <s v="FL00697"/>
        <s v="FL00698"/>
        <s v="FL00699"/>
        <s v="FL00700"/>
        <s v="FL00701"/>
        <s v="FL00702"/>
        <s v="FL00703"/>
        <s v="FL00704"/>
        <s v="FL00705"/>
        <s v="FL00706"/>
        <s v="FL00707"/>
        <s v="FL00708"/>
        <s v="FL00709"/>
        <s v="FL00710"/>
        <s v="FL00711"/>
        <s v="FL00712"/>
        <s v="FL00713"/>
        <s v="FL00714"/>
        <s v="FL00715"/>
        <s v="FL00716"/>
        <s v="FL00717"/>
        <s v="FL00718"/>
        <s v="FL00719"/>
        <s v="FL00720"/>
        <s v="FL00721"/>
        <s v="FL00722"/>
        <s v="FL00723"/>
        <s v="FL00724"/>
        <s v="FL00725"/>
        <s v="FL00726"/>
        <s v="FL00727"/>
        <s v="FL00728"/>
        <s v="FL00729"/>
        <s v="FL00730"/>
        <s v="FL00731"/>
        <s v="FL00732"/>
        <s v="FL00733"/>
        <s v="FL00734"/>
        <s v="FL00735"/>
        <s v="FL00736"/>
        <s v="FL00737"/>
        <s v="FL00738"/>
        <s v="FL00739"/>
        <s v="FL00740"/>
        <s v="FL00741"/>
        <s v="FL00742"/>
        <s v="FL00743"/>
        <s v="FL00744"/>
        <s v="FL00745"/>
        <s v="FL00746"/>
        <s v="FL00747"/>
        <s v="FL00748"/>
        <s v="FL00749"/>
        <s v="FL00750"/>
        <s v="FL00751"/>
        <s v="FL00752"/>
        <s v="FL00753"/>
        <s v="FL00754"/>
        <s v="FL00755"/>
        <s v="FL00756"/>
        <s v="FL00757"/>
        <s v="FL00758"/>
        <s v="FL00759"/>
        <s v="FL00760"/>
        <s v="FL00761"/>
        <s v="FL00762"/>
        <s v="FL00763"/>
        <s v="FL00764"/>
        <s v="FL00765"/>
        <s v="FL00766"/>
        <s v="FL00767"/>
        <s v="FL00768"/>
        <s v="FL00769"/>
        <s v="FL00770"/>
        <s v="FL00771"/>
        <s v="FL00772"/>
        <s v="FL00773"/>
        <s v="FL00774"/>
        <s v="FL00775"/>
        <s v="FL00776"/>
        <s v="FL00777"/>
        <s v="FL00778"/>
        <s v="FL00779"/>
        <s v="FL00780"/>
        <s v="FL00781"/>
        <s v="FL00782"/>
        <s v="FL00783"/>
        <s v="FL00784"/>
        <s v="FL00785"/>
        <s v="FL00786"/>
        <s v="FL00787"/>
        <s v="FL00788"/>
        <s v="FL00789"/>
        <s v="FL00790"/>
        <s v="FL00791"/>
        <s v="FL00792"/>
        <s v="FL00793"/>
        <s v="FL00794"/>
        <s v="FL00795"/>
        <s v="FL00796"/>
        <s v="FL00797"/>
        <s v="FL00798"/>
        <s v="FL00799"/>
        <s v="FL00800"/>
        <s v="FL00801"/>
        <s v="FL00802"/>
        <s v="FL00803"/>
        <s v="FL00804"/>
        <s v="FL00805"/>
        <s v="FL00806"/>
        <s v="FL00807"/>
        <s v="FL00808"/>
        <s v="FL00809"/>
        <s v="FL00810"/>
        <s v="FL00811"/>
        <s v="FL00812"/>
        <s v="FL00813"/>
        <s v="FL00814"/>
        <s v="FL00815"/>
        <s v="FL00816"/>
        <s v="FL00817"/>
        <s v="FL00818"/>
        <s v="FL00819"/>
        <s v="FL00820"/>
        <s v="FL00821"/>
        <s v="FL00822"/>
        <s v="FL00823"/>
        <s v="FL00824"/>
        <s v="FL00825"/>
        <s v="FL00826"/>
        <s v="FL00827"/>
        <s v="FL00828"/>
        <s v="FL00829"/>
        <s v="FL00830"/>
        <s v="FL00831"/>
        <s v="FL00832"/>
        <s v="FL00833"/>
        <s v="FL00834"/>
        <s v="FL00835"/>
        <s v="FL00836"/>
        <s v="FL00837"/>
        <s v="FL00838"/>
        <s v="FL00839"/>
        <s v="FL00840"/>
        <s v="FL00841"/>
        <s v="FL00842"/>
        <s v="FL00843"/>
        <s v="FL00844"/>
        <s v="FL00845"/>
        <s v="FL00846"/>
        <s v="FL00847"/>
        <s v="FL00848"/>
        <s v="FL00849"/>
        <s v="FL00850"/>
        <s v="FL00851"/>
        <s v="FL00852"/>
        <s v="FL00853"/>
        <s v="FL00854"/>
        <s v="FL00855"/>
        <s v="FL00856"/>
        <s v="FL00857"/>
        <s v="FL00858"/>
        <s v="FL00859"/>
        <s v="FL00860"/>
        <s v="FL00861"/>
        <s v="FL00862"/>
        <s v="FL00863"/>
        <s v="FL00864"/>
        <s v="FL00865"/>
        <s v="FL00866"/>
        <s v="FL00867"/>
        <s v="FL00868"/>
        <s v="FL00869"/>
        <s v="FL00870"/>
        <s v="FL00871"/>
        <s v="FL00872"/>
        <s v="FL00873"/>
        <s v="FL00874"/>
        <s v="FL00875"/>
        <s v="FL00876"/>
        <s v="FL00877"/>
        <s v="FL00878"/>
        <s v="FL00879"/>
        <s v="FL00880"/>
        <s v="FL00881"/>
        <s v="FL00882"/>
        <s v="FL00883"/>
        <s v="FL00884"/>
        <s v="FL00885"/>
        <s v="FL00886"/>
        <s v="FL00887"/>
        <s v="FL00888"/>
        <s v="FL00889"/>
        <s v="FL00890"/>
        <s v="FL00891"/>
        <s v="FL00892"/>
        <s v="FL00893"/>
        <s v="FL00894"/>
        <s v="FL00895"/>
        <s v="FL00896"/>
        <s v="FL00897"/>
        <s v="FL00898"/>
        <s v="FL00899"/>
        <s v="FL00900"/>
        <s v="FL00901"/>
        <s v="FL00902"/>
        <s v="FL00903"/>
        <s v="FL00904"/>
        <s v="FL00905"/>
        <s v="FL00906"/>
        <s v="FL00907"/>
        <s v="FL00908"/>
        <s v="FL00909"/>
        <s v="FL00910"/>
        <s v="FL00911"/>
        <s v="FL00912"/>
        <s v="FL00913"/>
        <s v="FL00914"/>
        <s v="FL00915"/>
        <s v="FL00916"/>
        <s v="FL00917"/>
        <s v="FL00918"/>
        <s v="FL00919"/>
        <s v="FL00920"/>
        <s v="FL00921"/>
        <s v="FL00922"/>
        <s v="FL00923"/>
        <s v="FL00924"/>
        <s v="FL00925"/>
        <s v="FL00926"/>
        <s v="FL00927"/>
        <s v="FL00928"/>
        <s v="FL00929"/>
        <s v="FL00930"/>
        <s v="FL00931"/>
        <s v="FL00932"/>
        <s v="FL00933"/>
        <s v="FL00934"/>
        <s v="FL00935"/>
        <s v="FL00936"/>
        <s v="FL00937"/>
        <s v="FL00938"/>
        <s v="FL00939"/>
        <s v="FL00940"/>
        <s v="FL00941"/>
        <s v="FL00942"/>
        <s v="FL00943"/>
        <s v="FL00944"/>
        <s v="FL00945"/>
        <s v="FL00946"/>
        <s v="FL00947"/>
        <s v="FL00948"/>
        <s v="FL00949"/>
        <s v="FL00950"/>
        <s v="FL00951"/>
        <s v="FL00952"/>
        <s v="FL00953"/>
        <s v="FL00954"/>
        <s v="FL00955"/>
        <s v="FL00956"/>
        <s v="FL00957"/>
        <s v="FL00958"/>
        <s v="FL00959"/>
        <s v="FL00960"/>
        <s v="FL00961"/>
        <s v="FL00962"/>
        <s v="FL00963"/>
        <s v="FL00964"/>
        <s v="FL00965"/>
        <s v="FL00966"/>
        <s v="FL00967"/>
        <s v="FL00968"/>
        <s v="FL00969"/>
        <s v="FL00970"/>
        <s v="FL00971"/>
        <s v="FL00972"/>
        <s v="FL00973"/>
        <s v="FL00974"/>
        <s v="FL00975"/>
        <s v="FL00976"/>
        <s v="FL00977"/>
        <s v="FL00978"/>
        <s v="FL00979"/>
        <s v="FL00980"/>
        <s v="FL00981"/>
        <s v="FL00982"/>
        <s v="FL00983"/>
        <s v="FL00984"/>
        <s v="FL00985"/>
        <s v="FL00986"/>
        <s v="FL00987"/>
        <s v="FL00988"/>
        <s v="FL00989"/>
        <s v="FL00990"/>
        <s v="FL00991"/>
        <s v="FL00992"/>
        <s v="FL00993"/>
        <s v="FL00994"/>
        <s v="FL00995"/>
        <s v="FL00996"/>
        <s v="FL00997"/>
        <s v="FL00998"/>
        <s v="FL00999"/>
        <s v="FL01000"/>
      </sharedItems>
    </cacheField>
    <cacheField name="RouteCode" numFmtId="0">
      <sharedItems count="90">
        <s v="DEL-BOM"/>
        <s v="HYD-BOM"/>
        <s v="GOI-HYD"/>
        <s v="CCU-MAA"/>
        <s v="MAA-HYD"/>
        <s v="DEL-PNQ"/>
        <s v="DEL-BLR"/>
        <s v="GOI-BLR"/>
        <s v="DEL-MAA"/>
        <s v="PNQ-AMD"/>
        <s v="JAI-HYD"/>
        <s v="AMD-BLR"/>
        <s v="GOI-MAA"/>
        <s v="HYD-AMD"/>
        <s v="MAA-JAI"/>
        <s v="BOM-HYD"/>
        <s v="BLR-DEL"/>
        <s v="PNQ-JAI"/>
        <s v="MAA-PNQ"/>
        <s v="BOM-MAA"/>
        <s v="BLR-JAI"/>
        <s v="PNQ-GOI"/>
        <s v="PNQ-MAA"/>
        <s v="BOM-JAI"/>
        <s v="AMD-BOM"/>
        <s v="HYD-DEL"/>
        <s v="JAI-GOI"/>
        <s v="MAA-GOI"/>
        <s v="MAA-AMD"/>
        <s v="BLR-HYD"/>
        <s v="HYD-MAA"/>
        <s v="HYD-JAI"/>
        <s v="AMD-PNQ"/>
        <s v="BOM-BLR"/>
        <s v="PNQ-BLR"/>
        <s v="BLR-PNQ"/>
        <s v="CCU-BOM"/>
        <s v="HYD-CCU"/>
        <s v="MAA-BOM"/>
        <s v="DEL-HYD"/>
        <s v="CCU-PNQ"/>
        <s v="AMD-CCU"/>
        <s v="JAI-CCU"/>
        <s v="DEL-CCU"/>
        <s v="BLR-MAA"/>
        <s v="JAI-BLR"/>
        <s v="HYD-PNQ"/>
        <s v="PNQ-BOM"/>
        <s v="BOM-PNQ"/>
        <s v="AMD-GOI"/>
        <s v="GOI-AMD"/>
        <s v="JAI-MAA"/>
        <s v="DEL-AMD"/>
        <s v="GOI-PNQ"/>
        <s v="BOM-AMD"/>
        <s v="DEL-GOI"/>
        <s v="HYD-GOI"/>
        <s v="GOI-BOM"/>
        <s v="CCU-JAI"/>
        <s v="DEL-JAI"/>
        <s v="CCU-HYD"/>
        <s v="PNQ-CCU"/>
        <s v="PNQ-DEL"/>
        <s v="BOM-CCU"/>
        <s v="MAA-BLR"/>
        <s v="BLR-AMD"/>
        <s v="JAI-DEL"/>
        <s v="BOM-DEL"/>
        <s v="CCU-AMD"/>
        <s v="GOI-DEL"/>
        <s v="MAA-CCU"/>
        <s v="BOM-GOI"/>
        <s v="AMD-JAI"/>
        <s v="AMD-MAA"/>
        <s v="BLR-GOI"/>
        <s v="CCU-BLR"/>
        <s v="BLR-CCU"/>
        <s v="GOI-JAI"/>
        <s v="PNQ-HYD"/>
        <s v="AMD-HYD"/>
        <s v="JAI-AMD"/>
        <s v="AMD-DEL"/>
        <s v="BLR-BOM"/>
        <s v="MAA-DEL"/>
        <s v="JAI-BOM"/>
        <s v="GOI-CCU"/>
        <s v="CCU-DEL"/>
        <s v="CCU-GOI"/>
        <s v="HYD-BLR"/>
        <s v="JAI-PNQ"/>
      </sharedItems>
    </cacheField>
    <cacheField name="Origin" numFmtId="0">
      <sharedItems count="10">
        <s v="DEL"/>
        <s v="HYD"/>
        <s v="GOI"/>
        <s v="CCU"/>
        <s v="MAA"/>
        <s v="PNQ"/>
        <s v="JAI"/>
        <s v="AMD"/>
        <s v="BOM"/>
        <s v="BLR"/>
      </sharedItems>
    </cacheField>
    <cacheField name="Destination" numFmtId="0">
      <sharedItems count="10">
        <s v="BOM"/>
        <s v="HYD"/>
        <s v="MAA"/>
        <s v="PNQ"/>
        <s v="BLR"/>
        <s v="AMD"/>
        <s v="JAI"/>
        <s v="DEL"/>
        <s v="GOI"/>
        <s v="CCU"/>
      </sharedItems>
    </cacheField>
    <cacheField name="FlightDate" numFmtId="14">
      <sharedItems containsSemiMixedTypes="0" containsNonDate="0" containsDate="1" containsString="0" minDate="2025-01-01T00:00:00" maxDate="2027-01-02T00:00:00" count="539">
        <d v="2025-10-09T00:00:00"/>
        <d v="2025-01-31T00:00:00"/>
        <d v="2025-08-14T00:00:00"/>
        <d v="2025-06-09T00:00:00"/>
        <d v="2025-02-14T00:00:00"/>
        <d v="2026-08-15T00:00:00"/>
        <d v="2025-10-12T00:00:00"/>
        <d v="2026-07-01T00:00:00"/>
        <d v="2026-12-03T00:00:00"/>
        <d v="2026-08-04T00:00:00"/>
        <d v="2025-09-29T00:00:00"/>
        <d v="2026-01-06T00:00:00"/>
        <d v="2026-11-28T00:00:00"/>
        <d v="2026-07-21T00:00:00"/>
        <d v="2026-04-10T00:00:00"/>
        <d v="2026-09-16T00:00:00"/>
        <d v="2026-05-16T00:00:00"/>
        <d v="2025-03-29T00:00:00"/>
        <d v="2025-06-19T00:00:00"/>
        <d v="2026-11-19T00:00:00"/>
        <d v="2025-12-13T00:00:00"/>
        <d v="2025-03-11T00:00:00"/>
        <d v="2025-05-16T00:00:00"/>
        <d v="2025-04-10T00:00:00"/>
        <d v="2026-02-17T00:00:00"/>
        <d v="2026-03-09T00:00:00"/>
        <d v="2026-10-30T00:00:00"/>
        <d v="2025-08-07T00:00:00"/>
        <d v="2026-03-10T00:00:00"/>
        <d v="2025-03-04T00:00:00"/>
        <d v="2026-06-05T00:00:00"/>
        <d v="2026-08-07T00:00:00"/>
        <d v="2025-11-20T00:00:00"/>
        <d v="2026-06-03T00:00:00"/>
        <d v="2026-03-25T00:00:00"/>
        <d v="2025-09-28T00:00:00"/>
        <d v="2025-07-28T00:00:00"/>
        <d v="2025-02-15T00:00:00"/>
        <d v="2025-01-10T00:00:00"/>
        <d v="2025-05-11T00:00:00"/>
        <d v="2025-12-29T00:00:00"/>
        <d v="2025-12-07T00:00:00"/>
        <d v="2025-07-24T00:00:00"/>
        <d v="2025-12-03T00:00:00"/>
        <d v="2025-04-29T00:00:00"/>
        <d v="2025-11-18T00:00:00"/>
        <d v="2026-12-27T00:00:00"/>
        <d v="2026-10-01T00:00:00"/>
        <d v="2026-12-15T00:00:00"/>
        <d v="2026-02-20T00:00:00"/>
        <d v="2026-04-22T00:00:00"/>
        <d v="2026-06-12T00:00:00"/>
        <d v="2025-05-31T00:00:00"/>
        <d v="2025-08-13T00:00:00"/>
        <d v="2026-04-21T00:00:00"/>
        <d v="2026-07-16T00:00:00"/>
        <d v="2026-05-12T00:00:00"/>
        <d v="2025-11-24T00:00:00"/>
        <d v="2026-03-01T00:00:00"/>
        <d v="2026-08-22T00:00:00"/>
        <d v="2026-03-06T00:00:00"/>
        <d v="2026-02-03T00:00:00"/>
        <d v="2026-08-30T00:00:00"/>
        <d v="2025-09-24T00:00:00"/>
        <d v="2025-09-16T00:00:00"/>
        <d v="2025-02-01T00:00:00"/>
        <d v="2025-11-16T00:00:00"/>
        <d v="2026-11-09T00:00:00"/>
        <d v="2026-05-11T00:00:00"/>
        <d v="2025-08-06T00:00:00"/>
        <d v="2025-01-18T00:00:00"/>
        <d v="2026-04-30T00:00:00"/>
        <d v="2025-11-10T00:00:00"/>
        <d v="2025-07-16T00:00:00"/>
        <d v="2025-10-31T00:00:00"/>
        <d v="2025-02-25T00:00:00"/>
        <d v="2026-04-26T00:00:00"/>
        <d v="2026-02-15T00:00:00"/>
        <d v="2025-11-01T00:00:00"/>
        <d v="2026-02-23T00:00:00"/>
        <d v="2025-03-14T00:00:00"/>
        <d v="2026-10-26T00:00:00"/>
        <d v="2026-03-26T00:00:00"/>
        <d v="2025-08-23T00:00:00"/>
        <d v="2026-06-16T00:00:00"/>
        <d v="2025-12-23T00:00:00"/>
        <d v="2025-10-23T00:00:00"/>
        <d v="2026-06-15T00:00:00"/>
        <d v="2025-10-22T00:00:00"/>
        <d v="2026-07-20T00:00:00"/>
        <d v="2025-10-26T00:00:00"/>
        <d v="2026-01-28T00:00:00"/>
        <d v="2025-10-01T00:00:00"/>
        <d v="2025-12-20T00:00:00"/>
        <d v="2025-08-28T00:00:00"/>
        <d v="2026-05-23T00:00:00"/>
        <d v="2026-04-13T00:00:00"/>
        <d v="2026-10-28T00:00:00"/>
        <d v="2026-09-25T00:00:00"/>
        <d v="2025-06-20T00:00:00"/>
        <d v="2026-03-18T00:00:00"/>
        <d v="2025-03-22T00:00:00"/>
        <d v="2025-09-19T00:00:00"/>
        <d v="2026-08-25T00:00:00"/>
        <d v="2025-08-31T00:00:00"/>
        <d v="2026-03-28T00:00:00"/>
        <d v="2025-06-29T00:00:00"/>
        <d v="2026-05-09T00:00:00"/>
        <d v="2026-01-10T00:00:00"/>
        <d v="2025-12-02T00:00:00"/>
        <d v="2025-05-24T00:00:00"/>
        <d v="2026-02-02T00:00:00"/>
        <d v="2026-09-23T00:00:00"/>
        <d v="2025-04-12T00:00:00"/>
        <d v="2025-05-06T00:00:00"/>
        <d v="2026-08-02T00:00:00"/>
        <d v="2025-10-11T00:00:00"/>
        <d v="2025-01-16T00:00:00"/>
        <d v="2026-03-08T00:00:00"/>
        <d v="2026-04-08T00:00:00"/>
        <d v="2026-05-06T00:00:00"/>
        <d v="2025-03-09T00:00:00"/>
        <d v="2026-03-17T00:00:00"/>
        <d v="2026-03-14T00:00:00"/>
        <d v="2026-07-30T00:00:00"/>
        <d v="2025-12-27T00:00:00"/>
        <d v="2025-12-25T00:00:00"/>
        <d v="2026-09-29T00:00:00"/>
        <d v="2025-12-26T00:00:00"/>
        <d v="2026-06-28T00:00:00"/>
        <d v="2026-08-05T00:00:00"/>
        <d v="2026-03-30T00:00:00"/>
        <d v="2025-10-24T00:00:00"/>
        <d v="2026-12-22T00:00:00"/>
        <d v="2025-01-20T00:00:00"/>
        <d v="2025-04-28T00:00:00"/>
        <d v="2025-04-19T00:00:00"/>
        <d v="2025-08-15T00:00:00"/>
        <d v="2026-11-03T00:00:00"/>
        <d v="2026-10-05T00:00:00"/>
        <d v="2026-08-29T00:00:00"/>
        <d v="2026-01-13T00:00:00"/>
        <d v="2025-02-12T00:00:00"/>
        <d v="2025-04-16T00:00:00"/>
        <d v="2026-06-20T00:00:00"/>
        <d v="2026-10-09T00:00:00"/>
        <d v="2026-11-04T00:00:00"/>
        <d v="2026-09-02T00:00:00"/>
        <d v="2025-04-06T00:00:00"/>
        <d v="2025-12-16T00:00:00"/>
        <d v="2026-07-07T00:00:00"/>
        <d v="2025-07-05T00:00:00"/>
        <d v="2026-09-18T00:00:00"/>
        <d v="2026-11-26T00:00:00"/>
        <d v="2025-05-08T00:00:00"/>
        <d v="2025-08-16T00:00:00"/>
        <d v="2026-01-31T00:00:00"/>
        <d v="2025-05-21T00:00:00"/>
        <d v="2025-05-05T00:00:00"/>
        <d v="2025-01-17T00:00:00"/>
        <d v="2025-09-04T00:00:00"/>
        <d v="2026-06-04T00:00:00"/>
        <d v="2025-09-17T00:00:00"/>
        <d v="2025-05-17T00:00:00"/>
        <d v="2025-05-19T00:00:00"/>
        <d v="2025-11-14T00:00:00"/>
        <d v="2026-01-01T00:00:00"/>
        <d v="2025-12-14T00:00:00"/>
        <d v="2026-09-22T00:00:00"/>
        <d v="2025-05-27T00:00:00"/>
        <d v="2026-06-27T00:00:00"/>
        <d v="2026-05-27T00:00:00"/>
        <d v="2026-12-12T00:00:00"/>
        <d v="2026-11-30T00:00:00"/>
        <d v="2026-07-22T00:00:00"/>
        <d v="2026-02-12T00:00:00"/>
        <d v="2026-10-20T00:00:00"/>
        <d v="2025-05-13T00:00:00"/>
        <d v="2025-11-27T00:00:00"/>
        <d v="2025-06-25T00:00:00"/>
        <d v="2026-10-19T00:00:00"/>
        <d v="2025-03-16T00:00:00"/>
        <d v="2026-09-14T00:00:00"/>
        <d v="2025-07-14T00:00:00"/>
        <d v="2025-04-03T00:00:00"/>
        <d v="2025-10-16T00:00:00"/>
        <d v="2025-07-19T00:00:00"/>
        <d v="2025-02-09T00:00:00"/>
        <d v="2026-06-30T00:00:00"/>
        <d v="2026-08-21T00:00:00"/>
        <d v="2025-06-24T00:00:00"/>
        <d v="2026-09-19T00:00:00"/>
        <d v="2026-01-21T00:00:00"/>
        <d v="2025-11-21T00:00:00"/>
        <d v="2026-02-09T00:00:00"/>
        <d v="2025-02-23T00:00:00"/>
        <d v="2025-06-11T00:00:00"/>
        <d v="2025-10-19T00:00:00"/>
        <d v="2025-04-26T00:00:00"/>
        <d v="2025-12-04T00:00:00"/>
        <d v="2026-11-15T00:00:00"/>
        <d v="2026-10-17T00:00:00"/>
        <d v="2026-03-02T00:00:00"/>
        <d v="2026-04-03T00:00:00"/>
        <d v="2026-08-10T00:00:00"/>
        <d v="2025-04-04T00:00:00"/>
        <d v="2026-07-27T00:00:00"/>
        <d v="2025-02-16T00:00:00"/>
        <d v="2026-12-01T00:00:00"/>
        <d v="2026-06-29T00:00:00"/>
        <d v="2025-02-02T00:00:00"/>
        <d v="2025-02-27T00:00:00"/>
        <d v="2025-11-23T00:00:00"/>
        <d v="2026-01-15T00:00:00"/>
        <d v="2025-08-05T00:00:00"/>
        <d v="2025-10-17T00:00:00"/>
        <d v="2026-05-25T00:00:00"/>
        <d v="2026-07-31T00:00:00"/>
        <d v="2025-06-06T00:00:00"/>
        <d v="2025-09-21T00:00:00"/>
        <d v="2026-01-18T00:00:00"/>
        <d v="2025-01-13T00:00:00"/>
        <d v="2025-04-20T00:00:00"/>
        <d v="2025-11-04T00:00:00"/>
        <d v="2026-06-25T00:00:00"/>
        <d v="2026-07-11T00:00:00"/>
        <d v="2025-03-20T00:00:00"/>
        <d v="2025-12-15T00:00:00"/>
        <d v="2025-08-22T00:00:00"/>
        <d v="2026-09-26T00:00:00"/>
        <d v="2025-01-27T00:00:00"/>
        <d v="2025-10-03T00:00:00"/>
        <d v="2025-11-03T00:00:00"/>
        <d v="2026-04-14T00:00:00"/>
        <d v="2026-03-27T00:00:00"/>
        <d v="2025-07-01T00:00:00"/>
        <d v="2025-10-15T00:00:00"/>
        <d v="2025-05-23T00:00:00"/>
        <d v="2026-09-05T00:00:00"/>
        <d v="2026-09-01T00:00:00"/>
        <d v="2026-10-25T00:00:00"/>
        <d v="2025-04-11T00:00:00"/>
        <d v="2026-01-19T00:00:00"/>
        <d v="2025-04-18T00:00:00"/>
        <d v="2025-07-31T00:00:00"/>
        <d v="2025-06-28T00:00:00"/>
        <d v="2025-07-10T00:00:00"/>
        <d v="2025-01-05T00:00:00"/>
        <d v="2026-09-04T00:00:00"/>
        <d v="2026-11-21T00:00:00"/>
        <d v="2025-04-30T00:00:00"/>
        <d v="2026-01-29T00:00:00"/>
        <d v="2025-03-26T00:00:00"/>
        <d v="2025-06-22T00:00:00"/>
        <d v="2026-08-26T00:00:00"/>
        <d v="2026-06-11T00:00:00"/>
        <d v="2025-09-13T00:00:00"/>
        <d v="2026-04-11T00:00:00"/>
        <d v="2026-07-02T00:00:00"/>
        <d v="2026-07-15T00:00:00"/>
        <d v="2026-10-04T00:00:00"/>
        <d v="2025-07-27T00:00:00"/>
        <d v="2025-05-07T00:00:00"/>
        <d v="2025-09-12T00:00:00"/>
        <d v="2026-08-06T00:00:00"/>
        <d v="2025-01-15T00:00:00"/>
        <d v="2025-03-27T00:00:00"/>
        <d v="2025-06-17T00:00:00"/>
        <d v="2025-05-01T00:00:00"/>
        <d v="2026-05-24T00:00:00"/>
        <d v="2025-02-17T00:00:00"/>
        <d v="2025-11-26T00:00:00"/>
        <d v="2025-11-15T00:00:00"/>
        <d v="2026-09-30T00:00:00"/>
        <d v="2025-01-07T00:00:00"/>
        <d v="2026-11-05T00:00:00"/>
        <d v="2025-05-26T00:00:00"/>
        <d v="2025-03-28T00:00:00"/>
        <d v="2026-03-22T00:00:00"/>
        <d v="2026-04-09T00:00:00"/>
        <d v="2025-06-18T00:00:00"/>
        <d v="2025-11-12T00:00:00"/>
        <d v="2025-08-09T00:00:00"/>
        <d v="2026-11-25T00:00:00"/>
        <d v="2025-04-07T00:00:00"/>
        <d v="2026-10-24T00:00:00"/>
        <d v="2025-08-08T00:00:00"/>
        <d v="2026-07-12T00:00:00"/>
        <d v="2025-06-13T00:00:00"/>
        <d v="2025-12-30T00:00:00"/>
        <d v="2025-11-13T00:00:00"/>
        <d v="2026-06-24T00:00:00"/>
        <d v="2025-03-02T00:00:00"/>
        <d v="2026-03-24T00:00:00"/>
        <d v="2026-11-13T00:00:00"/>
        <d v="2025-05-25T00:00:00"/>
        <d v="2025-02-19T00:00:00"/>
        <d v="2026-01-20T00:00:00"/>
        <d v="2025-10-29T00:00:00"/>
        <d v="2025-03-18T00:00:00"/>
        <d v="2026-07-08T00:00:00"/>
        <d v="2026-05-18T00:00:00"/>
        <d v="2026-01-14T00:00:00"/>
        <d v="2026-08-01T00:00:00"/>
        <d v="2026-05-03T00:00:00"/>
        <d v="2025-05-04T00:00:00"/>
        <d v="2025-03-31T00:00:00"/>
        <d v="2025-02-08T00:00:00"/>
        <d v="2025-02-20T00:00:00"/>
        <d v="2026-05-19T00:00:00"/>
        <d v="2026-09-12T00:00:00"/>
        <d v="2025-06-27T00:00:00"/>
        <d v="2025-10-08T00:00:00"/>
        <d v="2026-12-07T00:00:00"/>
        <d v="2025-11-02T00:00:00"/>
        <d v="2025-09-25T00:00:00"/>
        <d v="2026-11-08T00:00:00"/>
        <d v="2025-02-06T00:00:00"/>
        <d v="2026-03-07T00:00:00"/>
        <d v="2026-10-12T00:00:00"/>
        <d v="2025-08-20T00:00:00"/>
        <d v="2025-06-21T00:00:00"/>
        <d v="2026-03-21T00:00:00"/>
        <d v="2026-01-11T00:00:00"/>
        <d v="2025-10-04T00:00:00"/>
        <d v="2025-04-27T00:00:00"/>
        <d v="2025-08-29T00:00:00"/>
        <d v="2026-06-08T00:00:00"/>
        <d v="2025-02-21T00:00:00"/>
        <d v="2025-04-08T00:00:00"/>
        <d v="2026-12-08T00:00:00"/>
        <d v="2026-03-03T00:00:00"/>
        <d v="2026-07-26T00:00:00"/>
        <d v="2025-01-01T00:00:00"/>
        <d v="2026-01-08T00:00:00"/>
        <d v="2026-06-19T00:00:00"/>
        <d v="2025-04-21T00:00:00"/>
        <d v="2025-05-18T00:00:00"/>
        <d v="2026-06-01T00:00:00"/>
        <d v="2025-05-22T00:00:00"/>
        <d v="2025-08-03T00:00:00"/>
        <d v="2026-11-22T00:00:00"/>
        <d v="2025-05-29T00:00:00"/>
        <d v="2026-12-09T00:00:00"/>
        <d v="2025-08-18T00:00:00"/>
        <d v="2026-02-01T00:00:00"/>
        <d v="2025-08-19T00:00:00"/>
        <d v="2026-07-24T00:00:00"/>
        <d v="2025-06-07T00:00:00"/>
        <d v="2026-01-05T00:00:00"/>
        <d v="2026-04-02T00:00:00"/>
        <d v="2025-01-08T00:00:00"/>
        <d v="2026-07-05T00:00:00"/>
        <d v="2026-02-22T00:00:00"/>
        <d v="2025-06-10T00:00:00"/>
        <d v="2025-06-14T00:00:00"/>
        <d v="2026-04-18T00:00:00"/>
        <d v="2025-12-05T00:00:00"/>
        <d v="2026-05-13T00:00:00"/>
        <d v="2026-03-15T00:00:00"/>
        <d v="2025-04-22T00:00:00"/>
        <d v="2025-03-19T00:00:00"/>
        <d v="2026-07-19T00:00:00"/>
        <d v="2026-09-21T00:00:00"/>
        <d v="2025-02-13T00:00:00"/>
        <d v="2026-10-27T00:00:00"/>
        <d v="2026-06-13T00:00:00"/>
        <d v="2025-08-04T00:00:00"/>
        <d v="2026-06-14T00:00:00"/>
        <d v="2026-04-05T00:00:00"/>
        <d v="2025-08-24T00:00:00"/>
        <d v="2025-06-03T00:00:00"/>
        <d v="2026-12-16T00:00:00"/>
        <d v="2026-03-12T00:00:00"/>
        <d v="2025-03-07T00:00:00"/>
        <d v="2025-10-21T00:00:00"/>
        <d v="2025-10-20T00:00:00"/>
        <d v="2025-09-02T00:00:00"/>
        <d v="2026-08-24T00:00:00"/>
        <d v="2025-12-22T00:00:00"/>
        <d v="2026-02-21T00:00:00"/>
        <d v="2026-10-11T00:00:00"/>
        <d v="2026-11-24T00:00:00"/>
        <d v="2026-08-12T00:00:00"/>
        <d v="2025-11-30T00:00:00"/>
        <d v="2026-09-20T00:00:00"/>
        <d v="2025-08-30T00:00:00"/>
        <d v="2026-10-07T00:00:00"/>
        <d v="2025-12-19T00:00:00"/>
        <d v="2026-04-20T00:00:00"/>
        <d v="2025-03-15T00:00:00"/>
        <d v="2026-06-21T00:00:00"/>
        <d v="2026-11-11T00:00:00"/>
        <d v="2025-01-09T00:00:00"/>
        <d v="2025-07-06T00:00:00"/>
        <d v="2025-07-12T00:00:00"/>
        <d v="2025-12-17T00:00:00"/>
        <d v="2025-05-30T00:00:00"/>
        <d v="2026-01-26T00:00:00"/>
        <d v="2026-06-18T00:00:00"/>
        <d v="2025-09-06T00:00:00"/>
        <d v="2025-04-02T00:00:00"/>
        <d v="2026-10-23T00:00:00"/>
        <d v="2026-12-25T00:00:00"/>
        <d v="2026-04-06T00:00:00"/>
        <d v="2025-07-09T00:00:00"/>
        <d v="2025-04-09T00:00:00"/>
        <d v="2025-02-11T00:00:00"/>
        <d v="2026-04-04T00:00:00"/>
        <d v="2025-08-27T00:00:00"/>
        <d v="2026-05-10T00:00:00"/>
        <d v="2025-12-01T00:00:00"/>
        <d v="2026-07-29T00:00:00"/>
        <d v="2025-11-09T00:00:00"/>
        <d v="2025-02-24T00:00:00"/>
        <d v="2025-04-01T00:00:00"/>
        <d v="2026-03-04T00:00:00"/>
        <d v="2025-05-15T00:00:00"/>
        <d v="2025-11-22T00:00:00"/>
        <d v="2026-09-03T00:00:00"/>
        <d v="2026-09-15T00:00:00"/>
        <d v="2026-02-28T00:00:00"/>
        <d v="2025-09-14T00:00:00"/>
        <d v="2025-09-01T00:00:00"/>
        <d v="2025-09-08T00:00:00"/>
        <d v="2025-02-07T00:00:00"/>
        <d v="2025-10-27T00:00:00"/>
        <d v="2026-10-18T00:00:00"/>
        <d v="2025-12-10T00:00:00"/>
        <d v="2026-12-28T00:00:00"/>
        <d v="2025-08-10T00:00:00"/>
        <d v="2025-10-05T00:00:00"/>
        <d v="2025-07-22T00:00:00"/>
        <d v="2026-05-02T00:00:00"/>
        <d v="2026-11-10T00:00:00"/>
        <d v="2026-07-23T00:00:00"/>
        <d v="2025-07-30T00:00:00"/>
        <d v="2026-10-03T00:00:00"/>
        <d v="2025-01-12T00:00:00"/>
        <d v="2026-04-12T00:00:00"/>
        <d v="2026-02-13T00:00:00"/>
        <d v="2026-11-02T00:00:00"/>
        <d v="2026-01-27T00:00:00"/>
        <d v="2025-07-25T00:00:00"/>
        <d v="2026-12-18T00:00:00"/>
        <d v="2025-03-13T00:00:00"/>
        <d v="2025-12-08T00:00:00"/>
        <d v="2026-04-16T00:00:00"/>
        <d v="2026-12-14T00:00:00"/>
        <d v="2025-06-26T00:00:00"/>
        <d v="2026-02-26T00:00:00"/>
        <d v="2025-06-30T00:00:00"/>
        <d v="2026-09-17T00:00:00"/>
        <d v="2026-04-15T00:00:00"/>
        <d v="2026-04-19T00:00:00"/>
        <d v="2026-05-07T00:00:00"/>
        <d v="2026-01-30T00:00:00"/>
        <d v="2026-08-13T00:00:00"/>
        <d v="2025-07-29T00:00:00"/>
        <d v="2026-03-31T00:00:00"/>
        <d v="2025-06-01T00:00:00"/>
        <d v="2026-05-01T00:00:00"/>
        <d v="2025-07-20T00:00:00"/>
        <d v="2026-08-28T00:00:00"/>
        <d v="2025-01-30T00:00:00"/>
        <d v="2025-09-22T00:00:00"/>
        <d v="2026-08-19T00:00:00"/>
        <d v="2025-07-18T00:00:00"/>
        <d v="2026-12-06T00:00:00"/>
        <d v="2026-09-09T00:00:00"/>
        <d v="2026-08-17T00:00:00"/>
        <d v="2026-08-16T00:00:00"/>
        <d v="2026-01-24T00:00:00"/>
        <d v="2025-04-23T00:00:00"/>
        <d v="2026-05-21T00:00:00"/>
        <d v="2026-10-22T00:00:00"/>
        <d v="2025-02-03T00:00:00"/>
        <d v="2026-09-24T00:00:00"/>
        <d v="2026-04-17T00:00:00"/>
        <d v="2025-12-11T00:00:00"/>
        <d v="2026-10-13T00:00:00"/>
        <d v="2026-03-20T00:00:00"/>
        <d v="2026-07-28T00:00:00"/>
        <d v="2026-08-08T00:00:00"/>
        <d v="2026-09-07T00:00:00"/>
        <d v="2026-01-07T00:00:00"/>
        <d v="2027-01-01T00:00:00"/>
        <d v="2026-12-05T00:00:00"/>
        <d v="2026-01-22T00:00:00"/>
        <d v="2025-06-02T00:00:00"/>
        <d v="2025-05-14T00:00:00"/>
        <d v="2025-11-17T00:00:00"/>
        <d v="2025-07-13T00:00:00"/>
        <d v="2026-03-23T00:00:00"/>
        <d v="2026-10-06T00:00:00"/>
        <d v="2025-08-02T00:00:00"/>
        <d v="2026-12-10T00:00:00"/>
        <d v="2025-05-09T00:00:00"/>
        <d v="2026-05-08T00:00:00"/>
        <d v="2025-01-21T00:00:00"/>
        <d v="2026-05-15T00:00:00"/>
        <d v="2026-05-22T00:00:00"/>
        <d v="2025-10-28T00:00:00"/>
        <d v="2025-04-14T00:00:00"/>
        <d v="2026-07-25T00:00:00"/>
        <d v="2025-04-24T00:00:00"/>
        <d v="2026-10-08T00:00:00"/>
        <d v="2026-02-24T00:00:00"/>
        <d v="2025-11-08T00:00:00"/>
        <d v="2025-11-05T00:00:00"/>
        <d v="2025-01-29T00:00:00"/>
        <d v="2026-01-17T00:00:00"/>
        <d v="2025-03-25T00:00:00"/>
        <d v="2026-10-14T00:00:00"/>
        <d v="2026-12-30T00:00:00"/>
        <d v="2025-11-07T00:00:00"/>
        <d v="2025-10-18T00:00:00"/>
        <d v="2026-05-30T00:00:00"/>
        <d v="2025-07-04T00:00:00"/>
        <d v="2026-07-09T00:00:00"/>
        <d v="2025-03-03T00:00:00"/>
        <d v="2025-12-28T00:00:00"/>
        <d v="2025-03-08T00:00:00"/>
        <d v="2026-12-13T00:00:00"/>
        <d v="2026-03-05T00:00:00"/>
        <d v="2026-12-11T00:00:00"/>
        <d v="2025-07-08T00:00:00"/>
        <d v="2025-10-25T00:00:00"/>
        <d v="2025-09-11T00:00:00"/>
        <d v="2026-04-27T00:00:00"/>
        <d v="2026-05-26T00:00:00"/>
        <d v="2025-10-02T00:00:00"/>
        <d v="2026-07-18T00:00:00"/>
        <d v="2026-01-03T00:00:00"/>
        <d v="2025-07-11T00:00:00"/>
        <d v="2026-02-05T00:00:00"/>
        <d v="2026-11-06T00:00:00"/>
        <d v="2025-01-11T00:00:00"/>
        <d v="2026-03-29T00:00:00"/>
      </sharedItems>
      <fieldGroup par="15"/>
    </cacheField>
    <cacheField name="FlightDurationMins" numFmtId="0">
      <sharedItems containsSemiMixedTypes="0" containsString="0" containsNumber="1" containsInteger="1" minValue="45" maxValue="240"/>
    </cacheField>
    <cacheField name="AircraftType" numFmtId="0">
      <sharedItems count="5">
        <s v="Boeing 737"/>
        <s v="Boeing 787"/>
        <s v="Airbus A321"/>
        <s v="ATR 72"/>
        <s v="Airbus A320"/>
      </sharedItems>
    </cacheField>
    <cacheField name="SeatsAvailable" numFmtId="0">
      <sharedItems containsSemiMixedTypes="0" containsString="0" containsNumber="1" containsInteger="1" minValue="70" maxValue="220"/>
    </cacheField>
    <cacheField name="SeatsSold" numFmtId="0">
      <sharedItems containsSemiMixedTypes="0" containsString="0" containsNumber="1" containsInteger="1" minValue="40" maxValue="220"/>
    </cacheField>
    <cacheField name="Revenue" numFmtId="0">
      <sharedItems containsSemiMixedTypes="0" containsString="0" containsNumber="1" containsInteger="1" minValue="124246" maxValue="2392302" count="997">
        <n v="606055"/>
        <n v="305136"/>
        <n v="204600"/>
        <n v="392580"/>
        <n v="617771"/>
        <n v="391014"/>
        <n v="723840"/>
        <n v="862884"/>
        <n v="337392"/>
        <n v="1313517"/>
        <n v="1204308"/>
        <n v="662174"/>
        <n v="560128"/>
        <n v="871884"/>
        <n v="919445"/>
        <n v="705002"/>
        <n v="1145776"/>
        <n v="337440"/>
        <n v="1065490"/>
        <n v="1702284"/>
        <n v="598584"/>
        <n v="460728"/>
        <n v="1043441"/>
        <n v="868090"/>
        <n v="310145"/>
        <n v="384705"/>
        <n v="560736"/>
        <n v="223080"/>
        <n v="443269"/>
        <n v="443373"/>
        <n v="281814"/>
        <n v="303597"/>
        <n v="479570"/>
        <n v="808956"/>
        <n v="551304"/>
        <n v="486612"/>
        <n v="549998"/>
        <n v="1091310"/>
        <n v="375731"/>
        <n v="376156"/>
        <n v="488715"/>
        <n v="361340"/>
        <n v="256260"/>
        <n v="903060"/>
        <n v="911064"/>
        <n v="334482"/>
        <n v="607959"/>
        <n v="1013856"/>
        <n v="786968"/>
        <n v="488176"/>
        <n v="451668"/>
        <n v="1076460"/>
        <n v="323748"/>
        <n v="369300"/>
        <n v="501534"/>
        <n v="604864"/>
        <n v="1478016"/>
        <n v="1045630"/>
        <n v="361824"/>
        <n v="370992"/>
        <n v="1480608"/>
        <n v="1413018"/>
        <n v="621690"/>
        <n v="454509"/>
        <n v="771282"/>
        <n v="769790"/>
        <n v="248122"/>
        <n v="313992"/>
        <n v="266936"/>
        <n v="337050"/>
        <n v="1059480"/>
        <n v="343789"/>
        <n v="511575"/>
        <n v="528282"/>
        <n v="374220"/>
        <n v="526950"/>
        <n v="1171534"/>
        <n v="590226"/>
        <n v="1082598"/>
        <n v="486330"/>
        <n v="1464540"/>
        <n v="213018"/>
        <n v="843360"/>
        <n v="210483"/>
        <n v="678978"/>
        <n v="904762"/>
        <n v="390432"/>
        <n v="374290"/>
        <n v="345876"/>
        <n v="688920"/>
        <n v="170373"/>
        <n v="1173126"/>
        <n v="521260"/>
        <n v="311175"/>
        <n v="607383"/>
        <n v="526625"/>
        <n v="487599"/>
        <n v="694729"/>
        <n v="511785"/>
        <n v="263220"/>
        <n v="543240"/>
        <n v="1668468"/>
        <n v="269582"/>
        <n v="1210030"/>
        <n v="1354560"/>
        <n v="1383615"/>
        <n v="1516349"/>
        <n v="294275"/>
        <n v="1053256"/>
        <n v="274620"/>
        <n v="328188"/>
        <n v="1706940"/>
        <n v="498932"/>
        <n v="1294415"/>
        <n v="730002"/>
        <n v="830211"/>
        <n v="829764"/>
        <n v="597240"/>
        <n v="618849"/>
        <n v="1489201"/>
        <n v="257577"/>
        <n v="632296"/>
        <n v="525390"/>
        <n v="808480"/>
        <n v="453406"/>
        <n v="739557"/>
        <n v="381717"/>
        <n v="1717080"/>
        <n v="347578"/>
        <n v="561534"/>
        <n v="557232"/>
        <n v="336476"/>
        <n v="689080"/>
        <n v="543193"/>
        <n v="693457"/>
        <n v="1408860"/>
        <n v="284310"/>
        <n v="1251180"/>
        <n v="810000"/>
        <n v="748635"/>
        <n v="1225770"/>
        <n v="473290"/>
        <n v="621632"/>
        <n v="169518"/>
        <n v="331240"/>
        <n v="1261260"/>
        <n v="248871"/>
        <n v="1420605"/>
        <n v="1319472"/>
        <n v="233960"/>
        <n v="678405"/>
        <n v="1751722"/>
        <n v="1077229"/>
        <n v="612318"/>
        <n v="1573928"/>
        <n v="314496"/>
        <n v="259647"/>
        <n v="1854288"/>
        <n v="580374"/>
        <n v="439930"/>
        <n v="853753"/>
        <n v="833652"/>
        <n v="263844"/>
        <n v="620658"/>
        <n v="246928"/>
        <n v="240850"/>
        <n v="962481"/>
        <n v="369336"/>
        <n v="287166"/>
        <n v="283467"/>
        <n v="308640"/>
        <n v="693144"/>
        <n v="980672"/>
        <n v="477158"/>
        <n v="729714"/>
        <n v="222552"/>
        <n v="332003"/>
        <n v="763875"/>
        <n v="1009438"/>
        <n v="554053"/>
        <n v="490052"/>
        <n v="553800"/>
        <n v="652928"/>
        <n v="504840"/>
        <n v="676368"/>
        <n v="336516"/>
        <n v="1070650"/>
        <n v="469095"/>
        <n v="1474938"/>
        <n v="892630"/>
        <n v="801304"/>
        <n v="402820"/>
        <n v="172848"/>
        <n v="831969"/>
        <n v="869118"/>
        <n v="475160"/>
        <n v="178224"/>
        <n v="853650"/>
        <n v="248300"/>
        <n v="837306"/>
        <n v="1335160"/>
        <n v="1400768"/>
        <n v="516436"/>
        <n v="758218"/>
        <n v="676242"/>
        <n v="1724898"/>
        <n v="1053725"/>
        <n v="657712"/>
        <n v="893664"/>
        <n v="1085014"/>
        <n v="446193"/>
        <n v="965349"/>
        <n v="1735308"/>
        <n v="608424"/>
        <n v="1276109"/>
        <n v="431053"/>
        <n v="432621"/>
        <n v="196032"/>
        <n v="1268397"/>
        <n v="1717764"/>
        <n v="666180"/>
        <n v="277200"/>
        <n v="1281539"/>
        <n v="498036"/>
        <n v="722670"/>
        <n v="771474"/>
        <n v="1427008"/>
        <n v="717344"/>
        <n v="793650"/>
        <n v="324540"/>
        <n v="1276172"/>
        <n v="236501"/>
        <n v="1341309"/>
        <n v="655746"/>
        <n v="263032"/>
        <n v="295520"/>
        <n v="779868"/>
        <n v="582750"/>
        <n v="1346112"/>
        <n v="270880"/>
        <n v="284970"/>
        <n v="548520"/>
        <n v="318784"/>
        <n v="1075806"/>
        <n v="329688"/>
        <n v="893025"/>
        <n v="321609"/>
        <n v="433485"/>
        <n v="258038"/>
        <n v="1183410"/>
        <n v="373212"/>
        <n v="183808"/>
        <n v="800758"/>
        <n v="323180"/>
        <n v="409050"/>
        <n v="823722"/>
        <n v="890400"/>
        <n v="542488"/>
        <n v="578214"/>
        <n v="340956"/>
        <n v="419832"/>
        <n v="317308"/>
        <n v="983630"/>
        <n v="596700"/>
        <n v="1727516"/>
        <n v="705188"/>
        <n v="647640"/>
        <n v="1041480"/>
        <n v="825192"/>
        <n v="222942"/>
        <n v="422790"/>
        <n v="452148"/>
        <n v="777276"/>
        <n v="395080"/>
        <n v="1482624"/>
        <n v="411300"/>
        <n v="534450"/>
        <n v="1152480"/>
        <n v="220480"/>
        <n v="1190184"/>
        <n v="432512"/>
        <n v="367155"/>
        <n v="526585"/>
        <n v="310050"/>
        <n v="302000"/>
        <n v="1790250"/>
        <n v="492345"/>
        <n v="1247181"/>
        <n v="272272"/>
        <n v="470880"/>
        <n v="359320"/>
        <n v="604734"/>
        <n v="1412896"/>
        <n v="1162062"/>
        <n v="900519"/>
        <n v="361800"/>
        <n v="1580657"/>
        <n v="584463"/>
        <n v="1854635"/>
        <n v="2002424"/>
        <n v="2310984"/>
        <n v="226587"/>
        <n v="409900"/>
        <n v="261751"/>
        <n v="1052835"/>
        <n v="269404"/>
        <n v="264375"/>
        <n v="469062"/>
        <n v="565800"/>
        <n v="389602"/>
        <n v="930720"/>
        <n v="1094290"/>
        <n v="444246"/>
        <n v="1520064"/>
        <n v="233695"/>
        <n v="1956420"/>
        <n v="778668"/>
        <n v="329700"/>
        <n v="392042"/>
        <n v="647566"/>
        <n v="319332"/>
        <n v="1125684"/>
        <n v="237475"/>
        <n v="161040"/>
        <n v="996870"/>
        <n v="1333484"/>
        <n v="503712"/>
        <n v="419340"/>
        <n v="487825"/>
        <n v="381376"/>
        <n v="272975"/>
        <n v="351118"/>
        <n v="856144"/>
        <n v="896816"/>
        <n v="719288"/>
        <n v="408521"/>
        <n v="390310"/>
        <n v="196881"/>
        <n v="858228"/>
        <n v="387860"/>
        <n v="903280"/>
        <n v="464140"/>
        <n v="305735"/>
        <n v="672125"/>
        <n v="1160484"/>
        <n v="1207938"/>
        <n v="502195"/>
        <n v="585144"/>
        <n v="423696"/>
        <n v="279424"/>
        <n v="344712"/>
        <n v="410280"/>
        <n v="1217045"/>
        <n v="891075"/>
        <n v="592540"/>
        <n v="264264"/>
        <n v="663114"/>
        <n v="521752"/>
        <n v="245960"/>
        <n v="411976"/>
        <n v="228690"/>
        <n v="558110"/>
        <n v="392375"/>
        <n v="148225"/>
        <n v="1280600"/>
        <n v="737676"/>
        <n v="498161"/>
        <n v="478695"/>
        <n v="566838"/>
        <n v="1368840"/>
        <n v="1305192"/>
        <n v="197163"/>
        <n v="831982"/>
        <n v="886650"/>
        <n v="888352"/>
        <n v="153900"/>
        <n v="684400"/>
        <n v="1060400"/>
        <n v="520910"/>
        <n v="725834"/>
        <n v="578675"/>
        <n v="875017"/>
        <n v="649656"/>
        <n v="256310"/>
        <n v="761206"/>
        <n v="1276170"/>
        <n v="196895"/>
        <n v="1207444"/>
        <n v="364504"/>
        <n v="380200"/>
        <n v="444141"/>
        <n v="582114"/>
        <n v="543424"/>
        <n v="365940"/>
        <n v="1657131"/>
        <n v="514848"/>
        <n v="364231"/>
        <n v="590640"/>
        <n v="864075"/>
        <n v="683414"/>
        <n v="1181696"/>
        <n v="690156"/>
        <n v="246297"/>
        <n v="423111"/>
        <n v="572448"/>
        <n v="637377"/>
        <n v="167255"/>
        <n v="638589"/>
        <n v="1153300"/>
        <n v="212032"/>
        <n v="1132707"/>
        <n v="358290"/>
        <n v="679782"/>
        <n v="1579230"/>
        <n v="448504"/>
        <n v="647525"/>
        <n v="521353"/>
        <n v="509869"/>
        <n v="628918"/>
        <n v="487449"/>
        <n v="834138"/>
        <n v="398090"/>
        <n v="329517"/>
        <n v="564379"/>
        <n v="728401"/>
        <n v="1537829"/>
        <n v="672000"/>
        <n v="234192"/>
        <n v="767613"/>
        <n v="1632305"/>
        <n v="191553"/>
        <n v="1016880"/>
        <n v="438416"/>
        <n v="318240"/>
        <n v="392274"/>
        <n v="675324"/>
        <n v="516600"/>
        <n v="559582"/>
        <n v="767014"/>
        <n v="487258"/>
        <n v="254064"/>
        <n v="489564"/>
        <n v="252234"/>
        <n v="2061414"/>
        <n v="713400"/>
        <n v="872131"/>
        <n v="440324"/>
        <n v="539150"/>
        <n v="249300"/>
        <n v="1818864"/>
        <n v="419014"/>
        <n v="1229865"/>
        <n v="1447948"/>
        <n v="323680"/>
        <n v="528350"/>
        <n v="884763"/>
        <n v="361440"/>
        <n v="601328"/>
        <n v="234976"/>
        <n v="676350"/>
        <n v="1331100"/>
        <n v="733661"/>
        <n v="727848"/>
        <n v="254646"/>
        <n v="380064"/>
        <n v="402048"/>
        <n v="1087000"/>
        <n v="143736"/>
        <n v="1023522"/>
        <n v="467775"/>
        <n v="186624"/>
        <n v="594720"/>
        <n v="529152"/>
        <n v="518112"/>
        <n v="1883056"/>
        <n v="349110"/>
        <n v="630939"/>
        <n v="404145"/>
        <n v="719040"/>
        <n v="436653"/>
        <n v="838296"/>
        <n v="1152450"/>
        <n v="249865"/>
        <n v="560860"/>
        <n v="1029690"/>
        <n v="221431"/>
        <n v="536778"/>
        <n v="280128"/>
        <n v="208974"/>
        <n v="372892"/>
        <n v="639488"/>
        <n v="435159"/>
        <n v="1547768"/>
        <n v="273201"/>
        <n v="922768"/>
        <n v="789600"/>
        <n v="567000"/>
        <n v="735750"/>
        <n v="642192"/>
        <n v="1169256"/>
        <n v="1409960"/>
        <n v="434125"/>
        <n v="1060596"/>
        <n v="511200"/>
        <n v="735630"/>
        <n v="292140"/>
        <n v="372856"/>
        <n v="569415"/>
        <n v="505802"/>
        <n v="494954"/>
        <n v="146863"/>
        <n v="313900"/>
        <n v="382760"/>
        <n v="883346"/>
        <n v="383427"/>
        <n v="517705"/>
        <n v="625570"/>
        <n v="1062140"/>
        <n v="945156"/>
        <n v="573884"/>
        <n v="449052"/>
        <n v="155900"/>
        <n v="540549"/>
        <n v="1082740"/>
        <n v="358020"/>
        <n v="174988"/>
        <n v="893564"/>
        <n v="623094"/>
        <n v="1248512"/>
        <n v="488612"/>
        <n v="762220"/>
        <n v="475615"/>
        <n v="353745"/>
        <n v="591643"/>
        <n v="436842"/>
        <n v="744555"/>
        <n v="539874"/>
        <n v="316440"/>
        <n v="723681"/>
        <n v="972835"/>
        <n v="525224"/>
        <n v="440010"/>
        <n v="1350272"/>
        <n v="434784"/>
        <n v="614222"/>
        <n v="357058"/>
        <n v="1610808"/>
        <n v="781113"/>
        <n v="526884"/>
        <n v="811200"/>
        <n v="545584"/>
        <n v="451088"/>
        <n v="282464"/>
        <n v="334800"/>
        <n v="1805604"/>
        <n v="1771184"/>
        <n v="496689"/>
        <n v="265048"/>
        <n v="307284"/>
        <n v="1074928"/>
        <n v="277181"/>
        <n v="1379445"/>
        <n v="796800"/>
        <n v="518144"/>
        <n v="214758"/>
        <n v="1363095"/>
        <n v="661142"/>
        <n v="868373"/>
        <n v="1058207"/>
        <n v="667580"/>
        <n v="214922"/>
        <n v="2221776"/>
        <n v="506772"/>
        <n v="503616"/>
        <n v="535552"/>
        <n v="1147661"/>
        <n v="1343860"/>
        <n v="1321887"/>
        <n v="891268"/>
        <n v="563902"/>
        <n v="260448"/>
        <n v="1808664"/>
        <n v="236760"/>
        <n v="1247716"/>
        <n v="295813"/>
        <n v="703525"/>
        <n v="1311965"/>
        <n v="1356901"/>
        <n v="1271320"/>
        <n v="812630"/>
        <n v="160486"/>
        <n v="294882"/>
        <n v="281253"/>
        <n v="687800"/>
        <n v="474944"/>
        <n v="653204"/>
        <n v="654369"/>
        <n v="411056"/>
        <n v="1254400"/>
        <n v="965742"/>
        <n v="1051335"/>
        <n v="260783"/>
        <n v="1091398"/>
        <n v="748132"/>
        <n v="295191"/>
        <n v="991243"/>
        <n v="1218046"/>
        <n v="296240"/>
        <n v="444480"/>
        <n v="953128"/>
        <n v="1834702"/>
        <n v="224080"/>
        <n v="537680"/>
        <n v="295350"/>
        <n v="716092"/>
        <n v="1034892"/>
        <n v="288880"/>
        <n v="849804"/>
        <n v="295496"/>
        <n v="235724"/>
        <n v="939039"/>
        <n v="528219"/>
        <n v="1229508"/>
        <n v="1068300"/>
        <n v="326250"/>
        <n v="378040"/>
        <n v="400374"/>
        <n v="370260"/>
        <n v="506583"/>
        <n v="196650"/>
        <n v="1003324"/>
        <n v="655200"/>
        <n v="735057"/>
        <n v="1438164"/>
        <n v="306993"/>
        <n v="1433466"/>
        <n v="1401368"/>
        <n v="757596"/>
        <n v="587664"/>
        <n v="545606"/>
        <n v="817234"/>
        <n v="1843142"/>
        <n v="124356"/>
        <n v="501908"/>
        <n v="362016"/>
        <n v="1063890"/>
        <n v="231476"/>
        <n v="540492"/>
        <n v="1177606"/>
        <n v="495730"/>
        <n v="659866"/>
        <n v="466074"/>
        <n v="443664"/>
        <n v="427853"/>
        <n v="306228"/>
        <n v="350342"/>
        <n v="487690"/>
        <n v="388344"/>
        <n v="541212"/>
        <n v="439116"/>
        <n v="833340"/>
        <n v="891352"/>
        <n v="1007360"/>
        <n v="1094800"/>
        <n v="837084"/>
        <n v="696660"/>
        <n v="655692"/>
        <n v="1780743"/>
        <n v="717172"/>
        <n v="722692"/>
        <n v="253128"/>
        <n v="1013346"/>
        <n v="838768"/>
        <n v="687986"/>
        <n v="384642"/>
        <n v="1319310"/>
        <n v="1232220"/>
        <n v="984810"/>
        <n v="855184"/>
        <n v="246374"/>
        <n v="405384"/>
        <n v="545076"/>
        <n v="377900"/>
        <n v="427602"/>
        <n v="187758"/>
        <n v="986455"/>
        <n v="270648"/>
        <n v="418080"/>
        <n v="958040"/>
        <n v="882924"/>
        <n v="553311"/>
        <n v="1113728"/>
        <n v="571474"/>
        <n v="870692"/>
        <n v="574993"/>
        <n v="369480"/>
        <n v="195648"/>
        <n v="379525"/>
        <n v="297972"/>
        <n v="819352"/>
        <n v="382816"/>
        <n v="436152"/>
        <n v="444352"/>
        <n v="124760"/>
        <n v="437760"/>
        <n v="540696"/>
        <n v="215190"/>
        <n v="718208"/>
        <n v="396780"/>
        <n v="904638"/>
        <n v="208498"/>
        <n v="874380"/>
        <n v="330276"/>
        <n v="593630"/>
        <n v="279360"/>
        <n v="582600"/>
        <n v="539458"/>
        <n v="198576"/>
        <n v="217560"/>
        <n v="256732"/>
        <n v="425022"/>
        <n v="564400"/>
        <n v="653604"/>
        <n v="192360"/>
        <n v="1171032"/>
        <n v="752571"/>
        <n v="423522"/>
        <n v="730520"/>
        <n v="639090"/>
        <n v="264252"/>
        <n v="498780"/>
        <n v="729168"/>
        <n v="675680"/>
        <n v="212784"/>
        <n v="644280"/>
        <n v="468832"/>
        <n v="1160810"/>
        <n v="879309"/>
        <n v="353232"/>
        <n v="455332"/>
        <n v="535689"/>
        <n v="525538"/>
        <n v="980616"/>
        <n v="784740"/>
        <n v="520052"/>
        <n v="325125"/>
        <n v="1057410"/>
        <n v="225984"/>
        <n v="1140972"/>
        <n v="453695"/>
        <n v="420988"/>
        <n v="309050"/>
        <n v="773190"/>
        <n v="910683"/>
        <n v="151630"/>
        <n v="772704"/>
        <n v="171454"/>
        <n v="444366"/>
        <n v="605374"/>
        <n v="454410"/>
        <n v="693504"/>
        <n v="1105884"/>
        <n v="492888"/>
        <n v="368320"/>
        <n v="360555"/>
        <n v="1201289"/>
        <n v="512123"/>
        <n v="480339"/>
        <n v="686511"/>
        <n v="467181"/>
        <n v="422124"/>
        <n v="408564"/>
        <n v="611314"/>
        <n v="656717"/>
        <n v="2029104"/>
        <n v="574350"/>
        <n v="231738"/>
        <n v="245549"/>
        <n v="221832"/>
        <n v="327448"/>
        <n v="520317"/>
        <n v="672048"/>
        <n v="535610"/>
        <n v="735889"/>
        <n v="899346"/>
        <n v="953436"/>
        <n v="745878"/>
        <n v="494064"/>
        <n v="1681576"/>
        <n v="457968"/>
        <n v="510732"/>
        <n v="1492634"/>
        <n v="1048927"/>
        <n v="447219"/>
        <n v="903476"/>
        <n v="1207022"/>
        <n v="1186215"/>
        <n v="674570"/>
        <n v="2233844"/>
        <n v="481248"/>
        <n v="283986"/>
        <n v="532835"/>
        <n v="450424"/>
        <n v="322141"/>
        <n v="1607400"/>
        <n v="1449360"/>
        <n v="451827"/>
        <n v="520144"/>
        <n v="513152"/>
        <n v="529596"/>
        <n v="603720"/>
        <n v="460194"/>
        <n v="1358588"/>
        <n v="495726"/>
        <n v="777816"/>
        <n v="188992"/>
        <n v="265720"/>
        <n v="470700"/>
        <n v="529207"/>
        <n v="810665"/>
        <n v="1297648"/>
        <n v="882240"/>
        <n v="1029287"/>
        <n v="128940"/>
        <n v="697345"/>
        <n v="324207"/>
        <n v="217284"/>
        <n v="373048"/>
        <n v="446310"/>
        <n v="434711"/>
        <n v="1197537"/>
        <n v="252330"/>
        <n v="477650"/>
        <n v="417220"/>
        <n v="495264"/>
        <n v="370986"/>
        <n v="425752"/>
        <n v="1176672"/>
        <n v="730053"/>
        <n v="259650"/>
        <n v="266200"/>
        <n v="244710"/>
        <n v="671400"/>
        <n v="933177"/>
        <n v="843920"/>
        <n v="194481"/>
        <n v="567188"/>
        <n v="250046"/>
        <n v="241298"/>
        <n v="178425"/>
        <n v="164604"/>
        <n v="196298"/>
        <n v="577935"/>
        <n v="568680"/>
        <n v="562800"/>
        <n v="346290"/>
        <n v="1056272"/>
        <n v="458220"/>
        <n v="589918"/>
        <n v="1007742"/>
        <n v="681192"/>
        <n v="956572"/>
        <n v="486816"/>
        <n v="370644"/>
        <n v="286715"/>
        <n v="983970"/>
        <n v="149040"/>
        <n v="1075780"/>
        <n v="245387"/>
        <n v="476450"/>
        <n v="1988680"/>
        <n v="2004163"/>
        <n v="385728"/>
        <n v="428840"/>
        <n v="773376"/>
        <n v="1351416"/>
        <n v="389747"/>
        <n v="415170"/>
        <n v="314392"/>
        <n v="1015396"/>
        <n v="815964"/>
        <n v="1077780"/>
        <n v="437160"/>
        <n v="685008"/>
        <n v="818824"/>
        <n v="1006763"/>
        <n v="477920"/>
        <n v="472472"/>
        <n v="594864"/>
        <n v="290403"/>
        <n v="1939056"/>
        <n v="1111125"/>
        <n v="1313879"/>
        <n v="523530"/>
        <n v="180510"/>
        <n v="802368"/>
        <n v="1016116"/>
        <n v="855098"/>
        <n v="752046"/>
        <n v="2013366"/>
        <n v="754528"/>
        <n v="775950"/>
        <n v="595630"/>
        <n v="365803"/>
        <n v="236572"/>
        <n v="180160"/>
        <n v="1110032"/>
        <n v="760760"/>
        <n v="354250"/>
        <n v="1519560"/>
        <n v="629442"/>
        <n v="241660"/>
        <n v="294567"/>
        <n v="1059718"/>
        <n v="421281"/>
        <n v="185535"/>
        <n v="631596"/>
        <n v="1829880"/>
        <n v="584192"/>
        <n v="637340"/>
        <n v="499728"/>
        <n v="404480"/>
        <n v="1108456"/>
        <n v="670680"/>
        <n v="565630"/>
        <n v="551599"/>
        <n v="608113"/>
        <n v="226200"/>
        <n v="480867"/>
        <n v="152496"/>
        <n v="730710"/>
        <n v="228480"/>
        <n v="624140"/>
        <n v="324144"/>
        <n v="1308671"/>
        <n v="870770"/>
        <n v="176526"/>
        <n v="314880"/>
        <n v="622544"/>
        <n v="970494"/>
        <n v="369400"/>
        <n v="157230"/>
        <n v="564925"/>
        <n v="591040"/>
        <n v="524160"/>
        <n v="124246"/>
        <n v="798745"/>
        <n v="365088"/>
        <n v="591136"/>
        <n v="1012752"/>
        <n v="376805"/>
        <n v="1784424"/>
        <n v="220179"/>
        <n v="726320"/>
        <n v="367972"/>
        <n v="424908"/>
        <n v="961555"/>
        <n v="417984"/>
        <n v="1229800"/>
        <n v="251910"/>
        <n v="1017738"/>
        <n v="541650"/>
        <n v="698625"/>
        <n v="638394"/>
        <n v="815732"/>
        <n v="567356"/>
        <n v="929754"/>
        <n v="250332"/>
        <n v="1958976"/>
        <n v="503624"/>
        <n v="556686"/>
        <n v="440019"/>
        <n v="1084149"/>
        <n v="878242"/>
        <n v="540432"/>
        <n v="909672"/>
        <n v="2392302"/>
        <n v="427900"/>
        <n v="257125"/>
        <n v="657776"/>
        <n v="223230"/>
        <n v="587412"/>
        <n v="460175"/>
        <n v="425360"/>
        <n v="324765"/>
        <n v="560526"/>
        <n v="208975"/>
        <n v="951514"/>
        <n v="806000"/>
        <n v="1113810"/>
        <n v="818586"/>
        <n v="765975"/>
        <n v="619245"/>
        <n v="709365"/>
        <n v="587334"/>
        <n v="801090"/>
        <n v="320920"/>
      </sharedItems>
    </cacheField>
    <cacheField name="OperationalCost" numFmtId="0">
      <sharedItems containsSemiMixedTypes="0" containsString="0" containsNumber="1" containsInteger="1" minValue="15673" maxValue="112358" count="989">
        <n v="39449"/>
        <n v="34654"/>
        <n v="73890"/>
        <n v="30816"/>
        <n v="78087"/>
        <n v="24419"/>
        <n v="44281"/>
        <n v="70632"/>
        <n v="47360"/>
        <n v="80644"/>
        <n v="61777"/>
        <n v="34932"/>
        <n v="58730"/>
        <n v="39041"/>
        <n v="54135"/>
        <n v="59985"/>
        <n v="24097"/>
        <n v="56840"/>
        <n v="56470"/>
        <n v="57676"/>
        <n v="26728"/>
        <n v="28075"/>
        <n v="95358"/>
        <n v="65787"/>
        <n v="59857"/>
        <n v="62563"/>
        <n v="46758"/>
        <n v="48657"/>
        <n v="69675"/>
        <n v="76588"/>
        <n v="31160"/>
        <n v="44356"/>
        <n v="41481"/>
        <n v="41421"/>
        <n v="48050"/>
        <n v="87109"/>
        <n v="63582"/>
        <n v="49757"/>
        <n v="33248"/>
        <n v="43505"/>
        <n v="33284"/>
        <n v="51185"/>
        <n v="44832"/>
        <n v="41402"/>
        <n v="56349"/>
        <n v="66893"/>
        <n v="67252"/>
        <n v="71798"/>
        <n v="63114"/>
        <n v="52854"/>
        <n v="76066"/>
        <n v="56506"/>
        <n v="87133"/>
        <n v="36588"/>
        <n v="54973"/>
        <n v="37338"/>
        <n v="100363"/>
        <n v="75510"/>
        <n v="59165"/>
        <n v="52389"/>
        <n v="47571"/>
        <n v="63873"/>
        <n v="58464"/>
        <n v="60741"/>
        <n v="47124"/>
        <n v="51200"/>
        <n v="23723"/>
        <n v="31491"/>
        <n v="62140"/>
        <n v="93072"/>
        <n v="32660"/>
        <n v="72348"/>
        <n v="79185"/>
        <n v="44126"/>
        <n v="73961"/>
        <n v="48244"/>
        <n v="70571"/>
        <n v="44838"/>
        <n v="64804"/>
        <n v="32800"/>
        <n v="48480"/>
        <n v="39248"/>
        <n v="35622"/>
        <n v="62442"/>
        <n v="52466"/>
        <n v="64848"/>
        <n v="69360"/>
        <n v="66744"/>
        <n v="57710"/>
        <n v="65093"/>
        <n v="30194"/>
        <n v="44940"/>
        <n v="29330"/>
        <n v="77739"/>
        <n v="88407"/>
        <n v="48917"/>
        <n v="63988"/>
        <n v="48174"/>
        <n v="52720"/>
        <n v="41179"/>
        <n v="53465"/>
        <n v="66346"/>
        <n v="54870"/>
        <n v="35434"/>
        <n v="53012"/>
        <n v="71727"/>
        <n v="45846"/>
        <n v="37098"/>
        <n v="60224"/>
        <n v="29337"/>
        <n v="41683"/>
        <n v="49938"/>
        <n v="61917"/>
        <n v="52922"/>
        <n v="44422"/>
        <n v="67413"/>
        <n v="20387"/>
        <n v="71896"/>
        <n v="32844"/>
        <n v="54800"/>
        <n v="32283"/>
        <n v="24576"/>
        <n v="42422"/>
        <n v="73601"/>
        <n v="28644"/>
        <n v="87762"/>
        <n v="49771"/>
        <n v="67529"/>
        <n v="41712"/>
        <n v="51967"/>
        <n v="63928"/>
        <n v="54644"/>
        <n v="56094"/>
        <n v="60765"/>
        <n v="29986"/>
        <n v="67517"/>
        <n v="94218"/>
        <n v="68070"/>
        <n v="70040"/>
        <n v="31272"/>
        <n v="43932"/>
        <n v="60845"/>
        <n v="63305"/>
        <n v="44856"/>
        <n v="32828"/>
        <n v="46798"/>
        <n v="62402"/>
        <n v="66636"/>
        <n v="74870"/>
        <n v="40018"/>
        <n v="29015"/>
        <n v="52767"/>
        <n v="70542"/>
        <n v="70124"/>
        <n v="51840"/>
        <n v="59635"/>
        <n v="55176"/>
        <n v="72987"/>
        <n v="52847"/>
        <n v="44138"/>
        <n v="53604"/>
        <n v="62364"/>
        <n v="74011"/>
        <n v="70328"/>
        <n v="66236"/>
        <n v="88620"/>
        <n v="76320"/>
        <n v="43176"/>
        <n v="77552"/>
        <n v="69326"/>
        <n v="49083"/>
        <n v="87788"/>
        <n v="72399"/>
        <n v="42354"/>
        <n v="51168"/>
        <n v="40667"/>
        <n v="57666"/>
        <n v="32804"/>
        <n v="45075"/>
        <n v="80977"/>
        <n v="51841"/>
        <n v="40944"/>
        <n v="71789"/>
        <n v="57902"/>
        <n v="18340"/>
        <n v="73909"/>
        <n v="38465"/>
        <n v="37193"/>
        <n v="49954"/>
        <n v="67957"/>
        <n v="50952"/>
        <n v="55110"/>
        <n v="61887"/>
        <n v="41604"/>
        <n v="74244"/>
        <n v="52474"/>
        <n v="37860"/>
        <n v="52306"/>
        <n v="71994"/>
        <n v="80868"/>
        <n v="51345"/>
        <n v="37833"/>
        <n v="54392"/>
        <n v="47206"/>
        <n v="41262"/>
        <n v="83265"/>
        <n v="81181"/>
        <n v="75483"/>
        <n v="35045"/>
        <n v="39081"/>
        <n v="36504"/>
        <n v="90406"/>
        <n v="70795"/>
        <n v="41192"/>
        <n v="67371"/>
        <n v="61998"/>
        <n v="65680"/>
        <n v="77796"/>
        <n v="57525"/>
        <n v="72897"/>
        <n v="60324"/>
        <n v="59199"/>
        <n v="60654"/>
        <n v="69836"/>
        <n v="59640"/>
        <n v="64165"/>
        <n v="73355"/>
        <n v="42812"/>
        <n v="60345"/>
        <n v="96259"/>
        <n v="27860"/>
        <n v="59474"/>
        <n v="68916"/>
        <n v="42866"/>
        <n v="80685"/>
        <n v="46909"/>
        <n v="61120"/>
        <n v="55026"/>
        <n v="72166"/>
        <n v="52909"/>
        <n v="44034"/>
        <n v="85072"/>
        <n v="43880"/>
        <n v="54614"/>
        <n v="59549"/>
        <n v="29685"/>
        <n v="38161"/>
        <n v="52446"/>
        <n v="57878"/>
        <n v="59136"/>
        <n v="42528"/>
        <n v="37088"/>
        <n v="64284"/>
        <n v="48768"/>
        <n v="54362"/>
        <n v="92140"/>
        <n v="70266"/>
        <n v="46436"/>
        <n v="48456"/>
        <n v="42300"/>
        <n v="51234"/>
        <n v="47625"/>
        <n v="58192"/>
        <n v="65496"/>
        <n v="44041"/>
        <n v="43786"/>
        <n v="74385"/>
        <n v="20608"/>
        <n v="36877"/>
        <n v="48948"/>
        <n v="35196"/>
        <n v="42294"/>
        <n v="71562"/>
        <n v="61468"/>
        <n v="75733"/>
        <n v="21679"/>
        <n v="59147"/>
        <n v="73151"/>
        <n v="69863"/>
        <n v="81597"/>
        <n v="77998"/>
        <n v="34656"/>
        <n v="47917"/>
        <n v="55534"/>
        <n v="32119"/>
        <n v="34122"/>
        <n v="57200"/>
        <n v="80412"/>
        <n v="49746"/>
        <n v="49244"/>
        <n v="59430"/>
        <n v="47664"/>
        <n v="54126"/>
        <n v="70252"/>
        <n v="58561"/>
        <n v="84154"/>
        <n v="81664"/>
        <n v="75148"/>
        <n v="59870"/>
        <n v="39549"/>
        <n v="72301"/>
        <n v="25558"/>
        <n v="65674"/>
        <n v="88381"/>
        <n v="73007"/>
        <n v="75583"/>
        <n v="63730"/>
        <n v="55010"/>
        <n v="45249"/>
        <n v="49358"/>
        <n v="48964"/>
        <n v="80316"/>
        <n v="53172"/>
        <n v="68272"/>
        <n v="39190"/>
        <n v="27366"/>
        <n v="61640"/>
        <n v="66678"/>
        <n v="67108"/>
        <n v="35518"/>
        <n v="72708"/>
        <n v="92809"/>
        <n v="56446"/>
        <n v="76136"/>
        <n v="57380"/>
        <n v="67912"/>
        <n v="53397"/>
        <n v="39201"/>
        <n v="44160"/>
        <n v="45578"/>
        <n v="46030"/>
        <n v="51091"/>
        <n v="52962"/>
        <n v="75862"/>
        <n v="66695"/>
        <n v="50632"/>
        <n v="38532"/>
        <n v="40128"/>
        <n v="79135"/>
        <n v="64468"/>
        <n v="56687"/>
        <n v="42367"/>
        <n v="63389"/>
        <n v="33385"/>
        <n v="62429"/>
        <n v="17529"/>
        <n v="58413"/>
        <n v="55153"/>
        <n v="25195"/>
        <n v="55033"/>
        <n v="54106"/>
        <n v="52596"/>
        <n v="43332"/>
        <n v="74636"/>
        <n v="72796"/>
        <n v="66200"/>
        <n v="40189"/>
        <n v="66770"/>
        <n v="63785"/>
        <n v="43841"/>
        <n v="53743"/>
        <n v="36285"/>
        <n v="38075"/>
        <n v="32228"/>
        <n v="73766"/>
        <n v="45193"/>
        <n v="43465"/>
        <n v="35445"/>
        <n v="68897"/>
        <n v="63835"/>
        <n v="27196"/>
        <n v="48752"/>
        <n v="86656"/>
        <n v="34417"/>
        <n v="51269"/>
        <n v="54480"/>
        <n v="79965"/>
        <n v="97563"/>
        <n v="50390"/>
        <n v="48823"/>
        <n v="52358"/>
        <n v="27658"/>
        <n v="66330"/>
        <n v="53585"/>
        <n v="27078"/>
        <n v="69072"/>
        <n v="37456"/>
        <n v="41064"/>
        <n v="37038"/>
        <n v="34182"/>
        <n v="53534"/>
        <n v="33895"/>
        <n v="32870"/>
        <n v="58503"/>
        <n v="68438"/>
        <n v="52990"/>
        <n v="77234"/>
        <n v="70119"/>
        <n v="44442"/>
        <n v="49936"/>
        <n v="42794"/>
        <n v="70076"/>
        <n v="72695"/>
        <n v="71112"/>
        <n v="49052"/>
        <n v="29912"/>
        <n v="58179"/>
        <n v="60493"/>
        <n v="28350"/>
        <n v="37332"/>
        <n v="69126"/>
        <n v="54940"/>
        <n v="66635"/>
        <n v="88699"/>
        <n v="49464"/>
        <n v="37648"/>
        <n v="82718"/>
        <n v="59824"/>
        <n v="68590"/>
        <n v="45662"/>
        <n v="57792"/>
        <n v="50922"/>
        <n v="46375"/>
        <n v="50815"/>
        <n v="48021"/>
        <n v="45108"/>
        <n v="79388"/>
        <n v="49305"/>
        <n v="66516"/>
        <n v="49337"/>
        <n v="97786"/>
        <n v="31290"/>
        <n v="55516"/>
        <n v="75990"/>
        <n v="39024"/>
        <n v="51566"/>
        <n v="32047"/>
        <n v="36029"/>
        <n v="33310"/>
        <n v="61068"/>
        <n v="53816"/>
        <n v="60406"/>
        <n v="83276"/>
        <n v="48756"/>
        <n v="65969"/>
        <n v="69495"/>
        <n v="63072"/>
        <n v="52721"/>
        <n v="43644"/>
        <n v="23461"/>
        <n v="48005"/>
        <n v="59462"/>
        <n v="46032"/>
        <n v="36604"/>
        <n v="36325"/>
        <n v="71887"/>
        <n v="86505"/>
        <n v="76890"/>
        <n v="50216"/>
        <n v="74421"/>
        <n v="78094"/>
        <n v="74702"/>
        <n v="75009"/>
        <n v="28618"/>
        <n v="50248"/>
        <n v="95887"/>
        <n v="55425"/>
        <n v="69083"/>
        <n v="24084"/>
        <n v="44937"/>
        <n v="49873"/>
        <n v="76966"/>
        <n v="55566"/>
        <n v="51130"/>
        <n v="37390"/>
        <n v="73690"/>
        <n v="35824"/>
        <n v="83599"/>
        <n v="45560"/>
        <n v="34799"/>
        <n v="70919"/>
        <n v="42475"/>
        <n v="60463"/>
        <n v="35862"/>
        <n v="59570"/>
        <n v="45422"/>
        <n v="47880"/>
        <n v="50418"/>
        <n v="75540"/>
        <n v="53642"/>
        <n v="76334"/>
        <n v="34573"/>
        <n v="28714"/>
        <n v="61083"/>
        <n v="76319"/>
        <n v="60325"/>
        <n v="37018"/>
        <n v="91432"/>
        <n v="70033"/>
        <n v="76896"/>
        <n v="53350"/>
        <n v="25640"/>
        <n v="55635"/>
        <n v="45276"/>
        <n v="37364"/>
        <n v="75300"/>
        <n v="89969"/>
        <n v="82052"/>
        <n v="46050"/>
        <n v="75120"/>
        <n v="92785"/>
        <n v="67060"/>
        <n v="59904"/>
        <n v="23749"/>
        <n v="49135"/>
        <n v="54896"/>
        <n v="63150"/>
        <n v="51068"/>
        <n v="56229"/>
        <n v="54264"/>
        <n v="59552"/>
        <n v="50638"/>
        <n v="65764"/>
        <n v="36056"/>
        <n v="40344"/>
        <n v="69501"/>
        <n v="69328"/>
        <n v="56258"/>
        <n v="58002"/>
        <n v="52298"/>
        <n v="42778"/>
        <n v="28370"/>
        <n v="62908"/>
        <n v="41191"/>
        <n v="76648"/>
        <n v="34096"/>
        <n v="44659"/>
        <n v="44715"/>
        <n v="46980"/>
        <n v="63113"/>
        <n v="73480"/>
        <n v="20520"/>
        <n v="49193"/>
        <n v="36277"/>
        <n v="54300"/>
        <n v="84318"/>
        <n v="51844"/>
        <n v="86307"/>
        <n v="41276"/>
        <n v="46702"/>
        <n v="57552"/>
        <n v="49941"/>
        <n v="67724"/>
        <n v="91680"/>
        <n v="55408"/>
        <n v="36086"/>
        <n v="80398"/>
        <n v="64093"/>
        <n v="68006"/>
        <n v="41072"/>
        <n v="29591"/>
        <n v="18142"/>
        <n v="62632"/>
        <n v="35580"/>
        <n v="20488"/>
        <n v="58876"/>
        <n v="34061"/>
        <n v="74367"/>
        <n v="64488"/>
        <n v="48955"/>
        <n v="30653"/>
        <n v="46528"/>
        <n v="59001"/>
        <n v="34027"/>
        <n v="64944"/>
        <n v="25546"/>
        <n v="74982"/>
        <n v="33395"/>
        <n v="64440"/>
        <n v="57646"/>
        <n v="58284"/>
        <n v="73752"/>
        <n v="66455"/>
        <n v="99399"/>
        <n v="46848"/>
        <n v="65151"/>
        <n v="57865"/>
        <n v="45684"/>
        <n v="57861"/>
        <n v="37951"/>
        <n v="41705"/>
        <n v="60740"/>
        <n v="67847"/>
        <n v="40143"/>
        <n v="65770"/>
        <n v="32129"/>
        <n v="53965"/>
        <n v="63246"/>
        <n v="65124"/>
        <n v="36965"/>
        <n v="66640"/>
        <n v="40772"/>
        <n v="72088"/>
        <n v="38502"/>
        <n v="68972"/>
        <n v="37895"/>
        <n v="29320"/>
        <n v="55940"/>
        <n v="45282"/>
        <n v="54221"/>
        <n v="46920"/>
        <n v="49697"/>
        <n v="45244"/>
        <n v="45297"/>
        <n v="46125"/>
        <n v="46136"/>
        <n v="53220"/>
        <n v="18891"/>
        <n v="65586"/>
        <n v="95926"/>
        <n v="58506"/>
        <n v="48250"/>
        <n v="56492"/>
        <n v="86402"/>
        <n v="44373"/>
        <n v="57795"/>
        <n v="92816"/>
        <n v="31494"/>
        <n v="50809"/>
        <n v="75267"/>
        <n v="42400"/>
        <n v="55699"/>
        <n v="38862"/>
        <n v="41420"/>
        <n v="38044"/>
        <n v="55274"/>
        <n v="80723"/>
        <n v="91179"/>
        <n v="74514"/>
        <n v="45241"/>
        <n v="59396"/>
        <n v="47031"/>
        <n v="34157"/>
        <n v="54562"/>
        <n v="56472"/>
        <n v="31500"/>
        <n v="50560"/>
        <n v="40165"/>
        <n v="38025"/>
        <n v="50751"/>
        <n v="50243"/>
        <n v="25549"/>
        <n v="52851"/>
        <n v="50438"/>
        <n v="86601"/>
        <n v="45522"/>
        <n v="55612"/>
        <n v="47629"/>
        <n v="70325"/>
        <n v="50421"/>
        <n v="65636"/>
        <n v="46464"/>
        <n v="29812"/>
        <n v="59220"/>
        <n v="108648"/>
        <n v="36248"/>
        <n v="68334"/>
        <n v="69753"/>
        <n v="75117"/>
        <n v="41373"/>
        <n v="51115"/>
        <n v="55816"/>
        <n v="40491"/>
        <n v="20408"/>
        <n v="89214"/>
        <n v="60264"/>
        <n v="68175"/>
        <n v="54773"/>
        <n v="91239"/>
        <n v="57154"/>
        <n v="73503"/>
        <n v="81462"/>
        <n v="46967"/>
        <n v="41374"/>
        <n v="46606"/>
        <n v="57876"/>
        <n v="42287"/>
        <n v="70211"/>
        <n v="50740"/>
        <n v="60849"/>
        <n v="80290"/>
        <n v="25433"/>
        <n v="44618"/>
        <n v="53880"/>
        <n v="62295"/>
        <n v="43463"/>
        <n v="40080"/>
        <n v="56426"/>
        <n v="44686"/>
        <n v="33542"/>
        <n v="75439"/>
        <n v="43383"/>
        <n v="83799"/>
        <n v="52608"/>
        <n v="71376"/>
        <n v="41342"/>
        <n v="40070"/>
        <n v="82809"/>
        <n v="97570"/>
        <n v="83544"/>
        <n v="37862"/>
        <n v="57299"/>
        <n v="34303"/>
        <n v="48947"/>
        <n v="41464"/>
        <n v="78024"/>
        <n v="44826"/>
        <n v="68380"/>
        <n v="47394"/>
        <n v="50253"/>
        <n v="36866"/>
        <n v="38890"/>
        <n v="30350"/>
        <n v="35561"/>
        <n v="59958"/>
        <n v="33722"/>
        <n v="60488"/>
        <n v="57990"/>
        <n v="57737"/>
        <n v="24990"/>
        <n v="71352"/>
        <n v="60915"/>
        <n v="67650"/>
        <n v="95814"/>
        <n v="81154"/>
        <n v="51413"/>
        <n v="42232"/>
        <n v="36964"/>
        <n v="81168"/>
        <n v="37426"/>
        <n v="32176"/>
        <n v="56379"/>
        <n v="49141"/>
        <n v="79709"/>
        <n v="38729"/>
        <n v="63153"/>
        <n v="46731"/>
        <n v="43458"/>
        <n v="50668"/>
        <n v="52797"/>
        <n v="46780"/>
        <n v="71958"/>
        <n v="36268"/>
        <n v="49810"/>
        <n v="67379"/>
        <n v="55268"/>
        <n v="70279"/>
        <n v="70402"/>
        <n v="81062"/>
        <n v="51541"/>
        <n v="49175"/>
        <n v="49062"/>
        <n v="59888"/>
        <n v="63135"/>
        <n v="30720"/>
        <n v="58686"/>
        <n v="68323"/>
        <n v="42122"/>
        <n v="44065"/>
        <n v="50043"/>
        <n v="27454"/>
        <n v="42204"/>
        <n v="33596"/>
        <n v="41344"/>
        <n v="28392"/>
        <n v="24782"/>
        <n v="58341"/>
        <n v="71295"/>
        <n v="43405"/>
        <n v="54804"/>
        <n v="64276"/>
        <n v="49236"/>
        <n v="55399"/>
        <n v="66231"/>
        <n v="36600"/>
        <n v="63910"/>
        <n v="65591"/>
        <n v="43510"/>
        <n v="29376"/>
        <n v="67895"/>
        <n v="78986"/>
        <n v="65904"/>
        <n v="49980"/>
        <n v="96187"/>
        <n v="76150"/>
        <n v="33660"/>
        <n v="59178"/>
        <n v="29108"/>
        <n v="58319"/>
        <n v="55090"/>
        <n v="66432"/>
        <n v="27792"/>
        <n v="59702"/>
        <n v="68850"/>
        <n v="69108"/>
        <n v="62404"/>
        <n v="91453"/>
        <n v="44496"/>
        <n v="38560"/>
        <n v="36464"/>
        <n v="38490"/>
        <n v="37435"/>
        <n v="46751"/>
        <n v="63572"/>
        <n v="42632"/>
        <n v="48665"/>
        <n v="55333"/>
        <n v="61738"/>
        <n v="59288"/>
        <n v="47971"/>
        <n v="46470"/>
        <n v="40132"/>
        <n v="61260"/>
        <n v="32208"/>
        <n v="71012"/>
        <n v="69004"/>
        <n v="72135"/>
        <n v="47767"/>
        <n v="32423"/>
        <n v="51579"/>
        <n v="50935"/>
        <n v="44397"/>
        <n v="27801"/>
        <n v="30140"/>
        <n v="69078"/>
        <n v="52845"/>
        <n v="48392"/>
        <n v="42824"/>
        <n v="44614"/>
        <n v="38608"/>
        <n v="35782"/>
        <n v="54740"/>
        <n v="78450"/>
        <n v="31170"/>
        <n v="44096"/>
        <n v="49400"/>
        <n v="23464"/>
        <n v="57006"/>
        <n v="39888"/>
        <n v="68813"/>
        <n v="46536"/>
        <n v="61056"/>
        <n v="50449"/>
        <n v="22688"/>
        <n v="23450"/>
        <n v="49930"/>
        <n v="43058"/>
        <n v="30996"/>
        <n v="78922"/>
        <n v="38646"/>
        <n v="48810"/>
        <n v="40869"/>
        <n v="66160"/>
        <n v="58208"/>
        <n v="45408"/>
        <n v="93966"/>
        <n v="60996"/>
        <n v="92370"/>
        <n v="79094"/>
        <n v="63516"/>
        <n v="53086"/>
        <n v="37420"/>
        <n v="54729"/>
        <n v="52392"/>
        <n v="29424"/>
        <n v="51333"/>
        <n v="52015"/>
        <n v="33298"/>
        <n v="36806"/>
        <n v="56700"/>
        <n v="29496"/>
        <n v="81334"/>
        <n v="95683"/>
        <n v="97394"/>
        <n v="54123"/>
        <n v="65138"/>
        <n v="70148"/>
        <n v="49506"/>
        <n v="104108"/>
        <n v="72144"/>
        <n v="39588"/>
        <n v="46364"/>
        <n v="71899"/>
        <n v="64623"/>
        <n v="75048"/>
        <n v="103856"/>
        <n v="42650"/>
        <n v="46799"/>
        <n v="58955"/>
        <n v="60832"/>
        <n v="54192"/>
        <n v="60372"/>
        <n v="112358"/>
        <n v="69214"/>
        <n v="36502"/>
        <n v="57265"/>
        <n v="49050"/>
        <n v="25110"/>
        <n v="35660"/>
        <n v="26286"/>
        <n v="63874"/>
        <n v="52717"/>
        <n v="63836"/>
        <n v="32034"/>
        <n v="64306"/>
        <n v="67406"/>
        <n v="31988"/>
        <n v="92949"/>
        <n v="32602"/>
        <n v="72101"/>
        <n v="55220"/>
        <n v="30266"/>
        <n v="54674"/>
        <n v="85938"/>
        <n v="75136"/>
        <n v="63543"/>
        <n v="110030"/>
        <n v="56582"/>
        <n v="41314"/>
        <n v="22470"/>
        <n v="41568"/>
        <n v="44950"/>
        <n v="64148"/>
        <n v="38128"/>
        <n v="17064"/>
        <n v="61556"/>
        <n v="56292"/>
        <n v="62449"/>
        <n v="50841"/>
        <n v="37755"/>
        <n v="63644"/>
        <n v="41001"/>
        <n v="84018"/>
        <n v="44790"/>
        <n v="42836"/>
        <n v="21826"/>
        <n v="48409"/>
        <n v="32632"/>
        <n v="40244"/>
        <n v="66701"/>
        <n v="33205"/>
        <n v="71346"/>
        <n v="36512"/>
        <n v="67936"/>
        <n v="68303"/>
        <n v="63173"/>
        <n v="56596"/>
        <n v="32102"/>
        <n v="71704"/>
        <n v="52571"/>
        <n v="38544"/>
        <n v="39555"/>
        <n v="48826"/>
        <n v="74674"/>
        <n v="70021"/>
        <n v="34074"/>
        <n v="61999"/>
        <n v="55745"/>
        <n v="56535"/>
        <n v="63474"/>
        <n v="75422"/>
        <n v="42877"/>
        <n v="49347"/>
        <n v="40446"/>
        <n v="60110"/>
        <n v="34678"/>
        <n v="62135"/>
        <n v="89318"/>
        <n v="27751"/>
        <n v="69990"/>
        <n v="55158"/>
        <n v="35574"/>
        <n v="47188"/>
        <n v="62705"/>
        <n v="33235"/>
        <n v="35966"/>
        <n v="98082"/>
        <n v="37468"/>
        <n v="15673"/>
      </sharedItems>
    </cacheField>
    <cacheField name="Profit" numFmtId="0">
      <sharedItems containsSemiMixedTypes="0" containsString="0" containsNumber="1" containsInteger="1" minValue="61797" maxValue="2335767" count="1000">
        <n v="566606"/>
        <n v="270482"/>
        <n v="130710"/>
        <n v="361764"/>
        <n v="539684"/>
        <n v="366595"/>
        <n v="679559"/>
        <n v="792252"/>
        <n v="290032"/>
        <n v="1232873"/>
        <n v="1142531"/>
        <n v="627242"/>
        <n v="501398"/>
        <n v="832843"/>
        <n v="865310"/>
        <n v="645017"/>
        <n v="1121679"/>
        <n v="280600"/>
        <n v="1009020"/>
        <n v="1644608"/>
        <n v="571856"/>
        <n v="432653"/>
        <n v="948083"/>
        <n v="802303"/>
        <n v="250288"/>
        <n v="322142"/>
        <n v="513978"/>
        <n v="174423"/>
        <n v="373594"/>
        <n v="366785"/>
        <n v="250654"/>
        <n v="259241"/>
        <n v="438089"/>
        <n v="767535"/>
        <n v="503254"/>
        <n v="399503"/>
        <n v="486416"/>
        <n v="1041553"/>
        <n v="342483"/>
        <n v="332651"/>
        <n v="455431"/>
        <n v="310155"/>
        <n v="211428"/>
        <n v="861658"/>
        <n v="854715"/>
        <n v="267589"/>
        <n v="540707"/>
        <n v="942058"/>
        <n v="723854"/>
        <n v="435322"/>
        <n v="375602"/>
        <n v="1019954"/>
        <n v="236615"/>
        <n v="332712"/>
        <n v="446561"/>
        <n v="567526"/>
        <n v="1377653"/>
        <n v="970120"/>
        <n v="302659"/>
        <n v="318603"/>
        <n v="1433037"/>
        <n v="1349145"/>
        <n v="563226"/>
        <n v="393768"/>
        <n v="724158"/>
        <n v="718590"/>
        <n v="224399"/>
        <n v="282501"/>
        <n v="204796"/>
        <n v="243978"/>
        <n v="1026820"/>
        <n v="271441"/>
        <n v="432390"/>
        <n v="484156"/>
        <n v="300259"/>
        <n v="478706"/>
        <n v="1100963"/>
        <n v="545388"/>
        <n v="1017794"/>
        <n v="453530"/>
        <n v="1416060"/>
        <n v="173770"/>
        <n v="807738"/>
        <n v="148041"/>
        <n v="626512"/>
        <n v="839914"/>
        <n v="321072"/>
        <n v="307546"/>
        <n v="288166"/>
        <n v="623827"/>
        <n v="140179"/>
        <n v="1128186"/>
        <n v="491930"/>
        <n v="233436"/>
        <n v="518976"/>
        <n v="477708"/>
        <n v="423611"/>
        <n v="646555"/>
        <n v="459065"/>
        <n v="222041"/>
        <n v="489775"/>
        <n v="1602122"/>
        <n v="214712"/>
        <n v="1174596"/>
        <n v="1301548"/>
        <n v="1311888"/>
        <n v="1470503"/>
        <n v="257177"/>
        <n v="993032"/>
        <n v="245283"/>
        <n v="286505"/>
        <n v="1657002"/>
        <n v="437015"/>
        <n v="1241493"/>
        <n v="685580"/>
        <n v="762798"/>
        <n v="809377"/>
        <n v="525344"/>
        <n v="586005"/>
        <n v="1434401"/>
        <n v="225294"/>
        <n v="607720"/>
        <n v="482968"/>
        <n v="734879"/>
        <n v="424762"/>
        <n v="651795"/>
        <n v="331946"/>
        <n v="1649551"/>
        <n v="305866"/>
        <n v="509567"/>
        <n v="493304"/>
        <n v="281832"/>
        <n v="632986"/>
        <n v="482428"/>
        <n v="663471"/>
        <n v="1341343"/>
        <n v="190092"/>
        <n v="1183110"/>
        <n v="739960"/>
        <n v="717363"/>
        <n v="1181838"/>
        <n v="412445"/>
        <n v="558327"/>
        <n v="124662"/>
        <n v="298412"/>
        <n v="1214462"/>
        <n v="186469"/>
        <n v="1353969"/>
        <n v="1244602"/>
        <n v="193942"/>
        <n v="649390"/>
        <n v="1698955"/>
        <n v="1006687"/>
        <n v="542194"/>
        <n v="1519128"/>
        <n v="262656"/>
        <n v="200012"/>
        <n v="1799112"/>
        <n v="507387"/>
        <n v="387083"/>
        <n v="809615"/>
        <n v="780048"/>
        <n v="201480"/>
        <n v="546647"/>
        <n v="176600"/>
        <n v="174614"/>
        <n v="873861"/>
        <n v="293016"/>
        <n v="243990"/>
        <n v="205915"/>
        <n v="239314"/>
        <n v="644061"/>
        <n v="892884"/>
        <n v="404759"/>
        <n v="687360"/>
        <n v="171384"/>
        <n v="291336"/>
        <n v="706209"/>
        <n v="976634"/>
        <n v="508978"/>
        <n v="409075"/>
        <n v="501959"/>
        <n v="611984"/>
        <n v="433051"/>
        <n v="618466"/>
        <n v="318176"/>
        <n v="996741"/>
        <n v="430630"/>
        <n v="1437745"/>
        <n v="842676"/>
        <n v="733347"/>
        <n v="351868"/>
        <n v="117738"/>
        <n v="770082"/>
        <n v="827514"/>
        <n v="400916"/>
        <n v="125750"/>
        <n v="815790"/>
        <n v="195994"/>
        <n v="765312"/>
        <n v="1254292"/>
        <n v="1349423"/>
        <n v="478603"/>
        <n v="703826"/>
        <n v="629036"/>
        <n v="1683636"/>
        <n v="970460"/>
        <n v="576531"/>
        <n v="818181"/>
        <n v="1049969"/>
        <n v="407112"/>
        <n v="928845"/>
        <n v="1644902"/>
        <n v="537629"/>
        <n v="1234917"/>
        <n v="363682"/>
        <n v="370623"/>
        <n v="130352"/>
        <n v="1190601"/>
        <n v="1660239"/>
        <n v="593283"/>
        <n v="216876"/>
        <n v="1222340"/>
        <n v="437382"/>
        <n v="652834"/>
        <n v="711834"/>
        <n v="1362843"/>
        <n v="663740"/>
        <n v="720295"/>
        <n v="281728"/>
        <n v="1215827"/>
        <n v="140242"/>
        <n v="1313449"/>
        <n v="596272"/>
        <n v="194116"/>
        <n v="252654"/>
        <n v="699183"/>
        <n v="535841"/>
        <n v="1284992"/>
        <n v="215854"/>
        <n v="212804"/>
        <n v="495611"/>
        <n v="274750"/>
        <n v="990734"/>
        <n v="285808"/>
        <n v="838411"/>
        <n v="262060"/>
        <n v="403800"/>
        <n v="219877"/>
        <n v="1130964"/>
        <n v="315334"/>
        <n v="124672"/>
        <n v="758230"/>
        <n v="286092"/>
        <n v="344766"/>
        <n v="774954"/>
        <n v="836038"/>
        <n v="450348"/>
        <n v="507948"/>
        <n v="294520"/>
        <n v="371376"/>
        <n v="275008"/>
        <n v="932396"/>
        <n v="549075"/>
        <n v="1669324"/>
        <n v="639692"/>
        <n v="603599"/>
        <n v="997694"/>
        <n v="750807"/>
        <n v="202334"/>
        <n v="385913"/>
        <n v="403200"/>
        <n v="742080"/>
        <n v="352786"/>
        <n v="1411062"/>
        <n v="349832"/>
        <n v="458717"/>
        <n v="1130801"/>
        <n v="161333"/>
        <n v="1117033"/>
        <n v="362649"/>
        <n v="285558"/>
        <n v="448587"/>
        <n v="275394"/>
        <n v="254083"/>
        <n v="1734716"/>
        <n v="460226"/>
        <n v="1213059"/>
        <n v="215072"/>
        <n v="390468"/>
        <n v="309574"/>
        <n v="555490"/>
        <n v="1353466"/>
        <n v="1114398"/>
        <n v="846393"/>
        <n v="291548"/>
        <n v="1522096"/>
        <n v="500309"/>
        <n v="1772971"/>
        <n v="1927276"/>
        <n v="2251114"/>
        <n v="187038"/>
        <n v="337599"/>
        <n v="236193"/>
        <n v="987161"/>
        <n v="181023"/>
        <n v="191368"/>
        <n v="393479"/>
        <n v="502070"/>
        <n v="334592"/>
        <n v="885471"/>
        <n v="1044932"/>
        <n v="395282"/>
        <n v="1439748"/>
        <n v="180523"/>
        <n v="1888148"/>
        <n v="739478"/>
        <n v="302334"/>
        <n v="330402"/>
        <n v="580888"/>
        <n v="252224"/>
        <n v="1090166"/>
        <n v="164767"/>
        <n v="68231"/>
        <n v="940424"/>
        <n v="1257348"/>
        <n v="446332"/>
        <n v="351428"/>
        <n v="434428"/>
        <n v="342175"/>
        <n v="228815"/>
        <n v="305540"/>
        <n v="810114"/>
        <n v="845725"/>
        <n v="666326"/>
        <n v="332659"/>
        <n v="323615"/>
        <n v="146249"/>
        <n v="819696"/>
        <n v="347732"/>
        <n v="824145"/>
        <n v="399672"/>
        <n v="249048"/>
        <n v="629758"/>
        <n v="1097095"/>
        <n v="1174553"/>
        <n v="439766"/>
        <n v="567615"/>
        <n v="365283"/>
        <n v="224271"/>
        <n v="319517"/>
        <n v="355247"/>
        <n v="1162939"/>
        <n v="838479"/>
        <n v="549208"/>
        <n v="189628"/>
        <n v="590318"/>
        <n v="455552"/>
        <n v="205771"/>
        <n v="345206"/>
        <n v="164905"/>
        <n v="514269"/>
        <n v="338632"/>
        <n v="111940"/>
        <n v="1242525"/>
        <n v="705448"/>
        <n v="424395"/>
        <n v="433502"/>
        <n v="523373"/>
        <n v="1333395"/>
        <n v="1236295"/>
        <n v="133328"/>
        <n v="804786"/>
        <n v="837898"/>
        <n v="801696"/>
        <n v="119483"/>
        <n v="633131"/>
        <n v="1005920"/>
        <n v="440945"/>
        <n v="628271"/>
        <n v="528285"/>
        <n v="826194"/>
        <n v="597298"/>
        <n v="228652"/>
        <n v="694876"/>
        <n v="1222585"/>
        <n v="169817"/>
        <n v="1138372"/>
        <n v="327048"/>
        <n v="243906"/>
        <n v="343162"/>
        <n v="409959"/>
        <n v="528580"/>
        <n v="509529"/>
        <n v="333070"/>
        <n v="1598628"/>
        <n v="446410"/>
        <n v="311241"/>
        <n v="513406"/>
        <n v="793956"/>
        <n v="638972"/>
        <n v="1131760"/>
        <n v="647362"/>
        <n v="176221"/>
        <n v="350416"/>
        <n v="501336"/>
        <n v="588325"/>
        <n v="137343"/>
        <n v="580410"/>
        <n v="1092807"/>
        <n v="183682"/>
        <n v="1095375"/>
        <n v="289164"/>
        <n v="624842"/>
        <n v="1512595"/>
        <n v="359805"/>
        <n v="598061"/>
        <n v="483705"/>
        <n v="427151"/>
        <n v="569094"/>
        <n v="418859"/>
        <n v="788476"/>
        <n v="340298"/>
        <n v="278595"/>
        <n v="518004"/>
        <n v="677586"/>
        <n v="1489808"/>
        <n v="626892"/>
        <n v="154804"/>
        <n v="718308"/>
        <n v="1565789"/>
        <n v="142216"/>
        <n v="919094"/>
        <n v="407126"/>
        <n v="262724"/>
        <n v="316284"/>
        <n v="636300"/>
        <n v="465034"/>
        <n v="527535"/>
        <n v="730985"/>
        <n v="453948"/>
        <n v="192996"/>
        <n v="435748"/>
        <n v="191828"/>
        <n v="1978138"/>
        <n v="664644"/>
        <n v="806162"/>
        <n v="370829"/>
        <n v="476078"/>
        <n v="196579"/>
        <n v="1775220"/>
        <n v="395553"/>
        <n v="1181860"/>
        <n v="1388486"/>
        <n v="277648"/>
        <n v="491746"/>
        <n v="848438"/>
        <n v="289553"/>
        <n v="514823"/>
        <n v="158086"/>
        <n v="626134"/>
        <n v="1256679"/>
        <n v="655567"/>
        <n v="653146"/>
        <n v="179637"/>
        <n v="351446"/>
        <n v="351800"/>
        <n v="991113"/>
        <n v="88311"/>
        <n v="954439"/>
        <n v="443691"/>
        <n v="141687"/>
        <n v="544847"/>
        <n v="452186"/>
        <n v="462546"/>
        <n v="1831926"/>
        <n v="311720"/>
        <n v="557249"/>
        <n v="368321"/>
        <n v="635441"/>
        <n v="391093"/>
        <n v="803497"/>
        <n v="1103627"/>
        <n v="178946"/>
        <n v="518385"/>
        <n v="969227"/>
        <n v="185569"/>
        <n v="477208"/>
        <n v="234706"/>
        <n v="161094"/>
        <n v="322474"/>
        <n v="563948"/>
        <n v="381517"/>
        <n v="1471434"/>
        <n v="238628"/>
        <n v="894054"/>
        <n v="728517"/>
        <n v="490681"/>
        <n v="675425"/>
        <n v="605174"/>
        <n v="1077824"/>
        <n v="1339927"/>
        <n v="357229"/>
        <n v="1007246"/>
        <n v="485560"/>
        <n v="679995"/>
        <n v="246864"/>
        <n v="335492"/>
        <n v="494115"/>
        <n v="415833"/>
        <n v="412902"/>
        <n v="100813"/>
        <n v="238780"/>
        <n v="289975"/>
        <n v="816286"/>
        <n v="323523"/>
        <n v="493956"/>
        <n v="576435"/>
        <n v="1007244"/>
        <n v="882006"/>
        <n v="522816"/>
        <n v="392823"/>
        <n v="101636"/>
        <n v="480997"/>
        <n v="1032102"/>
        <n v="292256"/>
        <n v="138932"/>
        <n v="853220"/>
        <n v="553593"/>
        <n v="1179184"/>
        <n v="432354"/>
        <n v="704218"/>
        <n v="423317"/>
        <n v="310967"/>
        <n v="563273"/>
        <n v="373934"/>
        <n v="703364"/>
        <n v="463226"/>
        <n v="282344"/>
        <n v="679022"/>
        <n v="928120"/>
        <n v="478244"/>
        <n v="376897"/>
        <n v="1276792"/>
        <n v="414264"/>
        <n v="565029"/>
        <n v="320781"/>
        <n v="1556508"/>
        <n v="696795"/>
        <n v="475040"/>
        <n v="724893"/>
        <n v="504308"/>
        <n v="404386"/>
        <n v="224912"/>
        <n v="284859"/>
        <n v="1737880"/>
        <n v="1679504"/>
        <n v="441281"/>
        <n v="228962"/>
        <n v="226886"/>
        <n v="1010835"/>
        <n v="214109"/>
        <n v="1311439"/>
        <n v="755728"/>
        <n v="488553"/>
        <n v="196616"/>
        <n v="1300463"/>
        <n v="625562"/>
        <n v="847885"/>
        <n v="999331"/>
        <n v="633519"/>
        <n v="140555"/>
        <n v="2157288"/>
        <n v="457817"/>
        <n v="472963"/>
        <n v="489024"/>
        <n v="1088660"/>
        <n v="1309833"/>
        <n v="1256943"/>
        <n v="865722"/>
        <n v="488920"/>
        <n v="227053"/>
        <n v="1744224"/>
        <n v="179114"/>
        <n v="1189432"/>
        <n v="222061"/>
        <n v="637070"/>
        <n v="1212566"/>
        <n v="1310053"/>
        <n v="1206169"/>
        <n v="754765"/>
        <n v="114802"/>
        <n v="237021"/>
        <n v="243302"/>
        <n v="646095"/>
        <n v="414204"/>
        <n v="585357"/>
        <n v="614226"/>
        <n v="345286"/>
        <n v="1222271"/>
        <n v="900591"/>
        <n v="997370"/>
        <n v="197537"/>
        <n v="1026274"/>
        <n v="711167"/>
        <n v="228551"/>
        <n v="950471"/>
        <n v="1145958"/>
        <n v="257738"/>
        <n v="375508"/>
        <n v="915233"/>
        <n v="1805382"/>
        <n v="168140"/>
        <n v="492398"/>
        <n v="241129"/>
        <n v="669172"/>
        <n v="985195"/>
        <n v="243636"/>
        <n v="804507"/>
        <n v="249371"/>
        <n v="189588"/>
        <n v="885819"/>
        <n v="509328"/>
        <n v="1163922"/>
        <n v="972374"/>
        <n v="267744"/>
        <n v="329790"/>
        <n v="343882"/>
        <n v="283858"/>
        <n v="462210"/>
        <n v="138855"/>
        <n v="910508"/>
        <n v="260646"/>
        <n v="604391"/>
        <n v="659790"/>
        <n v="1395764"/>
        <n v="251294"/>
        <n v="1394604"/>
        <n v="1359948"/>
        <n v="719552"/>
        <n v="532390"/>
        <n v="464883"/>
        <n v="726055"/>
        <n v="1768628"/>
        <n v="79115"/>
        <n v="442512"/>
        <n v="314985"/>
        <n v="1029733"/>
        <n v="176914"/>
        <n v="484020"/>
        <n v="1146106"/>
        <n v="445170"/>
        <n v="619701"/>
        <n v="428049"/>
        <n v="392913"/>
        <n v="377610"/>
        <n v="280679"/>
        <n v="297491"/>
        <n v="437252"/>
        <n v="301743"/>
        <n v="495690"/>
        <n v="383504"/>
        <n v="785711"/>
        <n v="821027"/>
        <n v="956939"/>
        <n v="1029164"/>
        <n v="790620"/>
        <n v="666848"/>
        <n v="596472"/>
        <n v="1713999"/>
        <n v="608524"/>
        <n v="686444"/>
        <n v="184794"/>
        <n v="943593"/>
        <n v="763651"/>
        <n v="646613"/>
        <n v="333527"/>
        <n v="1263494"/>
        <n v="1191729"/>
        <n v="964402"/>
        <n v="765970"/>
        <n v="186110"/>
        <n v="337209"/>
        <n v="490303"/>
        <n v="286661"/>
        <n v="370448"/>
        <n v="114255"/>
        <n v="904993"/>
        <n v="223681"/>
        <n v="376706"/>
        <n v="911434"/>
        <n v="825048"/>
        <n v="511024"/>
        <n v="1043517"/>
        <n v="520734"/>
        <n v="809843"/>
        <n v="494703"/>
        <n v="344047"/>
        <n v="151030"/>
        <n v="325645"/>
        <n v="235677"/>
        <n v="775889"/>
        <n v="342736"/>
        <n v="379726"/>
        <n v="399666"/>
        <n v="91218"/>
        <n v="362321"/>
        <n v="497313"/>
        <n v="131391"/>
        <n v="665600"/>
        <n v="325404"/>
        <n v="863296"/>
        <n v="168428"/>
        <n v="791571"/>
        <n v="232706"/>
        <n v="510086"/>
        <n v="241498"/>
        <n v="525301"/>
        <n v="505155"/>
        <n v="149629"/>
        <n v="176096"/>
        <n v="178708"/>
        <n v="380196"/>
        <n v="496020"/>
        <n v="606210"/>
        <n v="142107"/>
        <n v="1134166"/>
        <n v="713681"/>
        <n v="393172"/>
        <n v="694959"/>
        <n v="579132"/>
        <n v="230530"/>
        <n v="438292"/>
        <n v="671178"/>
        <n v="617943"/>
        <n v="187794"/>
        <n v="572928"/>
        <n v="407917"/>
        <n v="1093160"/>
        <n v="783495"/>
        <n v="272078"/>
        <n v="403919"/>
        <n v="493457"/>
        <n v="455785"/>
        <n v="943652"/>
        <n v="703572"/>
        <n v="482626"/>
        <n v="292949"/>
        <n v="1001031"/>
        <n v="176843"/>
        <n v="1061263"/>
        <n v="414966"/>
        <n v="357835"/>
        <n v="262319"/>
        <n v="729732"/>
        <n v="860015"/>
        <n v="98833"/>
        <n v="725924"/>
        <n v="99496"/>
        <n v="408098"/>
        <n v="555564"/>
        <n v="387031"/>
        <n v="638236"/>
        <n v="1035605"/>
        <n v="422486"/>
        <n v="287258"/>
        <n v="309014"/>
        <n v="1152114"/>
        <n v="463061"/>
        <n v="420451"/>
        <n v="623376"/>
        <n v="436461"/>
        <n v="363438"/>
        <n v="340241"/>
        <n v="569192"/>
        <n v="612652"/>
        <n v="1979061"/>
        <n v="546896"/>
        <n v="189534"/>
        <n v="211953"/>
        <n v="180488"/>
        <n v="299056"/>
        <n v="495535"/>
        <n v="613707"/>
        <n v="464315"/>
        <n v="692484"/>
        <n v="844542"/>
        <n v="889160"/>
        <n v="696642"/>
        <n v="438665"/>
        <n v="1615345"/>
        <n v="421368"/>
        <n v="446822"/>
        <n v="1427043"/>
        <n v="1005417"/>
        <n v="417843"/>
        <n v="835581"/>
        <n v="1128036"/>
        <n v="1120311"/>
        <n v="624590"/>
        <n v="2137657"/>
        <n v="405098"/>
        <n v="223498"/>
        <n v="499175"/>
        <n v="391246"/>
        <n v="293033"/>
        <n v="1549081"/>
        <n v="1394270"/>
        <n v="385395"/>
        <n v="492352"/>
        <n v="453450"/>
        <n v="460746"/>
        <n v="534612"/>
        <n v="397790"/>
        <n v="1267135"/>
        <n v="451230"/>
        <n v="739256"/>
        <n v="152528"/>
        <n v="227230"/>
        <n v="433265"/>
        <n v="482456"/>
        <n v="747093"/>
        <n v="1255016"/>
        <n v="833575"/>
        <n v="973954"/>
        <n v="67202"/>
        <n v="638057"/>
        <n v="276236"/>
        <n v="170814"/>
        <n v="332916"/>
        <n v="385050"/>
        <n v="402503"/>
        <n v="1126525"/>
        <n v="183326"/>
        <n v="405515"/>
        <n v="369453"/>
        <n v="462841"/>
        <n v="319407"/>
        <n v="374817"/>
        <n v="1132275"/>
        <n v="702252"/>
        <n v="229510"/>
        <n v="197122"/>
        <n v="191865"/>
        <n v="623008"/>
        <n v="890353"/>
        <n v="799306"/>
        <n v="155873"/>
        <n v="531406"/>
        <n v="195306"/>
        <n v="162848"/>
        <n v="147255"/>
        <n v="120508"/>
        <n v="146898"/>
        <n v="554471"/>
        <n v="511674"/>
        <n v="522912"/>
        <n v="277477"/>
        <n v="1009736"/>
        <n v="397164"/>
        <n v="539469"/>
        <n v="962802"/>
        <n v="658504"/>
        <n v="933122"/>
        <n v="436886"/>
        <n v="327586"/>
        <n v="255719"/>
        <n v="905048"/>
        <n v="110394"/>
        <n v="1026970"/>
        <n v="204518"/>
        <n v="410290"/>
        <n v="1930472"/>
        <n v="1958755"/>
        <n v="291762"/>
        <n v="367844"/>
        <n v="681006"/>
        <n v="1272322"/>
        <n v="326231"/>
        <n v="362084"/>
        <n v="276972"/>
        <n v="960667"/>
        <n v="763572"/>
        <n v="1048356"/>
        <n v="385827"/>
        <n v="632993"/>
        <n v="785526"/>
        <n v="969957"/>
        <n v="421220"/>
        <n v="442976"/>
        <n v="513530"/>
        <n v="194720"/>
        <n v="1841662"/>
        <n v="1057002"/>
        <n v="1248741"/>
        <n v="453382"/>
        <n v="131004"/>
        <n v="698260"/>
        <n v="943972"/>
        <n v="815510"/>
        <n v="705682"/>
        <n v="1941467"/>
        <n v="689905"/>
        <n v="700902"/>
        <n v="491774"/>
        <n v="323153"/>
        <n v="189773"/>
        <n v="121205"/>
        <n v="1049200"/>
        <n v="706568"/>
        <n v="293878"/>
        <n v="1407202"/>
        <n v="560228"/>
        <n v="205158"/>
        <n v="237302"/>
        <n v="1010668"/>
        <n v="396171"/>
        <n v="149875"/>
        <n v="605310"/>
        <n v="1766006"/>
        <n v="531475"/>
        <n v="573504"/>
        <n v="467694"/>
        <n v="340174"/>
        <n v="1041050"/>
        <n v="638692"/>
        <n v="472681"/>
        <n v="510135"/>
        <n v="575511"/>
        <n v="154099"/>
        <n v="425647"/>
        <n v="122230"/>
        <n v="676036"/>
        <n v="142542"/>
        <n v="549004"/>
        <n v="260601"/>
        <n v="1198641"/>
        <n v="814188"/>
        <n v="135212"/>
        <n v="292410"/>
        <n v="580976"/>
        <n v="925544"/>
        <n v="305252"/>
        <n v="119102"/>
        <n v="547861"/>
        <n v="529484"/>
        <n v="467868"/>
        <n v="61797"/>
        <n v="747904"/>
        <n v="327333"/>
        <n v="527492"/>
        <n v="975654"/>
        <n v="335804"/>
        <n v="1700406"/>
        <n v="175389"/>
        <n v="683484"/>
        <n v="346146"/>
        <n v="376499"/>
        <n v="928923"/>
        <n v="377740"/>
        <n v="1163099"/>
        <n v="280787"/>
        <n v="180564"/>
        <n v="981226"/>
        <n v="473714"/>
        <n v="630322"/>
        <n v="575221"/>
        <n v="759136"/>
        <n v="535254"/>
        <n v="858050"/>
        <n v="197761"/>
        <n v="1920432"/>
        <n v="464069"/>
        <n v="507860"/>
        <n v="365345"/>
        <n v="1014128"/>
        <n v="844168"/>
        <n v="478433"/>
        <n v="853927"/>
        <n v="2335767"/>
        <n v="364426"/>
        <n v="181703"/>
        <n v="614899"/>
        <n v="173883"/>
        <n v="546966"/>
        <n v="400065"/>
        <n v="390682"/>
        <n v="262630"/>
        <n v="471208"/>
        <n v="181224"/>
        <n v="881524"/>
        <n v="750842"/>
        <n v="1078236"/>
        <n v="771398"/>
        <n v="703270"/>
        <n v="586010"/>
        <n v="673399"/>
        <n v="489252"/>
        <n v="763622"/>
        <n v="305247"/>
      </sharedItems>
    </cacheField>
    <cacheField name="Month" numFmtId="0">
      <sharedItems count="12">
        <s v="Oct"/>
        <s v="Jan"/>
        <s v="Aug"/>
        <s v="Jun"/>
        <s v="Feb"/>
        <s v="Jul"/>
        <s v="Dec"/>
        <s v="Sep"/>
        <s v="Nov"/>
        <s v="Apr"/>
        <s v="May"/>
        <s v="Mar"/>
      </sharedItems>
    </cacheField>
    <cacheField name="Months (FlightDate)" numFmtId="0" databaseField="0">
      <fieldGroup base="4">
        <rangePr groupBy="months" startDate="2025-01-01T00:00:00" endDate="2027-01-02T00:00:00"/>
        <groupItems count="14">
          <s v="&lt;01-01-2025"/>
          <s v="Jan"/>
          <s v="Feb"/>
          <s v="Mar"/>
          <s v="Apr"/>
          <s v="May"/>
          <s v="Jun"/>
          <s v="Jul"/>
          <s v="Aug"/>
          <s v="Sep"/>
          <s v="Oct"/>
          <s v="Nov"/>
          <s v="Dec"/>
          <s v="&gt;02-01-2027"/>
        </groupItems>
      </fieldGroup>
    </cacheField>
    <cacheField name="Quarters (FlightDate)" numFmtId="0" databaseField="0">
      <fieldGroup base="4">
        <rangePr groupBy="quarters" startDate="2025-01-01T00:00:00" endDate="2027-01-02T00:00:00"/>
        <groupItems count="6">
          <s v="&lt;01-01-2025"/>
          <s v="Qtr1"/>
          <s v="Qtr2"/>
          <s v="Qtr3"/>
          <s v="Qtr4"/>
          <s v="&gt;02-01-2027"/>
        </groupItems>
      </fieldGroup>
    </cacheField>
    <cacheField name="Years (FlightDate)" numFmtId="0" databaseField="0">
      <fieldGroup base="4">
        <rangePr groupBy="years" startDate="2025-01-01T00:00:00" endDate="2027-01-02T00:00:00"/>
        <groupItems count="5">
          <s v="&lt;01-01-2025"/>
          <s v="2025"/>
          <s v="2026"/>
          <s v="2027"/>
          <s v="&gt;02-01-2027"/>
        </groupItems>
      </fieldGroup>
    </cacheField>
  </cacheFields>
  <extLst>
    <ext xmlns:x14="http://schemas.microsoft.com/office/spreadsheetml/2009/9/main" uri="{725AE2AE-9491-48be-B2B4-4EB974FC3084}">
      <x14:pivotCacheDefinition pivotCacheId="20828341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Vahh" refreshedDate="46186.455981828702" createdVersion="8" refreshedVersion="8" minRefreshableVersion="3" recordCount="1000" xr:uid="{75A40862-4B8C-440A-BA32-B2DA341049E9}">
  <cacheSource type="worksheet">
    <worksheetSource name="Table11"/>
  </cacheSource>
  <cacheFields count="14">
    <cacheField name="FlightID" numFmtId="0">
      <sharedItems containsBlank="1" count="1000">
        <s v="FL00002"/>
        <s v="FL00003"/>
        <s v="FL00004"/>
        <s v="FL00005"/>
        <s v="FL00006"/>
        <s v="FL00007"/>
        <s v="FL00008"/>
        <s v="FL00009"/>
        <s v="FL00010"/>
        <s v="FL00011"/>
        <s v="FL00012"/>
        <s v="FL00013"/>
        <s v="FL00014"/>
        <s v="FL00015"/>
        <s v="FL00016"/>
        <s v="FL00017"/>
        <s v="FL00018"/>
        <s v="FL00019"/>
        <s v="FL00020"/>
        <s v="FL00021"/>
        <s v="FL00022"/>
        <s v="FL00023"/>
        <s v="FL00024"/>
        <s v="FL00025"/>
        <s v="FL00026"/>
        <s v="FL00027"/>
        <s v="FL00028"/>
        <s v="FL00029"/>
        <s v="FL00030"/>
        <s v="FL00031"/>
        <s v="FL00032"/>
        <s v="FL00033"/>
        <s v="FL00034"/>
        <s v="FL00035"/>
        <s v="FL00036"/>
        <s v="FL00037"/>
        <s v="FL00038"/>
        <s v="FL00039"/>
        <s v="FL00040"/>
        <s v="FL00041"/>
        <s v="FL00042"/>
        <s v="FL00043"/>
        <s v="FL00044"/>
        <s v="FL00045"/>
        <s v="FL00046"/>
        <s v="FL00047"/>
        <s v="FL00048"/>
        <s v="FL00049"/>
        <s v="FL00050"/>
        <s v="FL00051"/>
        <s v="FL00052"/>
        <s v="FL00053"/>
        <s v="FL00054"/>
        <s v="FL00055"/>
        <s v="FL00056"/>
        <s v="FL00057"/>
        <s v="FL00058"/>
        <s v="FL00059"/>
        <s v="FL00060"/>
        <s v="FL00061"/>
        <s v="FL00062"/>
        <s v="FL00063"/>
        <s v="FL00064"/>
        <s v="FL00065"/>
        <s v="FL00066"/>
        <s v="FL00067"/>
        <s v="FL00068"/>
        <s v="FL00069"/>
        <s v="FL00070"/>
        <s v="FL00071"/>
        <s v="FL00072"/>
        <s v="FL00073"/>
        <s v="FL00074"/>
        <s v="FL00075"/>
        <s v="FL00076"/>
        <s v="FL00077"/>
        <s v="FL00078"/>
        <s v="FL00079"/>
        <s v="FL00080"/>
        <s v="FL00081"/>
        <s v="FL00082"/>
        <s v="FL00083"/>
        <s v="FL00084"/>
        <s v="FL00085"/>
        <s v="FL00086"/>
        <s v="FL00087"/>
        <s v="FL00088"/>
        <s v="FL00089"/>
        <s v="FL00090"/>
        <s v="FL00091"/>
        <s v="FL00092"/>
        <s v="FL00093"/>
        <s v="FL00094"/>
        <s v="FL00095"/>
        <s v="FL00096"/>
        <s v="FL00097"/>
        <s v="FL00098"/>
        <s v="FL00099"/>
        <s v="FL00100"/>
        <s v="FL00101"/>
        <s v="FL00102"/>
        <s v="FL00103"/>
        <s v="FL00104"/>
        <s v="FL00105"/>
        <s v="FL00106"/>
        <s v="FL00107"/>
        <s v="FL00108"/>
        <s v="FL00109"/>
        <s v="FL00110"/>
        <s v="FL00111"/>
        <s v="FL00112"/>
        <s v="FL00113"/>
        <s v="FL00114"/>
        <s v="FL00115"/>
        <s v="FL00116"/>
        <s v="FL00117"/>
        <s v="FL00118"/>
        <s v="FL00119"/>
        <s v="FL00120"/>
        <s v="FL00121"/>
        <s v="FL00122"/>
        <s v="FL00123"/>
        <s v="FL00124"/>
        <s v="FL00125"/>
        <s v="FL00126"/>
        <s v="FL00127"/>
        <s v="FL00128"/>
        <s v="FL00129"/>
        <s v="FL00130"/>
        <s v="FL00131"/>
        <s v="FL00132"/>
        <s v="FL00133"/>
        <s v="FL00134"/>
        <s v="FL00135"/>
        <s v="FL00136"/>
        <s v="FL00137"/>
        <s v="FL00138"/>
        <s v="FL00139"/>
        <s v="FL00140"/>
        <s v="FL00141"/>
        <s v="FL00142"/>
        <s v="FL00143"/>
        <s v="FL00144"/>
        <s v="FL00145"/>
        <s v="FL00146"/>
        <s v="FL00147"/>
        <s v="FL00148"/>
        <s v="FL00149"/>
        <s v="FL00150"/>
        <s v="FL00151"/>
        <s v="FL00152"/>
        <s v="FL00153"/>
        <s v="FL00154"/>
        <s v="FL00155"/>
        <s v="FL00156"/>
        <s v="FL00157"/>
        <s v="FL00158"/>
        <s v="FL00159"/>
        <s v="FL00160"/>
        <s v="FL00161"/>
        <s v="FL00162"/>
        <s v="FL00163"/>
        <s v="FL00164"/>
        <s v="FL00165"/>
        <s v="FL00166"/>
        <s v="FL00167"/>
        <s v="FL00168"/>
        <s v="FL00169"/>
        <s v="FL00170"/>
        <s v="FL00171"/>
        <s v="FL00172"/>
        <s v="FL00173"/>
        <s v="FL00174"/>
        <s v="FL00175"/>
        <s v="FL00176"/>
        <s v="FL00177"/>
        <s v="FL00178"/>
        <s v="FL00179"/>
        <s v="FL00180"/>
        <s v="FL00181"/>
        <s v="FL00182"/>
        <s v="FL00183"/>
        <s v="FL00184"/>
        <s v="FL00185"/>
        <s v="FL00186"/>
        <s v="FL00187"/>
        <s v="FL00188"/>
        <s v="FL00189"/>
        <s v="FL00190"/>
        <s v="FL00191"/>
        <s v="FL00192"/>
        <s v="FL00193"/>
        <s v="FL00194"/>
        <s v="FL00195"/>
        <s v="FL00196"/>
        <s v="FL00197"/>
        <s v="FL00198"/>
        <s v="FL00199"/>
        <s v="FL00200"/>
        <s v="FL00201"/>
        <s v="FL00202"/>
        <s v="FL00203"/>
        <s v="FL00204"/>
        <s v="FL00205"/>
        <s v="FL00206"/>
        <s v="FL00207"/>
        <s v="FL00208"/>
        <s v="FL00209"/>
        <s v="FL00210"/>
        <s v="FL00211"/>
        <s v="FL00212"/>
        <s v="FL00213"/>
        <s v="FL00214"/>
        <s v="FL00215"/>
        <s v="FL00216"/>
        <s v="FL00217"/>
        <s v="FL00218"/>
        <s v="FL00219"/>
        <s v="FL00220"/>
        <s v="FL00221"/>
        <s v="FL00222"/>
        <s v="FL00223"/>
        <s v="FL00224"/>
        <s v="FL00225"/>
        <s v="FL00226"/>
        <s v="FL00227"/>
        <s v="FL00228"/>
        <s v="FL00229"/>
        <s v="FL00230"/>
        <s v="FL00231"/>
        <s v="FL00232"/>
        <s v="FL00233"/>
        <s v="FL00234"/>
        <s v="FL00235"/>
        <s v="FL00236"/>
        <s v="FL00237"/>
        <s v="FL00238"/>
        <s v="FL00239"/>
        <s v="FL00240"/>
        <s v="FL00241"/>
        <s v="FL00242"/>
        <s v="FL00243"/>
        <s v="FL00244"/>
        <s v="FL00245"/>
        <s v="FL00246"/>
        <s v="FL00247"/>
        <s v="FL00248"/>
        <s v="FL00249"/>
        <s v="FL00250"/>
        <s v="FL00251"/>
        <s v="FL00252"/>
        <s v="FL00253"/>
        <s v="FL00254"/>
        <s v="FL00255"/>
        <s v="FL00256"/>
        <s v="FL00257"/>
        <s v="FL00258"/>
        <s v="FL00259"/>
        <s v="FL00260"/>
        <s v="FL00261"/>
        <s v="FL00262"/>
        <s v="FL00263"/>
        <s v="FL00264"/>
        <s v="FL00265"/>
        <s v="FL00266"/>
        <s v="FL00267"/>
        <s v="FL00268"/>
        <s v="FL00269"/>
        <s v="FL00270"/>
        <s v="FL00271"/>
        <s v="FL00272"/>
        <s v="FL00273"/>
        <s v="FL00274"/>
        <s v="FL00275"/>
        <s v="FL00276"/>
        <s v="FL00277"/>
        <s v="FL00278"/>
        <s v="FL00279"/>
        <s v="FL00280"/>
        <s v="FL00281"/>
        <s v="FL00282"/>
        <s v="FL00283"/>
        <s v="FL00284"/>
        <s v="FL00285"/>
        <s v="FL00286"/>
        <s v="FL00287"/>
        <s v="FL00288"/>
        <s v="FL00289"/>
        <s v="FL00290"/>
        <s v="FL00291"/>
        <s v="FL00292"/>
        <s v="FL00293"/>
        <s v="FL00294"/>
        <s v="FL00295"/>
        <s v="FL00296"/>
        <s v="FL00297"/>
        <s v="FL00298"/>
        <s v="FL00299"/>
        <s v="FL00300"/>
        <s v="FL00301"/>
        <s v="FL00302"/>
        <s v="FL00303"/>
        <s v="FL00304"/>
        <s v="FL00305"/>
        <s v="FL00306"/>
        <s v="FL00307"/>
        <s v="FL00308"/>
        <s v="FL00309"/>
        <s v="FL00310"/>
        <s v="FL00311"/>
        <s v="FL00312"/>
        <s v="FL00313"/>
        <s v="FL00314"/>
        <s v="FL00315"/>
        <s v="FL00316"/>
        <s v="FL00317"/>
        <s v="FL00318"/>
        <s v="FL00319"/>
        <s v="FL00320"/>
        <s v="FL00321"/>
        <s v="FL00322"/>
        <s v="FL00323"/>
        <s v="FL00324"/>
        <s v="FL00325"/>
        <s v="FL00326"/>
        <s v="FL00327"/>
        <s v="FL00328"/>
        <s v="FL00329"/>
        <s v="FL00330"/>
        <s v="FL00331"/>
        <s v="FL00332"/>
        <s v="FL00333"/>
        <s v="FL00334"/>
        <s v="FL00335"/>
        <s v="FL00336"/>
        <s v="FL00337"/>
        <s v="FL00338"/>
        <s v="FL00339"/>
        <s v="FL00340"/>
        <s v="FL00341"/>
        <s v="FL00342"/>
        <s v="FL00343"/>
        <s v="FL00344"/>
        <s v="FL00345"/>
        <s v="FL00346"/>
        <s v="FL00347"/>
        <s v="FL00348"/>
        <s v="FL00349"/>
        <s v="FL00350"/>
        <s v="FL00351"/>
        <s v="FL00352"/>
        <s v="FL00353"/>
        <s v="FL00354"/>
        <s v="FL00355"/>
        <s v="FL00356"/>
        <s v="FL00357"/>
        <s v="FL00358"/>
        <s v="FL00359"/>
        <s v="FL00360"/>
        <s v="FL00361"/>
        <s v="FL00362"/>
        <s v="FL00363"/>
        <s v="FL00364"/>
        <s v="FL00365"/>
        <s v="FL00366"/>
        <s v="FL00367"/>
        <s v="FL00368"/>
        <s v="FL00369"/>
        <s v="FL00370"/>
        <s v="FL00371"/>
        <s v="FL00372"/>
        <s v="FL00373"/>
        <s v="FL00374"/>
        <s v="FL00375"/>
        <s v="FL00376"/>
        <s v="FL00377"/>
        <s v="FL00378"/>
        <s v="FL00379"/>
        <s v="FL00380"/>
        <s v="FL00381"/>
        <s v="FL00382"/>
        <s v="FL00383"/>
        <s v="FL00384"/>
        <s v="FL00385"/>
        <s v="FL00386"/>
        <s v="FL00387"/>
        <s v="FL00388"/>
        <s v="FL00389"/>
        <s v="FL00390"/>
        <s v="FL00391"/>
        <s v="FL00392"/>
        <s v="FL00393"/>
        <s v="FL00394"/>
        <s v="FL00395"/>
        <s v="FL00396"/>
        <s v="FL00397"/>
        <s v="FL00398"/>
        <s v="FL00399"/>
        <s v="FL00400"/>
        <s v="FL00401"/>
        <s v="FL00402"/>
        <s v="FL00403"/>
        <s v="FL00404"/>
        <s v="FL00405"/>
        <s v="FL00406"/>
        <s v="FL00407"/>
        <s v="FL00408"/>
        <s v="FL00409"/>
        <s v="FL00410"/>
        <s v="FL00411"/>
        <s v="FL00412"/>
        <s v="FL00413"/>
        <s v="FL00414"/>
        <s v="FL00415"/>
        <s v="FL00416"/>
        <s v="FL00417"/>
        <s v="FL00418"/>
        <s v="FL00419"/>
        <s v="FL00420"/>
        <s v="FL00421"/>
        <s v="FL00422"/>
        <s v="FL00423"/>
        <s v="FL00424"/>
        <s v="FL00425"/>
        <s v="FL00426"/>
        <s v="FL00427"/>
        <s v="FL00428"/>
        <s v="FL00429"/>
        <s v="FL00430"/>
        <s v="FL00431"/>
        <s v="FL00432"/>
        <s v="FL00433"/>
        <s v="FL00434"/>
        <s v="FL00435"/>
        <s v="FL00436"/>
        <s v="FL00437"/>
        <s v="FL00438"/>
        <s v="FL00439"/>
        <s v="FL00440"/>
        <s v="FL00441"/>
        <s v="FL00442"/>
        <s v="FL00443"/>
        <s v="FL00444"/>
        <s v="FL00445"/>
        <s v="FL00446"/>
        <s v="FL00447"/>
        <s v="FL00448"/>
        <s v="FL00449"/>
        <s v="FL00450"/>
        <s v="FL00451"/>
        <s v="FL00452"/>
        <s v="FL00453"/>
        <s v="FL00454"/>
        <s v="FL00455"/>
        <s v="FL00456"/>
        <s v="FL00457"/>
        <s v="FL00458"/>
        <s v="FL00459"/>
        <s v="FL00460"/>
        <s v="FL00461"/>
        <s v="FL00462"/>
        <s v="FL00463"/>
        <s v="FL00464"/>
        <s v="FL00465"/>
        <s v="FL00466"/>
        <s v="FL00467"/>
        <s v="FL00468"/>
        <s v="FL00469"/>
        <s v="FL00470"/>
        <s v="FL00471"/>
        <s v="FL00472"/>
        <s v="FL00473"/>
        <s v="FL00474"/>
        <s v="FL00475"/>
        <s v="FL00476"/>
        <s v="FL00477"/>
        <s v="FL00478"/>
        <s v="FL00479"/>
        <s v="FL00480"/>
        <s v="FL00481"/>
        <s v="FL00482"/>
        <s v="FL00483"/>
        <s v="FL00484"/>
        <s v="FL00485"/>
        <s v="FL00486"/>
        <s v="FL00487"/>
        <s v="FL00488"/>
        <s v="FL00489"/>
        <s v="FL00490"/>
        <s v="FL00491"/>
        <s v="FL00492"/>
        <s v="FL00493"/>
        <s v="FL00494"/>
        <s v="FL00495"/>
        <s v="FL00496"/>
        <s v="FL00497"/>
        <s v="FL00498"/>
        <s v="FL00499"/>
        <s v="FL00500"/>
        <s v="FL00501"/>
        <s v="FL00502"/>
        <s v="FL00503"/>
        <s v="FL00504"/>
        <s v="FL00505"/>
        <s v="FL00506"/>
        <s v="FL00507"/>
        <s v="FL00508"/>
        <s v="FL00509"/>
        <s v="FL00510"/>
        <s v="FL00511"/>
        <s v="FL00512"/>
        <s v="FL00513"/>
        <s v="FL00514"/>
        <s v="FL00515"/>
        <s v="FL00516"/>
        <s v="FL00517"/>
        <s v="FL00518"/>
        <s v="FL00519"/>
        <s v="FL00520"/>
        <s v="FL00521"/>
        <s v="FL00522"/>
        <s v="FL00523"/>
        <s v="FL00524"/>
        <s v="FL00525"/>
        <s v="FL00526"/>
        <s v="FL00527"/>
        <s v="FL00528"/>
        <s v="FL00529"/>
        <s v="FL00530"/>
        <s v="FL00531"/>
        <s v="FL00532"/>
        <s v="FL00533"/>
        <s v="FL00534"/>
        <s v="FL00535"/>
        <s v="FL00536"/>
        <s v="FL00537"/>
        <s v="FL00538"/>
        <s v="FL00539"/>
        <s v="FL00540"/>
        <s v="FL00541"/>
        <s v="FL00542"/>
        <s v="FL00543"/>
        <s v="FL00544"/>
        <s v="FL00545"/>
        <s v="FL00546"/>
        <s v="FL00547"/>
        <s v="FL00548"/>
        <s v="FL00549"/>
        <s v="FL00550"/>
        <s v="FL00551"/>
        <s v="FL00552"/>
        <s v="FL00553"/>
        <s v="FL00554"/>
        <s v="FL00555"/>
        <s v="FL00556"/>
        <s v="FL00557"/>
        <s v="FL00558"/>
        <s v="FL00559"/>
        <s v="FL00560"/>
        <s v="FL00561"/>
        <s v="FL00562"/>
        <s v="FL00563"/>
        <s v="FL00564"/>
        <s v="FL00565"/>
        <s v="FL00566"/>
        <s v="FL00567"/>
        <s v="FL00568"/>
        <s v="FL00569"/>
        <s v="FL00570"/>
        <s v="FL00571"/>
        <s v="FL00572"/>
        <s v="FL00573"/>
        <s v="FL00574"/>
        <s v="FL00575"/>
        <s v="FL00576"/>
        <s v="FL00577"/>
        <s v="FL00578"/>
        <s v="FL00579"/>
        <s v="FL00580"/>
        <s v="FL00581"/>
        <s v="FL00582"/>
        <s v="FL00583"/>
        <s v="FL00584"/>
        <s v="FL00585"/>
        <s v="FL00586"/>
        <s v="FL00587"/>
        <s v="FL00588"/>
        <s v="FL00589"/>
        <s v="FL00590"/>
        <s v="FL00591"/>
        <s v="FL00592"/>
        <s v="FL00593"/>
        <s v="FL00594"/>
        <s v="FL00595"/>
        <s v="FL00596"/>
        <s v="FL00597"/>
        <s v="FL00598"/>
        <s v="FL00599"/>
        <s v="FL00600"/>
        <s v="FL00601"/>
        <s v="FL00602"/>
        <s v="FL00603"/>
        <s v="FL00604"/>
        <s v="FL00605"/>
        <s v="FL00606"/>
        <s v="FL00607"/>
        <s v="FL00608"/>
        <s v="FL00609"/>
        <s v="FL00610"/>
        <s v="FL00611"/>
        <s v="FL00612"/>
        <s v="FL00613"/>
        <s v="FL00614"/>
        <s v="FL00615"/>
        <s v="FL00616"/>
        <s v="FL00617"/>
        <s v="FL00618"/>
        <s v="FL00619"/>
        <s v="FL00620"/>
        <s v="FL00621"/>
        <s v="FL00622"/>
        <s v="FL00623"/>
        <s v="FL00624"/>
        <s v="FL00625"/>
        <s v="FL00626"/>
        <s v="FL00627"/>
        <s v="FL00628"/>
        <s v="FL00629"/>
        <s v="FL00630"/>
        <s v="FL00631"/>
        <s v="FL00632"/>
        <s v="FL00633"/>
        <s v="FL00634"/>
        <s v="FL00635"/>
        <s v="FL00636"/>
        <s v="FL00637"/>
        <s v="FL00638"/>
        <s v="FL00639"/>
        <s v="FL00640"/>
        <s v="FL00641"/>
        <s v="FL00642"/>
        <s v="FL00643"/>
        <s v="FL00644"/>
        <s v="FL00645"/>
        <s v="FL00646"/>
        <s v="FL00647"/>
        <s v="FL00648"/>
        <s v="FL00649"/>
        <s v="FL00650"/>
        <s v="FL00651"/>
        <s v="FL00652"/>
        <s v="FL00653"/>
        <s v="FL00654"/>
        <s v="FL00655"/>
        <s v="FL00656"/>
        <s v="FL00657"/>
        <s v="FL00658"/>
        <s v="FL00659"/>
        <s v="FL00660"/>
        <s v="FL00661"/>
        <s v="FL00662"/>
        <s v="FL00663"/>
        <s v="FL00664"/>
        <s v="FL00665"/>
        <s v="FL00666"/>
        <s v="FL00667"/>
        <s v="FL00668"/>
        <s v="FL00669"/>
        <s v="FL00670"/>
        <s v="FL00671"/>
        <s v="FL00672"/>
        <s v="FL00673"/>
        <s v="FL00674"/>
        <s v="FL00675"/>
        <s v="FL00676"/>
        <s v="FL00677"/>
        <s v="FL00678"/>
        <s v="FL00679"/>
        <s v="FL00680"/>
        <s v="FL00681"/>
        <s v="FL00682"/>
        <s v="FL00683"/>
        <s v="FL00684"/>
        <s v="FL00685"/>
        <s v="FL00686"/>
        <s v="FL00687"/>
        <s v="FL00688"/>
        <s v="FL00689"/>
        <s v="FL00690"/>
        <s v="FL00691"/>
        <s v="FL00692"/>
        <s v="FL00693"/>
        <s v="FL00694"/>
        <s v="FL00695"/>
        <s v="FL00696"/>
        <s v="FL00697"/>
        <s v="FL00698"/>
        <s v="FL00699"/>
        <s v="FL00700"/>
        <s v="FL00701"/>
        <s v="FL00702"/>
        <s v="FL00703"/>
        <s v="FL00704"/>
        <s v="FL00705"/>
        <s v="FL00706"/>
        <s v="FL00707"/>
        <s v="FL00708"/>
        <s v="FL00709"/>
        <s v="FL00710"/>
        <s v="FL00711"/>
        <s v="FL00712"/>
        <s v="FL00713"/>
        <s v="FL00714"/>
        <s v="FL00715"/>
        <s v="FL00716"/>
        <s v="FL00717"/>
        <s v="FL00718"/>
        <s v="FL00719"/>
        <s v="FL00720"/>
        <s v="FL00721"/>
        <s v="FL00722"/>
        <s v="FL00723"/>
        <s v="FL00724"/>
        <s v="FL00725"/>
        <s v="FL00726"/>
        <s v="FL00727"/>
        <s v="FL00728"/>
        <s v="FL00729"/>
        <s v="FL00730"/>
        <s v="FL00731"/>
        <s v="FL00732"/>
        <s v="FL00733"/>
        <s v="FL00734"/>
        <s v="FL00735"/>
        <s v="FL00736"/>
        <s v="FL00737"/>
        <s v="FL00738"/>
        <s v="FL00739"/>
        <s v="FL00740"/>
        <s v="FL00741"/>
        <s v="FL00742"/>
        <s v="FL00743"/>
        <s v="FL00744"/>
        <s v="FL00745"/>
        <s v="FL00746"/>
        <s v="FL00747"/>
        <s v="FL00748"/>
        <s v="FL00749"/>
        <s v="FL00750"/>
        <s v="FL00751"/>
        <s v="FL00752"/>
        <s v="FL00753"/>
        <s v="FL00754"/>
        <s v="FL00755"/>
        <s v="FL00756"/>
        <s v="FL00757"/>
        <s v="FL00758"/>
        <s v="FL00759"/>
        <s v="FL00760"/>
        <s v="FL00761"/>
        <s v="FL00762"/>
        <s v="FL00763"/>
        <s v="FL00764"/>
        <s v="FL00765"/>
        <s v="FL00766"/>
        <s v="FL00767"/>
        <s v="FL00768"/>
        <s v="FL00769"/>
        <s v="FL00770"/>
        <s v="FL00771"/>
        <s v="FL00772"/>
        <s v="FL00773"/>
        <s v="FL00774"/>
        <s v="FL00775"/>
        <s v="FL00776"/>
        <s v="FL00777"/>
        <s v="FL00778"/>
        <s v="FL00779"/>
        <s v="FL00780"/>
        <s v="FL00781"/>
        <s v="FL00782"/>
        <s v="FL00783"/>
        <s v="FL00784"/>
        <s v="FL00785"/>
        <s v="FL00786"/>
        <s v="FL00787"/>
        <s v="FL00788"/>
        <s v="FL00789"/>
        <s v="FL00790"/>
        <s v="FL00791"/>
        <s v="FL00792"/>
        <s v="FL00793"/>
        <s v="FL00794"/>
        <s v="FL00795"/>
        <s v="FL00796"/>
        <s v="FL00797"/>
        <s v="FL00798"/>
        <s v="FL00799"/>
        <s v="FL00800"/>
        <s v="FL00801"/>
        <s v="FL00802"/>
        <s v="FL00803"/>
        <s v="FL00804"/>
        <s v="FL00805"/>
        <s v="FL00806"/>
        <s v="FL00807"/>
        <s v="FL00808"/>
        <s v="FL00809"/>
        <s v="FL00810"/>
        <s v="FL00811"/>
        <s v="FL00812"/>
        <s v="FL00813"/>
        <s v="FL00814"/>
        <s v="FL00815"/>
        <s v="FL00816"/>
        <s v="FL00817"/>
        <s v="FL00818"/>
        <s v="FL00819"/>
        <s v="FL00820"/>
        <s v="FL00821"/>
        <s v="FL00822"/>
        <s v="FL00823"/>
        <s v="FL00824"/>
        <s v="FL00825"/>
        <s v="FL00826"/>
        <s v="FL00827"/>
        <s v="FL00828"/>
        <s v="FL00829"/>
        <s v="FL00830"/>
        <s v="FL00831"/>
        <s v="FL00832"/>
        <s v="FL00833"/>
        <s v="FL00834"/>
        <s v="FL00835"/>
        <s v="FL00836"/>
        <s v="FL00837"/>
        <s v="FL00838"/>
        <s v="FL00839"/>
        <s v="FL00840"/>
        <s v="FL00841"/>
        <s v="FL00842"/>
        <s v="FL00843"/>
        <s v="FL00844"/>
        <s v="FL00845"/>
        <s v="FL00846"/>
        <s v="FL00847"/>
        <s v="FL00848"/>
        <s v="FL00849"/>
        <s v="FL00850"/>
        <s v="FL00851"/>
        <s v="FL00852"/>
        <s v="FL00853"/>
        <s v="FL00854"/>
        <s v="FL00855"/>
        <s v="FL00856"/>
        <s v="FL00857"/>
        <s v="FL00858"/>
        <s v="FL00859"/>
        <s v="FL00860"/>
        <s v="FL00861"/>
        <s v="FL00862"/>
        <s v="FL00863"/>
        <s v="FL00864"/>
        <s v="FL00865"/>
        <s v="FL00866"/>
        <s v="FL00867"/>
        <s v="FL00868"/>
        <s v="FL00869"/>
        <s v="FL00870"/>
        <s v="FL00871"/>
        <s v="FL00872"/>
        <s v="FL00873"/>
        <s v="FL00874"/>
        <s v="FL00875"/>
        <s v="FL00876"/>
        <s v="FL00877"/>
        <s v="FL00878"/>
        <s v="FL00879"/>
        <s v="FL00880"/>
        <s v="FL00881"/>
        <s v="FL00882"/>
        <s v="FL00883"/>
        <s v="FL00884"/>
        <s v="FL00885"/>
        <s v="FL00886"/>
        <s v="FL00887"/>
        <s v="FL00888"/>
        <s v="FL00889"/>
        <s v="FL00890"/>
        <s v="FL00891"/>
        <s v="FL00892"/>
        <s v="FL00893"/>
        <s v="FL00894"/>
        <s v="FL00895"/>
        <s v="FL00896"/>
        <s v="FL00897"/>
        <s v="FL00898"/>
        <s v="FL00899"/>
        <s v="FL00900"/>
        <s v="FL00901"/>
        <s v="FL00902"/>
        <s v="FL00903"/>
        <s v="FL00904"/>
        <s v="FL00905"/>
        <s v="FL00906"/>
        <s v="FL00907"/>
        <s v="FL00908"/>
        <s v="FL00909"/>
        <s v="FL00910"/>
        <s v="FL00911"/>
        <s v="FL00912"/>
        <s v="FL00913"/>
        <s v="FL00914"/>
        <s v="FL00915"/>
        <s v="FL00916"/>
        <s v="FL00917"/>
        <s v="FL00918"/>
        <s v="FL00919"/>
        <s v="FL00920"/>
        <s v="FL00921"/>
        <s v="FL00922"/>
        <s v="FL00923"/>
        <s v="FL00924"/>
        <s v="FL00925"/>
        <s v="FL00926"/>
        <s v="FL00927"/>
        <s v="FL00928"/>
        <s v="FL00929"/>
        <s v="FL00930"/>
        <s v="FL00931"/>
        <s v="FL00932"/>
        <s v="FL00933"/>
        <s v="FL00934"/>
        <s v="FL00935"/>
        <s v="FL00936"/>
        <s v="FL00937"/>
        <s v="FL00938"/>
        <s v="FL00939"/>
        <s v="FL00940"/>
        <s v="FL00941"/>
        <s v="FL00942"/>
        <s v="FL00943"/>
        <s v="FL00944"/>
        <s v="FL00945"/>
        <s v="FL00946"/>
        <s v="FL00947"/>
        <s v="FL00948"/>
        <s v="FL00949"/>
        <s v="FL00950"/>
        <s v="FL00951"/>
        <s v="FL00952"/>
        <s v="FL00953"/>
        <s v="FL00954"/>
        <s v="FL00955"/>
        <s v="FL00956"/>
        <s v="FL00957"/>
        <s v="FL00958"/>
        <s v="FL00959"/>
        <s v="FL00960"/>
        <s v="FL00961"/>
        <s v="FL00962"/>
        <s v="FL00963"/>
        <s v="FL00964"/>
        <s v="FL00965"/>
        <s v="FL00966"/>
        <s v="FL00967"/>
        <s v="FL00968"/>
        <s v="FL00969"/>
        <s v="FL00970"/>
        <s v="FL00971"/>
        <s v="FL00972"/>
        <s v="FL00973"/>
        <s v="FL00974"/>
        <s v="FL00975"/>
        <s v="FL00976"/>
        <s v="FL00977"/>
        <s v="FL00978"/>
        <s v="FL00979"/>
        <s v="FL00980"/>
        <s v="FL00981"/>
        <s v="FL00982"/>
        <s v="FL00983"/>
        <s v="FL00984"/>
        <s v="FL00985"/>
        <s v="FL00986"/>
        <s v="FL00987"/>
        <s v="FL00988"/>
        <s v="FL00989"/>
        <s v="FL00990"/>
        <s v="FL00991"/>
        <s v="FL00992"/>
        <s v="FL00993"/>
        <s v="FL00994"/>
        <s v="FL00995"/>
        <s v="FL00996"/>
        <s v="FL00997"/>
        <s v="FL00998"/>
        <s v="FL00999"/>
        <s v="FL01000"/>
        <m/>
      </sharedItems>
    </cacheField>
    <cacheField name="RouteCode" numFmtId="0">
      <sharedItems containsBlank="1" count="91">
        <s v="HYD-BOM"/>
        <s v="GOI-HYD"/>
        <s v="CCU-MAA"/>
        <s v="MAA-HYD"/>
        <s v="DEL-PNQ"/>
        <s v="DEL-BLR"/>
        <s v="GOI-BLR"/>
        <s v="DEL-MAA"/>
        <s v="PNQ-AMD"/>
        <s v="JAI-HYD"/>
        <s v="AMD-BLR"/>
        <s v="GOI-MAA"/>
        <s v="HYD-AMD"/>
        <s v="MAA-JAI"/>
        <s v="BOM-HYD"/>
        <s v="BLR-DEL"/>
        <s v="PNQ-JAI"/>
        <s v="MAA-PNQ"/>
        <s v="BOM-MAA"/>
        <s v="BLR-JAI"/>
        <s v="DEL-BOM"/>
        <s v="PNQ-GOI"/>
        <s v="PNQ-MAA"/>
        <s v="BOM-JAI"/>
        <s v="AMD-BOM"/>
        <s v="HYD-DEL"/>
        <s v="JAI-GOI"/>
        <s v="MAA-GOI"/>
        <s v="MAA-AMD"/>
        <s v="BLR-HYD"/>
        <s v="HYD-MAA"/>
        <s v="HYD-JAI"/>
        <s v="AMD-PNQ"/>
        <s v="BOM-BLR"/>
        <s v="PNQ-BLR"/>
        <s v="BLR-PNQ"/>
        <s v="CCU-BOM"/>
        <s v="HYD-CCU"/>
        <s v="MAA-BOM"/>
        <s v="DEL-HYD"/>
        <s v="CCU-PNQ"/>
        <s v="AMD-CCU"/>
        <s v="JAI-CCU"/>
        <s v="DEL-CCU"/>
        <s v="BLR-MAA"/>
        <s v="JAI-BLR"/>
        <s v="HYD-PNQ"/>
        <s v="PNQ-BOM"/>
        <s v="BOM-PNQ"/>
        <s v="AMD-GOI"/>
        <s v="GOI-AMD"/>
        <s v="JAI-MAA"/>
        <s v="DEL-AMD"/>
        <s v="GOI-PNQ"/>
        <s v="BOM-AMD"/>
        <s v="DEL-GOI"/>
        <s v="HYD-GOI"/>
        <s v="GOI-BOM"/>
        <s v="CCU-JAI"/>
        <s v="DEL-JAI"/>
        <s v="CCU-HYD"/>
        <s v="PNQ-CCU"/>
        <s v="PNQ-DEL"/>
        <s v="BOM-CCU"/>
        <s v="MAA-BLR"/>
        <s v="BLR-AMD"/>
        <s v="JAI-DEL"/>
        <s v="BOM-DEL"/>
        <s v="CCU-AMD"/>
        <s v="GOI-DEL"/>
        <s v="MAA-CCU"/>
        <s v="BOM-GOI"/>
        <s v="AMD-JAI"/>
        <s v="AMD-MAA"/>
        <s v="BLR-GOI"/>
        <s v="CCU-BLR"/>
        <s v="BLR-CCU"/>
        <s v="GOI-JAI"/>
        <s v="PNQ-HYD"/>
        <s v="AMD-HYD"/>
        <s v="JAI-AMD"/>
        <s v="AMD-DEL"/>
        <s v="BLR-BOM"/>
        <s v="MAA-DEL"/>
        <s v="JAI-BOM"/>
        <s v="GOI-CCU"/>
        <s v="CCU-DEL"/>
        <s v="CCU-GOI"/>
        <s v="HYD-BLR"/>
        <s v="JAI-PNQ"/>
        <m/>
      </sharedItems>
    </cacheField>
    <cacheField name="Origin" numFmtId="0">
      <sharedItems containsBlank="1"/>
    </cacheField>
    <cacheField name="Destination" numFmtId="0">
      <sharedItems containsBlank="1" count="11">
        <s v="BOM"/>
        <s v="HYD"/>
        <s v="MAA"/>
        <s v="PNQ"/>
        <s v="BLR"/>
        <s v="AMD"/>
        <s v="JAI"/>
        <s v="DEL"/>
        <s v="GOI"/>
        <s v="CCU"/>
        <m/>
      </sharedItems>
    </cacheField>
    <cacheField name="FlightDate" numFmtId="0">
      <sharedItems containsString="0" containsBlank="1" containsNumber="1" containsInteger="1" minValue="45658" maxValue="46388" count="540">
        <n v="45688"/>
        <n v="45883"/>
        <n v="45817"/>
        <n v="45702"/>
        <n v="46249"/>
        <n v="45942"/>
        <n v="46204"/>
        <n v="46359"/>
        <n v="46238"/>
        <n v="45929"/>
        <n v="46028"/>
        <n v="46354"/>
        <n v="46224"/>
        <n v="46122"/>
        <n v="46281"/>
        <n v="46158"/>
        <n v="45745"/>
        <n v="45827"/>
        <n v="46345"/>
        <n v="46004"/>
        <n v="45727"/>
        <n v="45793"/>
        <n v="45757"/>
        <n v="46070"/>
        <n v="46090"/>
        <n v="46325"/>
        <n v="45876"/>
        <n v="46091"/>
        <n v="45720"/>
        <n v="46178"/>
        <n v="46241"/>
        <n v="45981"/>
        <n v="46176"/>
        <n v="46106"/>
        <n v="45928"/>
        <n v="45866"/>
        <n v="45703"/>
        <n v="45667"/>
        <n v="45788"/>
        <n v="46020"/>
        <n v="45998"/>
        <n v="45862"/>
        <n v="45994"/>
        <n v="45776"/>
        <n v="45979"/>
        <n v="46383"/>
        <n v="46296"/>
        <n v="46371"/>
        <n v="46073"/>
        <n v="46134"/>
        <n v="46185"/>
        <n v="45808"/>
        <n v="45882"/>
        <n v="46133"/>
        <n v="46219"/>
        <n v="46154"/>
        <n v="45985"/>
        <n v="46082"/>
        <n v="46256"/>
        <n v="46087"/>
        <n v="46056"/>
        <n v="46264"/>
        <n v="45924"/>
        <n v="45916"/>
        <n v="45689"/>
        <n v="45977"/>
        <n v="46335"/>
        <n v="46153"/>
        <n v="45875"/>
        <n v="45675"/>
        <n v="46142"/>
        <n v="45971"/>
        <n v="45854"/>
        <n v="45961"/>
        <n v="45713"/>
        <n v="46138"/>
        <n v="46068"/>
        <n v="45962"/>
        <n v="46076"/>
        <n v="45730"/>
        <n v="46321"/>
        <n v="46107"/>
        <n v="45892"/>
        <n v="46189"/>
        <n v="46014"/>
        <n v="45953"/>
        <n v="46188"/>
        <n v="45952"/>
        <n v="46223"/>
        <n v="45956"/>
        <n v="46050"/>
        <n v="45931"/>
        <n v="46011"/>
        <n v="45897"/>
        <n v="46165"/>
        <n v="46125"/>
        <n v="46323"/>
        <n v="46290"/>
        <n v="45828"/>
        <n v="46099"/>
        <n v="45738"/>
        <n v="45919"/>
        <n v="46259"/>
        <n v="45900"/>
        <n v="45939"/>
        <n v="46109"/>
        <n v="45837"/>
        <n v="46151"/>
        <n v="46032"/>
        <n v="45993"/>
        <n v="45801"/>
        <n v="46055"/>
        <n v="46288"/>
        <n v="45759"/>
        <n v="45783"/>
        <n v="46236"/>
        <n v="45941"/>
        <n v="45673"/>
        <n v="46089"/>
        <n v="46120"/>
        <n v="46148"/>
        <n v="45725"/>
        <n v="46098"/>
        <n v="46095"/>
        <n v="46233"/>
        <n v="46018"/>
        <n v="46016"/>
        <n v="46294"/>
        <n v="46017"/>
        <n v="46201"/>
        <n v="46239"/>
        <n v="46111"/>
        <n v="45954"/>
        <n v="46378"/>
        <n v="45677"/>
        <n v="45775"/>
        <n v="45766"/>
        <n v="45884"/>
        <n v="46329"/>
        <n v="46300"/>
        <n v="46263"/>
        <n v="46035"/>
        <n v="45700"/>
        <n v="45763"/>
        <n v="46193"/>
        <n v="46304"/>
        <n v="46330"/>
        <n v="46267"/>
        <n v="45753"/>
        <n v="46007"/>
        <n v="46210"/>
        <n v="45843"/>
        <n v="46283"/>
        <n v="46352"/>
        <n v="45785"/>
        <n v="45885"/>
        <n v="46053"/>
        <n v="45798"/>
        <n v="45782"/>
        <n v="45674"/>
        <n v="45904"/>
        <n v="46177"/>
        <n v="45917"/>
        <n v="45794"/>
        <n v="45796"/>
        <n v="45975"/>
        <n v="46023"/>
        <n v="46005"/>
        <n v="46287"/>
        <n v="45804"/>
        <n v="46200"/>
        <n v="46169"/>
        <n v="46368"/>
        <n v="46356"/>
        <n v="46225"/>
        <n v="46065"/>
        <n v="46315"/>
        <n v="45790"/>
        <n v="45988"/>
        <n v="45833"/>
        <n v="46314"/>
        <n v="45732"/>
        <n v="46279"/>
        <n v="45852"/>
        <n v="45750"/>
        <n v="45946"/>
        <n v="45857"/>
        <n v="45697"/>
        <n v="46203"/>
        <n v="46255"/>
        <n v="45832"/>
        <n v="46284"/>
        <n v="46043"/>
        <n v="45982"/>
        <n v="46062"/>
        <n v="45711"/>
        <n v="45819"/>
        <n v="45949"/>
        <n v="45773"/>
        <n v="45995"/>
        <n v="46341"/>
        <n v="46312"/>
        <n v="46083"/>
        <n v="46115"/>
        <n v="46244"/>
        <n v="45751"/>
        <n v="46230"/>
        <n v="45704"/>
        <n v="46357"/>
        <n v="46202"/>
        <n v="45690"/>
        <n v="45715"/>
        <n v="45984"/>
        <n v="46037"/>
        <n v="45874"/>
        <n v="45947"/>
        <n v="46167"/>
        <n v="46234"/>
        <n v="45814"/>
        <n v="45921"/>
        <n v="46040"/>
        <n v="45670"/>
        <n v="45767"/>
        <n v="45965"/>
        <n v="46198"/>
        <n v="46214"/>
        <n v="45736"/>
        <n v="46006"/>
        <n v="45891"/>
        <n v="46291"/>
        <n v="45684"/>
        <n v="45933"/>
        <n v="45964"/>
        <n v="46126"/>
        <n v="46108"/>
        <n v="45839"/>
        <n v="45945"/>
        <n v="45800"/>
        <n v="46270"/>
        <n v="46266"/>
        <n v="46320"/>
        <n v="45758"/>
        <n v="46041"/>
        <n v="45765"/>
        <n v="45869"/>
        <n v="45836"/>
        <n v="45848"/>
        <n v="45662"/>
        <n v="46269"/>
        <n v="46347"/>
        <n v="45777"/>
        <n v="46051"/>
        <n v="45742"/>
        <n v="45830"/>
        <n v="46260"/>
        <n v="46184"/>
        <n v="45913"/>
        <n v="46123"/>
        <n v="46205"/>
        <n v="46218"/>
        <n v="46299"/>
        <n v="45865"/>
        <n v="45784"/>
        <n v="45912"/>
        <n v="46240"/>
        <n v="45672"/>
        <n v="45743"/>
        <n v="45825"/>
        <n v="45778"/>
        <n v="46166"/>
        <n v="45705"/>
        <n v="45987"/>
        <n v="45976"/>
        <n v="46295"/>
        <n v="45664"/>
        <n v="46331"/>
        <n v="45803"/>
        <n v="45744"/>
        <n v="46103"/>
        <n v="46121"/>
        <n v="45826"/>
        <n v="45973"/>
        <n v="45878"/>
        <n v="46351"/>
        <n v="45754"/>
        <n v="46319"/>
        <n v="45877"/>
        <n v="46215"/>
        <n v="45821"/>
        <n v="46021"/>
        <n v="45974"/>
        <n v="46197"/>
        <n v="45718"/>
        <n v="46105"/>
        <n v="46339"/>
        <n v="45802"/>
        <n v="45707"/>
        <n v="46042"/>
        <n v="45959"/>
        <n v="45734"/>
        <n v="46211"/>
        <n v="46160"/>
        <n v="46036"/>
        <n v="46235"/>
        <n v="46145"/>
        <n v="45781"/>
        <n v="45747"/>
        <n v="45696"/>
        <n v="45708"/>
        <n v="46161"/>
        <n v="46277"/>
        <n v="45835"/>
        <n v="45938"/>
        <n v="46363"/>
        <n v="45963"/>
        <n v="45925"/>
        <n v="46334"/>
        <n v="45694"/>
        <n v="46088"/>
        <n v="46307"/>
        <n v="45889"/>
        <n v="45829"/>
        <n v="46102"/>
        <n v="46033"/>
        <n v="45934"/>
        <n v="45774"/>
        <n v="45898"/>
        <n v="46181"/>
        <n v="45709"/>
        <n v="45755"/>
        <n v="46364"/>
        <n v="46084"/>
        <n v="46229"/>
        <n v="45658"/>
        <n v="46030"/>
        <n v="46192"/>
        <n v="45768"/>
        <n v="45795"/>
        <n v="46174"/>
        <n v="45799"/>
        <n v="45872"/>
        <n v="46348"/>
        <n v="45806"/>
        <n v="46365"/>
        <n v="45887"/>
        <n v="46054"/>
        <n v="45888"/>
        <n v="46227"/>
        <n v="45815"/>
        <n v="46027"/>
        <n v="46114"/>
        <n v="45665"/>
        <n v="46208"/>
        <n v="46075"/>
        <n v="45818"/>
        <n v="45822"/>
        <n v="46130"/>
        <n v="45996"/>
        <n v="46155"/>
        <n v="46096"/>
        <n v="45769"/>
        <n v="45735"/>
        <n v="46222"/>
        <n v="46286"/>
        <n v="45701"/>
        <n v="46322"/>
        <n v="46186"/>
        <n v="45873"/>
        <n v="46187"/>
        <n v="46117"/>
        <n v="45893"/>
        <n v="45811"/>
        <n v="46372"/>
        <n v="46093"/>
        <n v="45723"/>
        <n v="45951"/>
        <n v="45950"/>
        <n v="45902"/>
        <n v="46258"/>
        <n v="46013"/>
        <n v="46074"/>
        <n v="46306"/>
        <n v="46350"/>
        <n v="46246"/>
        <n v="45991"/>
        <n v="46285"/>
        <n v="45899"/>
        <n v="46302"/>
        <n v="46010"/>
        <n v="46132"/>
        <n v="45731"/>
        <n v="46194"/>
        <n v="46337"/>
        <n v="45666"/>
        <n v="45844"/>
        <n v="45850"/>
        <n v="46008"/>
        <n v="45807"/>
        <n v="46048"/>
        <n v="46191"/>
        <n v="45906"/>
        <n v="45749"/>
        <n v="46318"/>
        <n v="46381"/>
        <n v="46118"/>
        <n v="45847"/>
        <n v="45756"/>
        <n v="45699"/>
        <n v="46116"/>
        <n v="45896"/>
        <n v="46152"/>
        <n v="45992"/>
        <n v="46232"/>
        <n v="45970"/>
        <n v="45712"/>
        <n v="45748"/>
        <n v="46085"/>
        <n v="45792"/>
        <n v="45983"/>
        <n v="46268"/>
        <n v="46280"/>
        <n v="46081"/>
        <n v="45914"/>
        <n v="45901"/>
        <n v="45908"/>
        <n v="45695"/>
        <n v="45957"/>
        <n v="46313"/>
        <n v="46001"/>
        <n v="46384"/>
        <n v="45879"/>
        <n v="45935"/>
        <n v="45860"/>
        <n v="46144"/>
        <n v="46336"/>
        <n v="46226"/>
        <n v="45868"/>
        <n v="46298"/>
        <n v="45669"/>
        <n v="46124"/>
        <n v="46066"/>
        <n v="46328"/>
        <n v="46049"/>
        <n v="45863"/>
        <n v="46374"/>
        <n v="45729"/>
        <n v="45999"/>
        <n v="46128"/>
        <n v="46370"/>
        <n v="45834"/>
        <n v="46079"/>
        <n v="45838"/>
        <n v="46282"/>
        <n v="46127"/>
        <n v="46131"/>
        <n v="46149"/>
        <n v="46052"/>
        <n v="46247"/>
        <n v="45867"/>
        <n v="46112"/>
        <n v="45809"/>
        <n v="46143"/>
        <n v="45858"/>
        <n v="46262"/>
        <n v="45687"/>
        <n v="45922"/>
        <n v="46253"/>
        <n v="45856"/>
        <n v="46362"/>
        <n v="46274"/>
        <n v="46251"/>
        <n v="46250"/>
        <n v="46046"/>
        <n v="45770"/>
        <n v="46163"/>
        <n v="46317"/>
        <n v="45691"/>
        <n v="46289"/>
        <n v="46129"/>
        <n v="46002"/>
        <n v="46308"/>
        <n v="46101"/>
        <n v="46231"/>
        <n v="46242"/>
        <n v="46272"/>
        <n v="46029"/>
        <n v="46388"/>
        <n v="46361"/>
        <n v="46044"/>
        <n v="45810"/>
        <n v="45791"/>
        <n v="45978"/>
        <n v="45851"/>
        <n v="46104"/>
        <n v="46301"/>
        <n v="45871"/>
        <n v="46366"/>
        <n v="45786"/>
        <n v="46150"/>
        <n v="45678"/>
        <n v="46157"/>
        <n v="46164"/>
        <n v="45958"/>
        <n v="45761"/>
        <n v="46228"/>
        <n v="45771"/>
        <n v="46303"/>
        <n v="46077"/>
        <n v="45969"/>
        <n v="45966"/>
        <n v="45686"/>
        <n v="46039"/>
        <n v="45741"/>
        <n v="46309"/>
        <n v="46386"/>
        <n v="45968"/>
        <n v="45948"/>
        <n v="46172"/>
        <n v="45842"/>
        <n v="46212"/>
        <n v="45719"/>
        <n v="46019"/>
        <n v="45724"/>
        <n v="46369"/>
        <n v="46086"/>
        <n v="46367"/>
        <n v="45846"/>
        <n v="45955"/>
        <n v="45911"/>
        <n v="46139"/>
        <n v="46168"/>
        <n v="45932"/>
        <n v="46221"/>
        <n v="46025"/>
        <n v="45849"/>
        <n v="46058"/>
        <n v="46332"/>
        <n v="45668"/>
        <n v="46110"/>
        <m/>
      </sharedItems>
    </cacheField>
    <cacheField name="FlightDurationMins" numFmtId="0">
      <sharedItems containsString="0" containsBlank="1" containsNumber="1" containsInteger="1" minValue="45" maxValue="240"/>
    </cacheField>
    <cacheField name="AircraftType" numFmtId="0">
      <sharedItems containsBlank="1" count="6">
        <s v="Boeing 737"/>
        <s v="Boeing 787"/>
        <s v="Airbus A321"/>
        <s v="ATR 72"/>
        <s v="Airbus A320"/>
        <m/>
      </sharedItems>
    </cacheField>
    <cacheField name="SeatsAvailable" numFmtId="0">
      <sharedItems containsString="0" containsBlank="1" containsNumber="1" containsInteger="1" minValue="70" maxValue="220" count="152">
        <n v="129"/>
        <n v="141"/>
        <n v="96"/>
        <n v="207"/>
        <n v="81"/>
        <n v="111"/>
        <n v="128"/>
        <n v="124"/>
        <n v="213"/>
        <n v="200"/>
        <n v="86"/>
        <n v="198"/>
        <n v="165"/>
        <n v="162"/>
        <n v="87"/>
        <n v="178"/>
        <n v="182"/>
        <n v="211"/>
        <n v="88"/>
        <n v="217"/>
        <n v="160"/>
        <n v="97"/>
        <n v="188"/>
        <n v="93"/>
        <n v="112"/>
        <n v="194"/>
        <n v="84"/>
        <n v="80"/>
        <n v="150"/>
        <n v="72"/>
        <n v="159"/>
        <n v="205"/>
        <n v="199"/>
        <n v="103"/>
        <n v="108"/>
        <n v="163"/>
        <n v="109"/>
        <n v="138"/>
        <n v="148"/>
        <n v="218"/>
        <n v="203"/>
        <n v="146"/>
        <n v="102"/>
        <n v="147"/>
        <n v="155"/>
        <n v="132"/>
        <n v="172"/>
        <n v="191"/>
        <n v="140"/>
        <n v="105"/>
        <n v="208"/>
        <n v="126"/>
        <n v="91"/>
        <n v="74"/>
        <n v="75"/>
        <n v="164"/>
        <n v="171"/>
        <n v="100"/>
        <n v="167"/>
        <n v="157"/>
        <n v="195"/>
        <n v="158"/>
        <n v="115"/>
        <n v="212"/>
        <n v="110"/>
        <n v="190"/>
        <n v="137"/>
        <n v="106"/>
        <n v="220"/>
        <n v="152"/>
        <n v="210"/>
        <n v="70"/>
        <n v="197"/>
        <n v="101"/>
        <n v="127"/>
        <n v="176"/>
        <n v="209"/>
        <n v="151"/>
        <n v="174"/>
        <n v="206"/>
        <n v="143"/>
        <n v="77"/>
        <n v="131"/>
        <n v="189"/>
        <n v="134"/>
        <n v="161"/>
        <n v="82"/>
        <n v="99"/>
        <n v="73"/>
        <n v="78"/>
        <n v="219"/>
        <n v="180"/>
        <n v="175"/>
        <n v="94"/>
        <n v="76"/>
        <n v="177"/>
        <n v="83"/>
        <n v="142"/>
        <n v="71"/>
        <n v="153"/>
        <n v="89"/>
        <n v="130"/>
        <n v="196"/>
        <n v="118"/>
        <n v="149"/>
        <n v="79"/>
        <n v="117"/>
        <n v="139"/>
        <n v="179"/>
        <n v="204"/>
        <n v="156"/>
        <n v="123"/>
        <n v="168"/>
        <n v="187"/>
        <n v="173"/>
        <n v="120"/>
        <n v="144"/>
        <n v="154"/>
        <n v="192"/>
        <n v="133"/>
        <n v="216"/>
        <n v="104"/>
        <n v="85"/>
        <n v="193"/>
        <n v="113"/>
        <n v="214"/>
        <n v="166"/>
        <n v="122"/>
        <n v="170"/>
        <n v="185"/>
        <n v="114"/>
        <n v="215"/>
        <n v="136"/>
        <n v="121"/>
        <n v="90"/>
        <n v="92"/>
        <n v="135"/>
        <n v="116"/>
        <n v="186"/>
        <n v="201"/>
        <n v="169"/>
        <n v="202"/>
        <n v="95"/>
        <n v="119"/>
        <n v="183"/>
        <n v="98"/>
        <n v="145"/>
        <n v="181"/>
        <n v="125"/>
        <n v="107"/>
        <n v="184"/>
        <m/>
      </sharedItems>
    </cacheField>
    <cacheField name="SeatsSold" numFmtId="0">
      <sharedItems containsString="0" containsBlank="1" containsNumber="1" containsInteger="1" minValue="40" maxValue="220" count="166">
        <n v="104"/>
        <n v="40"/>
        <n v="45"/>
        <n v="71"/>
        <n v="54"/>
        <n v="87"/>
        <n v="99"/>
        <n v="44"/>
        <n v="123"/>
        <n v="177"/>
        <n v="166"/>
        <n v="64"/>
        <n v="108"/>
        <n v="85"/>
        <n v="137"/>
        <n v="152"/>
        <n v="74"/>
        <n v="94"/>
        <n v="172"/>
        <n v="98"/>
        <n v="72"/>
        <n v="161"/>
        <n v="55"/>
        <n v="103"/>
        <n v="88"/>
        <n v="79"/>
        <n v="43"/>
        <n v="78"/>
        <n v="70"/>
        <n v="69"/>
        <n v="42"/>
        <n v="165"/>
        <n v="73"/>
        <n v="155"/>
        <n v="60"/>
        <n v="145"/>
        <n v="84"/>
        <n v="107"/>
        <n v="52"/>
        <n v="76"/>
        <n v="105"/>
        <n v="51"/>
        <n v="100"/>
        <n v="102"/>
        <n v="192"/>
        <n v="96"/>
        <n v="59"/>
        <n v="159"/>
        <n v="81"/>
        <n v="49"/>
        <n v="61"/>
        <n v="90"/>
        <n v="127"/>
        <n v="95"/>
        <n v="126"/>
        <n v="75"/>
        <n v="182"/>
        <n v="91"/>
        <n v="86"/>
        <n v="132"/>
        <n v="80"/>
        <n v="63"/>
        <n v="201"/>
        <n v="146"/>
        <n v="112"/>
        <n v="114"/>
        <n v="120"/>
        <n v="129"/>
        <n v="67"/>
        <n v="125"/>
        <n v="153"/>
        <n v="41"/>
        <n v="163"/>
        <n v="115"/>
        <n v="136"/>
        <n v="135"/>
        <n v="191"/>
        <n v="113"/>
        <n v="133"/>
        <n v="56"/>
        <n v="83"/>
        <n v="147"/>
        <n v="205"/>
        <n v="122"/>
        <n v="93"/>
        <n v="180"/>
        <n v="65"/>
        <n v="162"/>
        <n v="130"/>
        <n v="57"/>
        <n v="156"/>
        <n v="211"/>
        <n v="142"/>
        <n v="53"/>
        <n v="158"/>
        <n v="58"/>
        <n v="50"/>
        <n v="111"/>
        <n v="46"/>
        <n v="66"/>
        <n v="157"/>
        <n v="101"/>
        <n v="140"/>
        <n v="134"/>
        <n v="82"/>
        <n v="48"/>
        <n v="97"/>
        <n v="181"/>
        <n v="47"/>
        <n v="106"/>
        <n v="171"/>
        <n v="117"/>
        <n v="77"/>
        <n v="176"/>
        <n v="116"/>
        <n v="110"/>
        <n v="109"/>
        <n v="131"/>
        <n v="68"/>
        <n v="206"/>
        <n v="121"/>
        <n v="164"/>
        <n v="128"/>
        <n v="154"/>
        <n v="169"/>
        <n v="89"/>
        <n v="216"/>
        <n v="144"/>
        <n v="92"/>
        <n v="139"/>
        <n v="190"/>
        <n v="167"/>
        <n v="168"/>
        <n v="184"/>
        <n v="118"/>
        <n v="220"/>
        <n v="62"/>
        <n v="143"/>
        <n v="141"/>
        <n v="149"/>
        <n v="213"/>
        <n v="124"/>
        <n v="179"/>
        <n v="150"/>
        <n v="160"/>
        <n v="202"/>
        <n v="203"/>
        <n v="178"/>
        <n v="204"/>
        <n v="148"/>
        <n v="183"/>
        <n v="196"/>
        <n v="194"/>
        <n v="173"/>
        <n v="151"/>
        <n v="138"/>
        <n v="174"/>
        <n v="212"/>
        <n v="119"/>
        <n v="199"/>
        <n v="175"/>
        <n v="187"/>
        <n v="170"/>
        <n v="197"/>
        <n v="208"/>
        <m/>
      </sharedItems>
    </cacheField>
    <cacheField name="Revenue" numFmtId="0">
      <sharedItems containsString="0" containsBlank="1" containsNumber="1" containsInteger="1" minValue="124246" maxValue="2392302" count="997">
        <n v="305136"/>
        <n v="204600"/>
        <n v="392580"/>
        <n v="617771"/>
        <n v="391014"/>
        <n v="723840"/>
        <n v="862884"/>
        <n v="337392"/>
        <n v="1313517"/>
        <n v="1204308"/>
        <n v="662174"/>
        <n v="560128"/>
        <n v="871884"/>
        <n v="919445"/>
        <n v="705002"/>
        <n v="1145776"/>
        <n v="337440"/>
        <n v="1065490"/>
        <n v="1702284"/>
        <n v="598584"/>
        <n v="460728"/>
        <n v="1043441"/>
        <n v="868090"/>
        <n v="310145"/>
        <n v="384705"/>
        <n v="560736"/>
        <n v="223080"/>
        <n v="443269"/>
        <n v="443373"/>
        <n v="281814"/>
        <n v="303597"/>
        <n v="479570"/>
        <n v="808956"/>
        <n v="551304"/>
        <n v="486612"/>
        <n v="549998"/>
        <n v="1091310"/>
        <n v="375731"/>
        <n v="376156"/>
        <n v="488715"/>
        <n v="361340"/>
        <n v="256260"/>
        <n v="903060"/>
        <n v="911064"/>
        <n v="334482"/>
        <n v="607959"/>
        <n v="1013856"/>
        <n v="786968"/>
        <n v="488176"/>
        <n v="451668"/>
        <n v="1076460"/>
        <n v="323748"/>
        <n v="369300"/>
        <n v="501534"/>
        <n v="604864"/>
        <n v="1478016"/>
        <n v="1045630"/>
        <n v="361824"/>
        <n v="370992"/>
        <n v="1480608"/>
        <n v="1413018"/>
        <n v="621690"/>
        <n v="454509"/>
        <n v="771282"/>
        <n v="769790"/>
        <n v="248122"/>
        <n v="313992"/>
        <n v="266936"/>
        <n v="337050"/>
        <n v="1059480"/>
        <n v="343789"/>
        <n v="511575"/>
        <n v="528282"/>
        <n v="374220"/>
        <n v="526950"/>
        <n v="1171534"/>
        <n v="590226"/>
        <n v="1082598"/>
        <n v="486330"/>
        <n v="1464540"/>
        <n v="213018"/>
        <n v="843360"/>
        <n v="210483"/>
        <n v="678978"/>
        <n v="904762"/>
        <n v="390432"/>
        <n v="374290"/>
        <n v="345876"/>
        <n v="688920"/>
        <n v="170373"/>
        <n v="1173126"/>
        <n v="521260"/>
        <n v="311175"/>
        <n v="607383"/>
        <n v="526625"/>
        <n v="487599"/>
        <n v="694729"/>
        <n v="511785"/>
        <n v="263220"/>
        <n v="543240"/>
        <n v="1668468"/>
        <n v="269582"/>
        <n v="1210030"/>
        <n v="1354560"/>
        <n v="1383615"/>
        <n v="1516349"/>
        <n v="294275"/>
        <n v="1053256"/>
        <n v="274620"/>
        <n v="328188"/>
        <n v="1706940"/>
        <n v="498932"/>
        <n v="1294415"/>
        <n v="730002"/>
        <n v="830211"/>
        <n v="829764"/>
        <n v="597240"/>
        <n v="618849"/>
        <n v="1489201"/>
        <n v="257577"/>
        <n v="632296"/>
        <n v="525390"/>
        <n v="808480"/>
        <n v="453406"/>
        <n v="739557"/>
        <n v="381717"/>
        <n v="1717080"/>
        <n v="347578"/>
        <n v="561534"/>
        <n v="557232"/>
        <n v="336476"/>
        <n v="689080"/>
        <n v="543193"/>
        <n v="693457"/>
        <n v="1408860"/>
        <n v="284310"/>
        <n v="1251180"/>
        <n v="810000"/>
        <n v="748635"/>
        <n v="1225770"/>
        <n v="473290"/>
        <n v="621632"/>
        <n v="169518"/>
        <n v="331240"/>
        <n v="1261260"/>
        <n v="248871"/>
        <n v="1420605"/>
        <n v="1319472"/>
        <n v="233960"/>
        <n v="678405"/>
        <n v="1751722"/>
        <n v="1077229"/>
        <n v="612318"/>
        <n v="1573928"/>
        <n v="314496"/>
        <n v="259647"/>
        <n v="1854288"/>
        <n v="580374"/>
        <n v="439930"/>
        <n v="853753"/>
        <n v="833652"/>
        <n v="263844"/>
        <n v="620658"/>
        <n v="246928"/>
        <n v="240850"/>
        <n v="962481"/>
        <n v="369336"/>
        <n v="287166"/>
        <n v="283467"/>
        <n v="308640"/>
        <n v="693144"/>
        <n v="980672"/>
        <n v="477158"/>
        <n v="729714"/>
        <n v="222552"/>
        <n v="332003"/>
        <n v="763875"/>
        <n v="1009438"/>
        <n v="554053"/>
        <n v="490052"/>
        <n v="553800"/>
        <n v="652928"/>
        <n v="504840"/>
        <n v="676368"/>
        <n v="336516"/>
        <n v="1070650"/>
        <n v="469095"/>
        <n v="1474938"/>
        <n v="892630"/>
        <n v="801304"/>
        <n v="402820"/>
        <n v="172848"/>
        <n v="831969"/>
        <n v="869118"/>
        <n v="475160"/>
        <n v="178224"/>
        <n v="853650"/>
        <n v="248300"/>
        <n v="837306"/>
        <n v="1335160"/>
        <n v="1400768"/>
        <n v="516436"/>
        <n v="758218"/>
        <n v="676242"/>
        <n v="1724898"/>
        <n v="1053725"/>
        <n v="657712"/>
        <n v="893664"/>
        <n v="1085014"/>
        <n v="446193"/>
        <n v="965349"/>
        <n v="1735308"/>
        <n v="608424"/>
        <n v="1276109"/>
        <n v="431053"/>
        <n v="432621"/>
        <n v="196032"/>
        <n v="1268397"/>
        <n v="1717764"/>
        <n v="666180"/>
        <n v="277200"/>
        <n v="1281539"/>
        <n v="498036"/>
        <n v="722670"/>
        <n v="771474"/>
        <n v="1427008"/>
        <n v="717344"/>
        <n v="793650"/>
        <n v="324540"/>
        <n v="1276172"/>
        <n v="236501"/>
        <n v="1341309"/>
        <n v="655746"/>
        <n v="263032"/>
        <n v="295520"/>
        <n v="779868"/>
        <n v="582750"/>
        <n v="1346112"/>
        <n v="270880"/>
        <n v="284970"/>
        <n v="548520"/>
        <n v="318784"/>
        <n v="1075806"/>
        <n v="329688"/>
        <n v="893025"/>
        <n v="321609"/>
        <n v="433485"/>
        <n v="258038"/>
        <n v="1183410"/>
        <n v="373212"/>
        <n v="183808"/>
        <n v="800758"/>
        <n v="323180"/>
        <n v="409050"/>
        <n v="823722"/>
        <n v="890400"/>
        <n v="542488"/>
        <n v="578214"/>
        <n v="340956"/>
        <n v="419832"/>
        <n v="317308"/>
        <n v="983630"/>
        <n v="596700"/>
        <n v="1727516"/>
        <n v="705188"/>
        <n v="647640"/>
        <n v="1041480"/>
        <n v="825192"/>
        <n v="222942"/>
        <n v="422790"/>
        <n v="452148"/>
        <n v="777276"/>
        <n v="395080"/>
        <n v="1482624"/>
        <n v="411300"/>
        <n v="534450"/>
        <n v="1152480"/>
        <n v="220480"/>
        <n v="1190184"/>
        <n v="432512"/>
        <n v="367155"/>
        <n v="526585"/>
        <n v="310050"/>
        <n v="302000"/>
        <n v="1790250"/>
        <n v="492345"/>
        <n v="1247181"/>
        <n v="272272"/>
        <n v="470880"/>
        <n v="359320"/>
        <n v="604734"/>
        <n v="1412896"/>
        <n v="1162062"/>
        <n v="900519"/>
        <n v="361800"/>
        <n v="1580657"/>
        <n v="584463"/>
        <n v="1854635"/>
        <n v="2002424"/>
        <n v="2310984"/>
        <n v="226587"/>
        <n v="409900"/>
        <n v="261751"/>
        <n v="1052835"/>
        <n v="269404"/>
        <n v="264375"/>
        <n v="469062"/>
        <n v="565800"/>
        <n v="389602"/>
        <n v="930720"/>
        <n v="1094290"/>
        <n v="444246"/>
        <n v="1520064"/>
        <n v="233695"/>
        <n v="1956420"/>
        <n v="778668"/>
        <n v="329700"/>
        <n v="392042"/>
        <n v="647566"/>
        <n v="319332"/>
        <n v="1125684"/>
        <n v="237475"/>
        <n v="161040"/>
        <n v="996870"/>
        <n v="1333484"/>
        <n v="503712"/>
        <n v="419340"/>
        <n v="487825"/>
        <n v="381376"/>
        <n v="272975"/>
        <n v="351118"/>
        <n v="856144"/>
        <n v="896816"/>
        <n v="719288"/>
        <n v="408521"/>
        <n v="390310"/>
        <n v="196881"/>
        <n v="858228"/>
        <n v="387860"/>
        <n v="903280"/>
        <n v="464140"/>
        <n v="305735"/>
        <n v="672125"/>
        <n v="1160484"/>
        <n v="1207938"/>
        <n v="502195"/>
        <n v="585144"/>
        <n v="423696"/>
        <n v="279424"/>
        <n v="344712"/>
        <n v="410280"/>
        <n v="1217045"/>
        <n v="891075"/>
        <n v="592540"/>
        <n v="264264"/>
        <n v="663114"/>
        <n v="521752"/>
        <n v="245960"/>
        <n v="411976"/>
        <n v="228690"/>
        <n v="558110"/>
        <n v="392375"/>
        <n v="148225"/>
        <n v="1280600"/>
        <n v="737676"/>
        <n v="498161"/>
        <n v="478695"/>
        <n v="566838"/>
        <n v="1368840"/>
        <n v="1305192"/>
        <n v="197163"/>
        <n v="831982"/>
        <n v="886650"/>
        <n v="888352"/>
        <n v="153900"/>
        <n v="684400"/>
        <n v="1060400"/>
        <n v="520910"/>
        <n v="725834"/>
        <n v="578675"/>
        <n v="875017"/>
        <n v="649656"/>
        <n v="256310"/>
        <n v="761206"/>
        <n v="1276170"/>
        <n v="196895"/>
        <n v="1207444"/>
        <n v="364504"/>
        <n v="380200"/>
        <n v="444141"/>
        <n v="582114"/>
        <n v="543424"/>
        <n v="365940"/>
        <n v="1657131"/>
        <n v="514848"/>
        <n v="364231"/>
        <n v="590640"/>
        <n v="864075"/>
        <n v="683414"/>
        <n v="1181696"/>
        <n v="690156"/>
        <n v="246297"/>
        <n v="423111"/>
        <n v="572448"/>
        <n v="637377"/>
        <n v="167255"/>
        <n v="638589"/>
        <n v="1153300"/>
        <n v="212032"/>
        <n v="1132707"/>
        <n v="358290"/>
        <n v="679782"/>
        <n v="1579230"/>
        <n v="448504"/>
        <n v="647525"/>
        <n v="521353"/>
        <n v="509869"/>
        <n v="628918"/>
        <n v="487449"/>
        <n v="834138"/>
        <n v="398090"/>
        <n v="329517"/>
        <n v="564379"/>
        <n v="728401"/>
        <n v="1537829"/>
        <n v="672000"/>
        <n v="234192"/>
        <n v="767613"/>
        <n v="1632305"/>
        <n v="191553"/>
        <n v="1016880"/>
        <n v="438416"/>
        <n v="318240"/>
        <n v="392274"/>
        <n v="675324"/>
        <n v="516600"/>
        <n v="559582"/>
        <n v="767014"/>
        <n v="487258"/>
        <n v="254064"/>
        <n v="489564"/>
        <n v="252234"/>
        <n v="2061414"/>
        <n v="713400"/>
        <n v="872131"/>
        <n v="440324"/>
        <n v="539150"/>
        <n v="249300"/>
        <n v="1818864"/>
        <n v="419014"/>
        <n v="1229865"/>
        <n v="1447948"/>
        <n v="323680"/>
        <n v="528350"/>
        <n v="884763"/>
        <n v="361440"/>
        <n v="601328"/>
        <n v="234976"/>
        <n v="676350"/>
        <n v="1331100"/>
        <n v="733661"/>
        <n v="727848"/>
        <n v="254646"/>
        <n v="380064"/>
        <n v="402048"/>
        <n v="1087000"/>
        <n v="143736"/>
        <n v="1023522"/>
        <n v="467775"/>
        <n v="186624"/>
        <n v="594720"/>
        <n v="529152"/>
        <n v="518112"/>
        <n v="1883056"/>
        <n v="349110"/>
        <n v="630939"/>
        <n v="404145"/>
        <n v="719040"/>
        <n v="436653"/>
        <n v="838296"/>
        <n v="1152450"/>
        <n v="249865"/>
        <n v="560860"/>
        <n v="1029690"/>
        <n v="221431"/>
        <n v="536778"/>
        <n v="280128"/>
        <n v="208974"/>
        <n v="372892"/>
        <n v="639488"/>
        <n v="435159"/>
        <n v="1547768"/>
        <n v="273201"/>
        <n v="922768"/>
        <n v="789600"/>
        <n v="567000"/>
        <n v="735750"/>
        <n v="642192"/>
        <n v="1169256"/>
        <n v="1409960"/>
        <n v="434125"/>
        <n v="1060596"/>
        <n v="511200"/>
        <n v="735630"/>
        <n v="292140"/>
        <n v="372856"/>
        <n v="569415"/>
        <n v="505802"/>
        <n v="494954"/>
        <n v="146863"/>
        <n v="313900"/>
        <n v="382760"/>
        <n v="883346"/>
        <n v="383427"/>
        <n v="517705"/>
        <n v="625570"/>
        <n v="1062140"/>
        <n v="945156"/>
        <n v="573884"/>
        <n v="449052"/>
        <n v="155900"/>
        <n v="540549"/>
        <n v="1082740"/>
        <n v="358020"/>
        <n v="174988"/>
        <n v="893564"/>
        <n v="623094"/>
        <n v="1248512"/>
        <n v="488612"/>
        <n v="762220"/>
        <n v="475615"/>
        <n v="353745"/>
        <n v="591643"/>
        <n v="436842"/>
        <n v="744555"/>
        <n v="539874"/>
        <n v="316440"/>
        <n v="723681"/>
        <n v="972835"/>
        <n v="525224"/>
        <n v="440010"/>
        <n v="1350272"/>
        <n v="434784"/>
        <n v="614222"/>
        <n v="357058"/>
        <n v="1610808"/>
        <n v="781113"/>
        <n v="526884"/>
        <n v="811200"/>
        <n v="545584"/>
        <n v="451088"/>
        <n v="282464"/>
        <n v="334800"/>
        <n v="1805604"/>
        <n v="1771184"/>
        <n v="496689"/>
        <n v="265048"/>
        <n v="307284"/>
        <n v="1074928"/>
        <n v="277181"/>
        <n v="1379445"/>
        <n v="796800"/>
        <n v="518144"/>
        <n v="214758"/>
        <n v="1363095"/>
        <n v="661142"/>
        <n v="868373"/>
        <n v="1058207"/>
        <n v="667580"/>
        <n v="214922"/>
        <n v="2221776"/>
        <n v="506772"/>
        <n v="503616"/>
        <n v="535552"/>
        <n v="1147661"/>
        <n v="1343860"/>
        <n v="1321887"/>
        <n v="891268"/>
        <n v="563902"/>
        <n v="260448"/>
        <n v="1808664"/>
        <n v="236760"/>
        <n v="1247716"/>
        <n v="295813"/>
        <n v="703525"/>
        <n v="1311965"/>
        <n v="1356901"/>
        <n v="1271320"/>
        <n v="812630"/>
        <n v="160486"/>
        <n v="294882"/>
        <n v="281253"/>
        <n v="687800"/>
        <n v="474944"/>
        <n v="653204"/>
        <n v="654369"/>
        <n v="411056"/>
        <n v="1254400"/>
        <n v="965742"/>
        <n v="1051335"/>
        <n v="260783"/>
        <n v="1091398"/>
        <n v="748132"/>
        <n v="295191"/>
        <n v="991243"/>
        <n v="1218046"/>
        <n v="296240"/>
        <n v="444480"/>
        <n v="953128"/>
        <n v="1834702"/>
        <n v="224080"/>
        <n v="537680"/>
        <n v="295350"/>
        <n v="716092"/>
        <n v="1034892"/>
        <n v="288880"/>
        <n v="849804"/>
        <n v="295496"/>
        <n v="235724"/>
        <n v="939039"/>
        <n v="528219"/>
        <n v="1229508"/>
        <n v="1068300"/>
        <n v="326250"/>
        <n v="378040"/>
        <n v="400374"/>
        <n v="370260"/>
        <n v="506583"/>
        <n v="196650"/>
        <n v="1003324"/>
        <n v="655200"/>
        <n v="735057"/>
        <n v="1438164"/>
        <n v="306993"/>
        <n v="1433466"/>
        <n v="1401368"/>
        <n v="757596"/>
        <n v="587664"/>
        <n v="545606"/>
        <n v="817234"/>
        <n v="1843142"/>
        <n v="124356"/>
        <n v="501908"/>
        <n v="362016"/>
        <n v="1063890"/>
        <n v="231476"/>
        <n v="540492"/>
        <n v="1177606"/>
        <n v="495730"/>
        <n v="659866"/>
        <n v="466074"/>
        <n v="443664"/>
        <n v="427853"/>
        <n v="306228"/>
        <n v="350342"/>
        <n v="487690"/>
        <n v="388344"/>
        <n v="541212"/>
        <n v="439116"/>
        <n v="833340"/>
        <n v="891352"/>
        <n v="1007360"/>
        <n v="1094800"/>
        <n v="837084"/>
        <n v="696660"/>
        <n v="655692"/>
        <n v="1780743"/>
        <n v="717172"/>
        <n v="722692"/>
        <n v="253128"/>
        <n v="1013346"/>
        <n v="838768"/>
        <n v="687986"/>
        <n v="384642"/>
        <n v="1319310"/>
        <n v="1232220"/>
        <n v="984810"/>
        <n v="855184"/>
        <n v="246374"/>
        <n v="405384"/>
        <n v="545076"/>
        <n v="377900"/>
        <n v="427602"/>
        <n v="187758"/>
        <n v="986455"/>
        <n v="270648"/>
        <n v="418080"/>
        <n v="958040"/>
        <n v="882924"/>
        <n v="553311"/>
        <n v="1113728"/>
        <n v="571474"/>
        <n v="870692"/>
        <n v="574993"/>
        <n v="369480"/>
        <n v="195648"/>
        <n v="379525"/>
        <n v="297972"/>
        <n v="819352"/>
        <n v="382816"/>
        <n v="436152"/>
        <n v="444352"/>
        <n v="124760"/>
        <n v="437760"/>
        <n v="540696"/>
        <n v="215190"/>
        <n v="718208"/>
        <n v="396780"/>
        <n v="904638"/>
        <n v="208498"/>
        <n v="874380"/>
        <n v="330276"/>
        <n v="593630"/>
        <n v="279360"/>
        <n v="582600"/>
        <n v="539458"/>
        <n v="198576"/>
        <n v="217560"/>
        <n v="256732"/>
        <n v="425022"/>
        <n v="564400"/>
        <n v="653604"/>
        <n v="192360"/>
        <n v="1171032"/>
        <n v="752571"/>
        <n v="423522"/>
        <n v="730520"/>
        <n v="639090"/>
        <n v="264252"/>
        <n v="498780"/>
        <n v="729168"/>
        <n v="675680"/>
        <n v="212784"/>
        <n v="644280"/>
        <n v="468832"/>
        <n v="1160810"/>
        <n v="879309"/>
        <n v="353232"/>
        <n v="455332"/>
        <n v="535689"/>
        <n v="525538"/>
        <n v="980616"/>
        <n v="784740"/>
        <n v="520052"/>
        <n v="325125"/>
        <n v="1057410"/>
        <n v="225984"/>
        <n v="1140972"/>
        <n v="453695"/>
        <n v="420988"/>
        <n v="309050"/>
        <n v="773190"/>
        <n v="910683"/>
        <n v="151630"/>
        <n v="772704"/>
        <n v="171454"/>
        <n v="444366"/>
        <n v="605374"/>
        <n v="454410"/>
        <n v="693504"/>
        <n v="1105884"/>
        <n v="492888"/>
        <n v="368320"/>
        <n v="360555"/>
        <n v="1201289"/>
        <n v="512123"/>
        <n v="480339"/>
        <n v="686511"/>
        <n v="467181"/>
        <n v="422124"/>
        <n v="408564"/>
        <n v="611314"/>
        <n v="656717"/>
        <n v="2029104"/>
        <n v="574350"/>
        <n v="231738"/>
        <n v="245549"/>
        <n v="221832"/>
        <n v="327448"/>
        <n v="520317"/>
        <n v="672048"/>
        <n v="535610"/>
        <n v="735889"/>
        <n v="899346"/>
        <n v="953436"/>
        <n v="745878"/>
        <n v="494064"/>
        <n v="1681576"/>
        <n v="457968"/>
        <n v="510732"/>
        <n v="1492634"/>
        <n v="1048927"/>
        <n v="447219"/>
        <n v="903476"/>
        <n v="1207022"/>
        <n v="1186215"/>
        <n v="674570"/>
        <n v="2233844"/>
        <n v="481248"/>
        <n v="283986"/>
        <n v="532835"/>
        <n v="450424"/>
        <n v="322141"/>
        <n v="1607400"/>
        <n v="1449360"/>
        <n v="451827"/>
        <n v="520144"/>
        <n v="513152"/>
        <n v="529596"/>
        <n v="603720"/>
        <n v="460194"/>
        <n v="1358588"/>
        <n v="495726"/>
        <n v="777816"/>
        <n v="188992"/>
        <n v="265720"/>
        <n v="470700"/>
        <n v="529207"/>
        <n v="810665"/>
        <n v="1297648"/>
        <n v="882240"/>
        <n v="1029287"/>
        <n v="128940"/>
        <n v="697345"/>
        <n v="324207"/>
        <n v="217284"/>
        <n v="373048"/>
        <n v="446310"/>
        <n v="434711"/>
        <n v="1197537"/>
        <n v="252330"/>
        <n v="477650"/>
        <n v="417220"/>
        <n v="495264"/>
        <n v="370986"/>
        <n v="425752"/>
        <n v="1176672"/>
        <n v="730053"/>
        <n v="259650"/>
        <n v="266200"/>
        <n v="244710"/>
        <n v="671400"/>
        <n v="933177"/>
        <n v="843920"/>
        <n v="194481"/>
        <n v="567188"/>
        <n v="250046"/>
        <n v="241298"/>
        <n v="178425"/>
        <n v="164604"/>
        <n v="196298"/>
        <n v="577935"/>
        <n v="568680"/>
        <n v="562800"/>
        <n v="346290"/>
        <n v="1056272"/>
        <n v="458220"/>
        <n v="589918"/>
        <n v="1007742"/>
        <n v="681192"/>
        <n v="956572"/>
        <n v="486816"/>
        <n v="370644"/>
        <n v="286715"/>
        <n v="983970"/>
        <n v="149040"/>
        <n v="1075780"/>
        <n v="245387"/>
        <n v="476450"/>
        <n v="1988680"/>
        <n v="2004163"/>
        <n v="385728"/>
        <n v="428840"/>
        <n v="773376"/>
        <n v="1351416"/>
        <n v="389747"/>
        <n v="415170"/>
        <n v="314392"/>
        <n v="1015396"/>
        <n v="815964"/>
        <n v="1077780"/>
        <n v="437160"/>
        <n v="685008"/>
        <n v="818824"/>
        <n v="1006763"/>
        <n v="477920"/>
        <n v="472472"/>
        <n v="594864"/>
        <n v="290403"/>
        <n v="1939056"/>
        <n v="1111125"/>
        <n v="1313879"/>
        <n v="523530"/>
        <n v="180510"/>
        <n v="802368"/>
        <n v="1016116"/>
        <n v="855098"/>
        <n v="752046"/>
        <n v="2013366"/>
        <n v="754528"/>
        <n v="775950"/>
        <n v="595630"/>
        <n v="365803"/>
        <n v="236572"/>
        <n v="180160"/>
        <n v="1110032"/>
        <n v="760760"/>
        <n v="354250"/>
        <n v="1519560"/>
        <n v="629442"/>
        <n v="241660"/>
        <n v="294567"/>
        <n v="1059718"/>
        <n v="421281"/>
        <n v="185535"/>
        <n v="631596"/>
        <n v="1829880"/>
        <n v="584192"/>
        <n v="637340"/>
        <n v="499728"/>
        <n v="404480"/>
        <n v="1108456"/>
        <n v="670680"/>
        <n v="565630"/>
        <n v="551599"/>
        <n v="608113"/>
        <n v="226200"/>
        <n v="480867"/>
        <n v="152496"/>
        <n v="730710"/>
        <n v="228480"/>
        <n v="624140"/>
        <n v="324144"/>
        <n v="1308671"/>
        <n v="870770"/>
        <n v="176526"/>
        <n v="314880"/>
        <n v="622544"/>
        <n v="970494"/>
        <n v="369400"/>
        <n v="157230"/>
        <n v="564925"/>
        <n v="591040"/>
        <n v="524160"/>
        <n v="124246"/>
        <n v="798745"/>
        <n v="365088"/>
        <n v="591136"/>
        <n v="1012752"/>
        <n v="376805"/>
        <n v="1784424"/>
        <n v="220179"/>
        <n v="726320"/>
        <n v="367972"/>
        <n v="424908"/>
        <n v="961555"/>
        <n v="417984"/>
        <n v="1229800"/>
        <n v="251910"/>
        <n v="1017738"/>
        <n v="541650"/>
        <n v="698625"/>
        <n v="638394"/>
        <n v="815732"/>
        <n v="567356"/>
        <n v="929754"/>
        <n v="250332"/>
        <n v="1958976"/>
        <n v="503624"/>
        <n v="556686"/>
        <n v="440019"/>
        <n v="1084149"/>
        <n v="878242"/>
        <n v="540432"/>
        <n v="909672"/>
        <n v="2392302"/>
        <n v="427900"/>
        <n v="257125"/>
        <n v="657776"/>
        <n v="223230"/>
        <n v="587412"/>
        <n v="460175"/>
        <n v="425360"/>
        <n v="324765"/>
        <n v="560526"/>
        <n v="208975"/>
        <n v="951514"/>
        <n v="806000"/>
        <n v="1113810"/>
        <n v="818586"/>
        <n v="765975"/>
        <n v="619245"/>
        <n v="709365"/>
        <n v="587334"/>
        <n v="801090"/>
        <n v="320920"/>
        <m/>
      </sharedItems>
    </cacheField>
    <cacheField name="OperationalCost" numFmtId="0">
      <sharedItems containsString="0" containsBlank="1" containsNumber="1" containsInteger="1" minValue="15673" maxValue="112358" count="989">
        <n v="34654"/>
        <n v="73890"/>
        <n v="30816"/>
        <n v="78087"/>
        <n v="24419"/>
        <n v="44281"/>
        <n v="70632"/>
        <n v="47360"/>
        <n v="80644"/>
        <n v="61777"/>
        <n v="34932"/>
        <n v="58730"/>
        <n v="39041"/>
        <n v="54135"/>
        <n v="59985"/>
        <n v="24097"/>
        <n v="56840"/>
        <n v="56470"/>
        <n v="57676"/>
        <n v="26728"/>
        <n v="28075"/>
        <n v="95358"/>
        <n v="65787"/>
        <n v="59857"/>
        <n v="62563"/>
        <n v="46758"/>
        <n v="48657"/>
        <n v="69675"/>
        <n v="76588"/>
        <n v="31160"/>
        <n v="44356"/>
        <n v="41481"/>
        <n v="41421"/>
        <n v="48050"/>
        <n v="87109"/>
        <n v="63582"/>
        <n v="49757"/>
        <n v="33248"/>
        <n v="43505"/>
        <n v="33284"/>
        <n v="51185"/>
        <n v="44832"/>
        <n v="41402"/>
        <n v="56349"/>
        <n v="66893"/>
        <n v="67252"/>
        <n v="71798"/>
        <n v="63114"/>
        <n v="52854"/>
        <n v="76066"/>
        <n v="56506"/>
        <n v="87133"/>
        <n v="36588"/>
        <n v="54973"/>
        <n v="37338"/>
        <n v="100363"/>
        <n v="75510"/>
        <n v="59165"/>
        <n v="52389"/>
        <n v="47571"/>
        <n v="63873"/>
        <n v="58464"/>
        <n v="60741"/>
        <n v="47124"/>
        <n v="51200"/>
        <n v="23723"/>
        <n v="31491"/>
        <n v="62140"/>
        <n v="93072"/>
        <n v="32660"/>
        <n v="72348"/>
        <n v="79185"/>
        <n v="44126"/>
        <n v="73961"/>
        <n v="48244"/>
        <n v="70571"/>
        <n v="44838"/>
        <n v="64804"/>
        <n v="32800"/>
        <n v="48480"/>
        <n v="39248"/>
        <n v="35622"/>
        <n v="62442"/>
        <n v="52466"/>
        <n v="64848"/>
        <n v="69360"/>
        <n v="66744"/>
        <n v="57710"/>
        <n v="65093"/>
        <n v="30194"/>
        <n v="44940"/>
        <n v="29330"/>
        <n v="77739"/>
        <n v="88407"/>
        <n v="48917"/>
        <n v="63988"/>
        <n v="48174"/>
        <n v="52720"/>
        <n v="41179"/>
        <n v="53465"/>
        <n v="66346"/>
        <n v="54870"/>
        <n v="35434"/>
        <n v="53012"/>
        <n v="71727"/>
        <n v="45846"/>
        <n v="37098"/>
        <n v="60224"/>
        <n v="29337"/>
        <n v="41683"/>
        <n v="49938"/>
        <n v="61917"/>
        <n v="52922"/>
        <n v="44422"/>
        <n v="67413"/>
        <n v="20387"/>
        <n v="71896"/>
        <n v="32844"/>
        <n v="54800"/>
        <n v="32283"/>
        <n v="24576"/>
        <n v="42422"/>
        <n v="73601"/>
        <n v="28644"/>
        <n v="87762"/>
        <n v="49771"/>
        <n v="67529"/>
        <n v="41712"/>
        <n v="51967"/>
        <n v="63928"/>
        <n v="54644"/>
        <n v="56094"/>
        <n v="60765"/>
        <n v="29986"/>
        <n v="67517"/>
        <n v="94218"/>
        <n v="68070"/>
        <n v="70040"/>
        <n v="31272"/>
        <n v="43932"/>
        <n v="60845"/>
        <n v="63305"/>
        <n v="44856"/>
        <n v="32828"/>
        <n v="46798"/>
        <n v="62402"/>
        <n v="66636"/>
        <n v="74870"/>
        <n v="40018"/>
        <n v="29015"/>
        <n v="52767"/>
        <n v="70542"/>
        <n v="70124"/>
        <n v="51840"/>
        <n v="59635"/>
        <n v="55176"/>
        <n v="72987"/>
        <n v="52847"/>
        <n v="44138"/>
        <n v="53604"/>
        <n v="62364"/>
        <n v="74011"/>
        <n v="70328"/>
        <n v="66236"/>
        <n v="88620"/>
        <n v="76320"/>
        <n v="43176"/>
        <n v="77552"/>
        <n v="69326"/>
        <n v="49083"/>
        <n v="87788"/>
        <n v="72399"/>
        <n v="42354"/>
        <n v="51168"/>
        <n v="40667"/>
        <n v="57666"/>
        <n v="32804"/>
        <n v="45075"/>
        <n v="80977"/>
        <n v="51841"/>
        <n v="40944"/>
        <n v="71789"/>
        <n v="57902"/>
        <n v="18340"/>
        <n v="73909"/>
        <n v="38465"/>
        <n v="37193"/>
        <n v="49954"/>
        <n v="67957"/>
        <n v="50952"/>
        <n v="55110"/>
        <n v="61887"/>
        <n v="41604"/>
        <n v="74244"/>
        <n v="52474"/>
        <n v="37860"/>
        <n v="52306"/>
        <n v="71994"/>
        <n v="80868"/>
        <n v="51345"/>
        <n v="37833"/>
        <n v="54392"/>
        <n v="47206"/>
        <n v="41262"/>
        <n v="83265"/>
        <n v="81181"/>
        <n v="75483"/>
        <n v="35045"/>
        <n v="39081"/>
        <n v="36504"/>
        <n v="90406"/>
        <n v="70795"/>
        <n v="41192"/>
        <n v="67371"/>
        <n v="61998"/>
        <n v="65680"/>
        <n v="77796"/>
        <n v="57525"/>
        <n v="72897"/>
        <n v="60324"/>
        <n v="59199"/>
        <n v="60654"/>
        <n v="69836"/>
        <n v="59640"/>
        <n v="64165"/>
        <n v="73355"/>
        <n v="42812"/>
        <n v="60345"/>
        <n v="96259"/>
        <n v="27860"/>
        <n v="59474"/>
        <n v="68916"/>
        <n v="42866"/>
        <n v="80685"/>
        <n v="46909"/>
        <n v="61120"/>
        <n v="55026"/>
        <n v="72166"/>
        <n v="52909"/>
        <n v="44034"/>
        <n v="85072"/>
        <n v="43880"/>
        <n v="54614"/>
        <n v="59549"/>
        <n v="29685"/>
        <n v="38161"/>
        <n v="52446"/>
        <n v="57878"/>
        <n v="59136"/>
        <n v="42528"/>
        <n v="37088"/>
        <n v="64284"/>
        <n v="48768"/>
        <n v="54362"/>
        <n v="92140"/>
        <n v="70266"/>
        <n v="46436"/>
        <n v="48456"/>
        <n v="42300"/>
        <n v="51234"/>
        <n v="47625"/>
        <n v="58192"/>
        <n v="65496"/>
        <n v="44041"/>
        <n v="43786"/>
        <n v="74385"/>
        <n v="20608"/>
        <n v="36877"/>
        <n v="48948"/>
        <n v="35196"/>
        <n v="42294"/>
        <n v="71562"/>
        <n v="61468"/>
        <n v="75733"/>
        <n v="21679"/>
        <n v="59147"/>
        <n v="73151"/>
        <n v="69863"/>
        <n v="81597"/>
        <n v="77998"/>
        <n v="34656"/>
        <n v="47917"/>
        <n v="55534"/>
        <n v="32119"/>
        <n v="34122"/>
        <n v="57200"/>
        <n v="80412"/>
        <n v="49746"/>
        <n v="49244"/>
        <n v="59430"/>
        <n v="47664"/>
        <n v="54126"/>
        <n v="70252"/>
        <n v="58561"/>
        <n v="84154"/>
        <n v="81664"/>
        <n v="75148"/>
        <n v="59870"/>
        <n v="39549"/>
        <n v="72301"/>
        <n v="25558"/>
        <n v="65674"/>
        <n v="88381"/>
        <n v="73007"/>
        <n v="75583"/>
        <n v="63730"/>
        <n v="55010"/>
        <n v="45249"/>
        <n v="49358"/>
        <n v="48964"/>
        <n v="80316"/>
        <n v="53172"/>
        <n v="68272"/>
        <n v="39190"/>
        <n v="27366"/>
        <n v="61640"/>
        <n v="66678"/>
        <n v="67108"/>
        <n v="35518"/>
        <n v="72708"/>
        <n v="92809"/>
        <n v="56446"/>
        <n v="76136"/>
        <n v="57380"/>
        <n v="67912"/>
        <n v="53397"/>
        <n v="39201"/>
        <n v="44160"/>
        <n v="45578"/>
        <n v="46030"/>
        <n v="51091"/>
        <n v="52962"/>
        <n v="75862"/>
        <n v="66695"/>
        <n v="50632"/>
        <n v="38532"/>
        <n v="40128"/>
        <n v="79135"/>
        <n v="64468"/>
        <n v="56687"/>
        <n v="42367"/>
        <n v="63389"/>
        <n v="33385"/>
        <n v="62429"/>
        <n v="17529"/>
        <n v="58413"/>
        <n v="55153"/>
        <n v="25195"/>
        <n v="55033"/>
        <n v="54106"/>
        <n v="52596"/>
        <n v="43332"/>
        <n v="74636"/>
        <n v="72796"/>
        <n v="66200"/>
        <n v="40189"/>
        <n v="66770"/>
        <n v="63785"/>
        <n v="43841"/>
        <n v="53743"/>
        <n v="36285"/>
        <n v="38075"/>
        <n v="32228"/>
        <n v="73766"/>
        <n v="45193"/>
        <n v="43465"/>
        <n v="35445"/>
        <n v="68897"/>
        <n v="63835"/>
        <n v="27196"/>
        <n v="48752"/>
        <n v="86656"/>
        <n v="34417"/>
        <n v="51269"/>
        <n v="54480"/>
        <n v="79965"/>
        <n v="97563"/>
        <n v="50390"/>
        <n v="48823"/>
        <n v="52358"/>
        <n v="27658"/>
        <n v="66330"/>
        <n v="53585"/>
        <n v="27078"/>
        <n v="69072"/>
        <n v="37456"/>
        <n v="41064"/>
        <n v="37038"/>
        <n v="34182"/>
        <n v="53534"/>
        <n v="33895"/>
        <n v="32870"/>
        <n v="58503"/>
        <n v="68438"/>
        <n v="52990"/>
        <n v="77234"/>
        <n v="70119"/>
        <n v="44442"/>
        <n v="49936"/>
        <n v="42794"/>
        <n v="70076"/>
        <n v="72695"/>
        <n v="71112"/>
        <n v="49052"/>
        <n v="29912"/>
        <n v="58179"/>
        <n v="60493"/>
        <n v="28350"/>
        <n v="37332"/>
        <n v="69126"/>
        <n v="54940"/>
        <n v="66635"/>
        <n v="88699"/>
        <n v="49464"/>
        <n v="37648"/>
        <n v="82718"/>
        <n v="59824"/>
        <n v="68590"/>
        <n v="45662"/>
        <n v="57792"/>
        <n v="50922"/>
        <n v="46375"/>
        <n v="50815"/>
        <n v="48021"/>
        <n v="45108"/>
        <n v="79388"/>
        <n v="49305"/>
        <n v="66516"/>
        <n v="49337"/>
        <n v="97786"/>
        <n v="31290"/>
        <n v="55516"/>
        <n v="75990"/>
        <n v="39024"/>
        <n v="51566"/>
        <n v="32047"/>
        <n v="36029"/>
        <n v="33310"/>
        <n v="61068"/>
        <n v="53816"/>
        <n v="60406"/>
        <n v="83276"/>
        <n v="48756"/>
        <n v="65969"/>
        <n v="69495"/>
        <n v="63072"/>
        <n v="52721"/>
        <n v="43644"/>
        <n v="23461"/>
        <n v="48005"/>
        <n v="59462"/>
        <n v="46032"/>
        <n v="36604"/>
        <n v="36325"/>
        <n v="71887"/>
        <n v="86505"/>
        <n v="76890"/>
        <n v="50216"/>
        <n v="74421"/>
        <n v="78094"/>
        <n v="74702"/>
        <n v="75009"/>
        <n v="28618"/>
        <n v="50248"/>
        <n v="95887"/>
        <n v="55425"/>
        <n v="69083"/>
        <n v="24084"/>
        <n v="44937"/>
        <n v="49873"/>
        <n v="76966"/>
        <n v="55566"/>
        <n v="51130"/>
        <n v="37390"/>
        <n v="73690"/>
        <n v="35824"/>
        <n v="83599"/>
        <n v="45560"/>
        <n v="34799"/>
        <n v="70919"/>
        <n v="42475"/>
        <n v="60463"/>
        <n v="35862"/>
        <n v="59570"/>
        <n v="45422"/>
        <n v="47880"/>
        <n v="50418"/>
        <n v="75540"/>
        <n v="53642"/>
        <n v="76334"/>
        <n v="34573"/>
        <n v="28714"/>
        <n v="61083"/>
        <n v="76319"/>
        <n v="60325"/>
        <n v="37018"/>
        <n v="91432"/>
        <n v="70033"/>
        <n v="76896"/>
        <n v="53350"/>
        <n v="25640"/>
        <n v="55635"/>
        <n v="45276"/>
        <n v="37364"/>
        <n v="75300"/>
        <n v="89969"/>
        <n v="82052"/>
        <n v="46050"/>
        <n v="75120"/>
        <n v="92785"/>
        <n v="67060"/>
        <n v="59904"/>
        <n v="23749"/>
        <n v="49135"/>
        <n v="54896"/>
        <n v="63150"/>
        <n v="51068"/>
        <n v="56229"/>
        <n v="54264"/>
        <n v="59552"/>
        <n v="50638"/>
        <n v="65764"/>
        <n v="36056"/>
        <n v="40344"/>
        <n v="69501"/>
        <n v="69328"/>
        <n v="56258"/>
        <n v="58002"/>
        <n v="52298"/>
        <n v="42778"/>
        <n v="28370"/>
        <n v="62908"/>
        <n v="41191"/>
        <n v="76648"/>
        <n v="34096"/>
        <n v="44659"/>
        <n v="44715"/>
        <n v="46980"/>
        <n v="63113"/>
        <n v="73480"/>
        <n v="20520"/>
        <n v="49193"/>
        <n v="36277"/>
        <n v="54300"/>
        <n v="84318"/>
        <n v="51844"/>
        <n v="86307"/>
        <n v="41276"/>
        <n v="46702"/>
        <n v="57552"/>
        <n v="49941"/>
        <n v="67724"/>
        <n v="91680"/>
        <n v="55408"/>
        <n v="36086"/>
        <n v="80398"/>
        <n v="64093"/>
        <n v="68006"/>
        <n v="41072"/>
        <n v="29591"/>
        <n v="18142"/>
        <n v="62632"/>
        <n v="35580"/>
        <n v="20488"/>
        <n v="58876"/>
        <n v="34061"/>
        <n v="74367"/>
        <n v="64488"/>
        <n v="48955"/>
        <n v="30653"/>
        <n v="46528"/>
        <n v="59001"/>
        <n v="34027"/>
        <n v="64944"/>
        <n v="25546"/>
        <n v="74982"/>
        <n v="33395"/>
        <n v="64440"/>
        <n v="57646"/>
        <n v="58284"/>
        <n v="73752"/>
        <n v="66455"/>
        <n v="99399"/>
        <n v="46848"/>
        <n v="65151"/>
        <n v="57865"/>
        <n v="45684"/>
        <n v="57861"/>
        <n v="37951"/>
        <n v="41705"/>
        <n v="60740"/>
        <n v="67847"/>
        <n v="40143"/>
        <n v="65770"/>
        <n v="32129"/>
        <n v="53965"/>
        <n v="63246"/>
        <n v="65124"/>
        <n v="36965"/>
        <n v="66640"/>
        <n v="40772"/>
        <n v="72088"/>
        <n v="38502"/>
        <n v="68972"/>
        <n v="37895"/>
        <n v="29320"/>
        <n v="55940"/>
        <n v="45282"/>
        <n v="54221"/>
        <n v="46920"/>
        <n v="49697"/>
        <n v="45244"/>
        <n v="45297"/>
        <n v="46125"/>
        <n v="46136"/>
        <n v="53220"/>
        <n v="18891"/>
        <n v="65586"/>
        <n v="95926"/>
        <n v="58506"/>
        <n v="48250"/>
        <n v="56492"/>
        <n v="86402"/>
        <n v="44373"/>
        <n v="57795"/>
        <n v="92816"/>
        <n v="31494"/>
        <n v="50809"/>
        <n v="75267"/>
        <n v="42400"/>
        <n v="55699"/>
        <n v="38862"/>
        <n v="41420"/>
        <n v="38044"/>
        <n v="55274"/>
        <n v="80723"/>
        <n v="91179"/>
        <n v="74514"/>
        <n v="45241"/>
        <n v="59396"/>
        <n v="47031"/>
        <n v="34157"/>
        <n v="54562"/>
        <n v="56472"/>
        <n v="31500"/>
        <n v="50560"/>
        <n v="40165"/>
        <n v="38025"/>
        <n v="50751"/>
        <n v="50243"/>
        <n v="25549"/>
        <n v="52851"/>
        <n v="50438"/>
        <n v="86601"/>
        <n v="45522"/>
        <n v="55612"/>
        <n v="47629"/>
        <n v="70325"/>
        <n v="50421"/>
        <n v="65636"/>
        <n v="46464"/>
        <n v="29812"/>
        <n v="59220"/>
        <n v="108648"/>
        <n v="36248"/>
        <n v="68334"/>
        <n v="69753"/>
        <n v="75117"/>
        <n v="41373"/>
        <n v="51115"/>
        <n v="55816"/>
        <n v="40491"/>
        <n v="20408"/>
        <n v="89214"/>
        <n v="60264"/>
        <n v="68175"/>
        <n v="54773"/>
        <n v="91239"/>
        <n v="57154"/>
        <n v="73503"/>
        <n v="81462"/>
        <n v="46967"/>
        <n v="41374"/>
        <n v="46606"/>
        <n v="57876"/>
        <n v="42287"/>
        <n v="70211"/>
        <n v="50740"/>
        <n v="60849"/>
        <n v="80290"/>
        <n v="25433"/>
        <n v="44618"/>
        <n v="53880"/>
        <n v="62295"/>
        <n v="43463"/>
        <n v="40080"/>
        <n v="56426"/>
        <n v="44686"/>
        <n v="33542"/>
        <n v="75439"/>
        <n v="43383"/>
        <n v="83799"/>
        <n v="52608"/>
        <n v="71376"/>
        <n v="41342"/>
        <n v="40070"/>
        <n v="82809"/>
        <n v="97570"/>
        <n v="83544"/>
        <n v="37862"/>
        <n v="57299"/>
        <n v="34303"/>
        <n v="48947"/>
        <n v="41464"/>
        <n v="78024"/>
        <n v="44826"/>
        <n v="68380"/>
        <n v="47394"/>
        <n v="50253"/>
        <n v="36866"/>
        <n v="38890"/>
        <n v="30350"/>
        <n v="35561"/>
        <n v="59958"/>
        <n v="33722"/>
        <n v="60488"/>
        <n v="57990"/>
        <n v="57737"/>
        <n v="24990"/>
        <n v="71352"/>
        <n v="60915"/>
        <n v="67650"/>
        <n v="95814"/>
        <n v="81154"/>
        <n v="51413"/>
        <n v="42232"/>
        <n v="36964"/>
        <n v="81168"/>
        <n v="37426"/>
        <n v="32176"/>
        <n v="56379"/>
        <n v="49141"/>
        <n v="79709"/>
        <n v="38729"/>
        <n v="63153"/>
        <n v="46731"/>
        <n v="43458"/>
        <n v="50668"/>
        <n v="52797"/>
        <n v="46780"/>
        <n v="71958"/>
        <n v="36268"/>
        <n v="49810"/>
        <n v="67379"/>
        <n v="55268"/>
        <n v="70279"/>
        <n v="70402"/>
        <n v="81062"/>
        <n v="51541"/>
        <n v="49175"/>
        <n v="49062"/>
        <n v="59888"/>
        <n v="63135"/>
        <n v="30720"/>
        <n v="58686"/>
        <n v="68323"/>
        <n v="42122"/>
        <n v="44065"/>
        <n v="50043"/>
        <n v="27454"/>
        <n v="42204"/>
        <n v="33596"/>
        <n v="41344"/>
        <n v="28392"/>
        <n v="24782"/>
        <n v="58341"/>
        <n v="71295"/>
        <n v="43405"/>
        <n v="54804"/>
        <n v="64276"/>
        <n v="49236"/>
        <n v="55399"/>
        <n v="66231"/>
        <n v="36600"/>
        <n v="63910"/>
        <n v="65591"/>
        <n v="43510"/>
        <n v="29376"/>
        <n v="67895"/>
        <n v="78986"/>
        <n v="65904"/>
        <n v="49980"/>
        <n v="96187"/>
        <n v="76150"/>
        <n v="33660"/>
        <n v="59178"/>
        <n v="29108"/>
        <n v="58319"/>
        <n v="55090"/>
        <n v="66432"/>
        <n v="27792"/>
        <n v="59702"/>
        <n v="68850"/>
        <n v="69108"/>
        <n v="62404"/>
        <n v="91453"/>
        <n v="44496"/>
        <n v="38560"/>
        <n v="36464"/>
        <n v="38490"/>
        <n v="37435"/>
        <n v="46751"/>
        <n v="63572"/>
        <n v="42632"/>
        <n v="48665"/>
        <n v="55333"/>
        <n v="61738"/>
        <n v="59288"/>
        <n v="47971"/>
        <n v="46470"/>
        <n v="40132"/>
        <n v="61260"/>
        <n v="32208"/>
        <n v="71012"/>
        <n v="69004"/>
        <n v="72135"/>
        <n v="47767"/>
        <n v="32423"/>
        <n v="51579"/>
        <n v="50935"/>
        <n v="44397"/>
        <n v="27801"/>
        <n v="30140"/>
        <n v="69078"/>
        <n v="52845"/>
        <n v="48392"/>
        <n v="42824"/>
        <n v="44614"/>
        <n v="38608"/>
        <n v="35782"/>
        <n v="54740"/>
        <n v="78450"/>
        <n v="31170"/>
        <n v="44096"/>
        <n v="49400"/>
        <n v="23464"/>
        <n v="57006"/>
        <n v="39888"/>
        <n v="68813"/>
        <n v="46536"/>
        <n v="61056"/>
        <n v="50449"/>
        <n v="22688"/>
        <n v="23450"/>
        <n v="49930"/>
        <n v="43058"/>
        <n v="30996"/>
        <n v="78922"/>
        <n v="38646"/>
        <n v="48810"/>
        <n v="40869"/>
        <n v="66160"/>
        <n v="58208"/>
        <n v="45408"/>
        <n v="93966"/>
        <n v="60996"/>
        <n v="92370"/>
        <n v="79094"/>
        <n v="63516"/>
        <n v="53086"/>
        <n v="37420"/>
        <n v="54729"/>
        <n v="52392"/>
        <n v="29424"/>
        <n v="51333"/>
        <n v="52015"/>
        <n v="33298"/>
        <n v="36806"/>
        <n v="56700"/>
        <n v="29496"/>
        <n v="81334"/>
        <n v="95683"/>
        <n v="97394"/>
        <n v="54123"/>
        <n v="65138"/>
        <n v="70148"/>
        <n v="49506"/>
        <n v="104108"/>
        <n v="72144"/>
        <n v="39588"/>
        <n v="46364"/>
        <n v="71899"/>
        <n v="64623"/>
        <n v="75048"/>
        <n v="103856"/>
        <n v="42650"/>
        <n v="46799"/>
        <n v="58955"/>
        <n v="60832"/>
        <n v="54192"/>
        <n v="60372"/>
        <n v="112358"/>
        <n v="69214"/>
        <n v="36502"/>
        <n v="57265"/>
        <n v="49050"/>
        <n v="25110"/>
        <n v="35660"/>
        <n v="26286"/>
        <n v="63874"/>
        <n v="52717"/>
        <n v="63836"/>
        <n v="32034"/>
        <n v="64306"/>
        <n v="67406"/>
        <n v="31988"/>
        <n v="92949"/>
        <n v="32602"/>
        <n v="72101"/>
        <n v="55220"/>
        <n v="30266"/>
        <n v="54674"/>
        <n v="85938"/>
        <n v="75136"/>
        <n v="63543"/>
        <n v="110030"/>
        <n v="56582"/>
        <n v="41314"/>
        <n v="22470"/>
        <n v="41568"/>
        <n v="44950"/>
        <n v="64148"/>
        <n v="38128"/>
        <n v="17064"/>
        <n v="61556"/>
        <n v="56292"/>
        <n v="62449"/>
        <n v="50841"/>
        <n v="37755"/>
        <n v="63644"/>
        <n v="41001"/>
        <n v="84018"/>
        <n v="44790"/>
        <n v="42836"/>
        <n v="21826"/>
        <n v="48409"/>
        <n v="32632"/>
        <n v="40244"/>
        <n v="66701"/>
        <n v="33205"/>
        <n v="71346"/>
        <n v="36512"/>
        <n v="67936"/>
        <n v="68303"/>
        <n v="63173"/>
        <n v="56596"/>
        <n v="32102"/>
        <n v="71704"/>
        <n v="52571"/>
        <n v="38544"/>
        <n v="39555"/>
        <n v="48826"/>
        <n v="74674"/>
        <n v="70021"/>
        <n v="34074"/>
        <n v="61999"/>
        <n v="55745"/>
        <n v="56535"/>
        <n v="63474"/>
        <n v="75422"/>
        <n v="42877"/>
        <n v="49347"/>
        <n v="40446"/>
        <n v="60110"/>
        <n v="34678"/>
        <n v="62135"/>
        <n v="89318"/>
        <n v="27751"/>
        <n v="69990"/>
        <n v="55158"/>
        <n v="35574"/>
        <n v="47188"/>
        <n v="62705"/>
        <n v="33235"/>
        <n v="35966"/>
        <n v="98082"/>
        <n v="37468"/>
        <n v="15673"/>
        <m/>
      </sharedItems>
    </cacheField>
    <cacheField name="Profit" numFmtId="0">
      <sharedItems containsSemiMixedTypes="0" containsString="0" containsNumber="1" containsInteger="1" minValue="61797" maxValue="2335767" count="1000">
        <n v="566606"/>
        <n v="270482"/>
        <n v="130710"/>
        <n v="361764"/>
        <n v="539684"/>
        <n v="366595"/>
        <n v="679559"/>
        <n v="792252"/>
        <n v="290032"/>
        <n v="1232873"/>
        <n v="1142531"/>
        <n v="627242"/>
        <n v="501398"/>
        <n v="832843"/>
        <n v="865310"/>
        <n v="645017"/>
        <n v="1121679"/>
        <n v="280600"/>
        <n v="1009020"/>
        <n v="1644608"/>
        <n v="571856"/>
        <n v="432653"/>
        <n v="948083"/>
        <n v="802303"/>
        <n v="250288"/>
        <n v="322142"/>
        <n v="513978"/>
        <n v="174423"/>
        <n v="373594"/>
        <n v="366785"/>
        <n v="250654"/>
        <n v="259241"/>
        <n v="438089"/>
        <n v="767535"/>
        <n v="503254"/>
        <n v="399503"/>
        <n v="486416"/>
        <n v="1041553"/>
        <n v="342483"/>
        <n v="332651"/>
        <n v="455431"/>
        <n v="310155"/>
        <n v="211428"/>
        <n v="861658"/>
        <n v="854715"/>
        <n v="267589"/>
        <n v="540707"/>
        <n v="942058"/>
        <n v="723854"/>
        <n v="435322"/>
        <n v="375602"/>
        <n v="1019954"/>
        <n v="236615"/>
        <n v="332712"/>
        <n v="446561"/>
        <n v="567526"/>
        <n v="1377653"/>
        <n v="970120"/>
        <n v="302659"/>
        <n v="318603"/>
        <n v="1433037"/>
        <n v="1349145"/>
        <n v="563226"/>
        <n v="393768"/>
        <n v="724158"/>
        <n v="718590"/>
        <n v="224399"/>
        <n v="282501"/>
        <n v="204796"/>
        <n v="243978"/>
        <n v="1026820"/>
        <n v="271441"/>
        <n v="432390"/>
        <n v="484156"/>
        <n v="300259"/>
        <n v="478706"/>
        <n v="1100963"/>
        <n v="545388"/>
        <n v="1017794"/>
        <n v="453530"/>
        <n v="1416060"/>
        <n v="173770"/>
        <n v="807738"/>
        <n v="148041"/>
        <n v="626512"/>
        <n v="839914"/>
        <n v="321072"/>
        <n v="307546"/>
        <n v="288166"/>
        <n v="623827"/>
        <n v="140179"/>
        <n v="1128186"/>
        <n v="491930"/>
        <n v="233436"/>
        <n v="518976"/>
        <n v="477708"/>
        <n v="423611"/>
        <n v="646555"/>
        <n v="459065"/>
        <n v="222041"/>
        <n v="489775"/>
        <n v="1602122"/>
        <n v="214712"/>
        <n v="1174596"/>
        <n v="1301548"/>
        <n v="1311888"/>
        <n v="1470503"/>
        <n v="257177"/>
        <n v="993032"/>
        <n v="245283"/>
        <n v="286505"/>
        <n v="1657002"/>
        <n v="437015"/>
        <n v="1241493"/>
        <n v="685580"/>
        <n v="762798"/>
        <n v="809377"/>
        <n v="525344"/>
        <n v="586005"/>
        <n v="1434401"/>
        <n v="225294"/>
        <n v="607720"/>
        <n v="482968"/>
        <n v="734879"/>
        <n v="424762"/>
        <n v="651795"/>
        <n v="331946"/>
        <n v="1649551"/>
        <n v="305866"/>
        <n v="509567"/>
        <n v="493304"/>
        <n v="281832"/>
        <n v="632986"/>
        <n v="482428"/>
        <n v="663471"/>
        <n v="1341343"/>
        <n v="190092"/>
        <n v="1183110"/>
        <n v="739960"/>
        <n v="717363"/>
        <n v="1181838"/>
        <n v="412445"/>
        <n v="558327"/>
        <n v="124662"/>
        <n v="298412"/>
        <n v="1214462"/>
        <n v="186469"/>
        <n v="1353969"/>
        <n v="1244602"/>
        <n v="193942"/>
        <n v="649390"/>
        <n v="1698955"/>
        <n v="1006687"/>
        <n v="542194"/>
        <n v="1519128"/>
        <n v="262656"/>
        <n v="200012"/>
        <n v="1799112"/>
        <n v="507387"/>
        <n v="387083"/>
        <n v="809615"/>
        <n v="780048"/>
        <n v="201480"/>
        <n v="546647"/>
        <n v="176600"/>
        <n v="174614"/>
        <n v="873861"/>
        <n v="293016"/>
        <n v="243990"/>
        <n v="205915"/>
        <n v="239314"/>
        <n v="644061"/>
        <n v="892884"/>
        <n v="404759"/>
        <n v="687360"/>
        <n v="171384"/>
        <n v="291336"/>
        <n v="706209"/>
        <n v="976634"/>
        <n v="508978"/>
        <n v="409075"/>
        <n v="501959"/>
        <n v="611984"/>
        <n v="433051"/>
        <n v="618466"/>
        <n v="318176"/>
        <n v="996741"/>
        <n v="430630"/>
        <n v="1437745"/>
        <n v="842676"/>
        <n v="733347"/>
        <n v="351868"/>
        <n v="117738"/>
        <n v="770082"/>
        <n v="827514"/>
        <n v="400916"/>
        <n v="125750"/>
        <n v="815790"/>
        <n v="195994"/>
        <n v="765312"/>
        <n v="1254292"/>
        <n v="1349423"/>
        <n v="478603"/>
        <n v="703826"/>
        <n v="629036"/>
        <n v="1683636"/>
        <n v="970460"/>
        <n v="576531"/>
        <n v="818181"/>
        <n v="1049969"/>
        <n v="407112"/>
        <n v="928845"/>
        <n v="1644902"/>
        <n v="537629"/>
        <n v="1234917"/>
        <n v="363682"/>
        <n v="370623"/>
        <n v="130352"/>
        <n v="1190601"/>
        <n v="1660239"/>
        <n v="593283"/>
        <n v="216876"/>
        <n v="1222340"/>
        <n v="437382"/>
        <n v="652834"/>
        <n v="711834"/>
        <n v="1362843"/>
        <n v="663740"/>
        <n v="720295"/>
        <n v="281728"/>
        <n v="1215827"/>
        <n v="140242"/>
        <n v="1313449"/>
        <n v="596272"/>
        <n v="194116"/>
        <n v="252654"/>
        <n v="699183"/>
        <n v="535841"/>
        <n v="1284992"/>
        <n v="215854"/>
        <n v="212804"/>
        <n v="495611"/>
        <n v="274750"/>
        <n v="990734"/>
        <n v="285808"/>
        <n v="838411"/>
        <n v="262060"/>
        <n v="403800"/>
        <n v="219877"/>
        <n v="1130964"/>
        <n v="315334"/>
        <n v="124672"/>
        <n v="758230"/>
        <n v="286092"/>
        <n v="344766"/>
        <n v="774954"/>
        <n v="836038"/>
        <n v="450348"/>
        <n v="507948"/>
        <n v="294520"/>
        <n v="371376"/>
        <n v="275008"/>
        <n v="932396"/>
        <n v="549075"/>
        <n v="1669324"/>
        <n v="639692"/>
        <n v="603599"/>
        <n v="997694"/>
        <n v="750807"/>
        <n v="202334"/>
        <n v="385913"/>
        <n v="403200"/>
        <n v="742080"/>
        <n v="352786"/>
        <n v="1411062"/>
        <n v="349832"/>
        <n v="458717"/>
        <n v="1130801"/>
        <n v="161333"/>
        <n v="1117033"/>
        <n v="362649"/>
        <n v="285558"/>
        <n v="448587"/>
        <n v="275394"/>
        <n v="254083"/>
        <n v="1734716"/>
        <n v="460226"/>
        <n v="1213059"/>
        <n v="215072"/>
        <n v="390468"/>
        <n v="309574"/>
        <n v="555490"/>
        <n v="1353466"/>
        <n v="1114398"/>
        <n v="846393"/>
        <n v="291548"/>
        <n v="1522096"/>
        <n v="500309"/>
        <n v="1772971"/>
        <n v="1927276"/>
        <n v="2251114"/>
        <n v="187038"/>
        <n v="337599"/>
        <n v="236193"/>
        <n v="987161"/>
        <n v="181023"/>
        <n v="191368"/>
        <n v="393479"/>
        <n v="502070"/>
        <n v="334592"/>
        <n v="885471"/>
        <n v="1044932"/>
        <n v="395282"/>
        <n v="1439748"/>
        <n v="180523"/>
        <n v="1888148"/>
        <n v="739478"/>
        <n v="302334"/>
        <n v="330402"/>
        <n v="580888"/>
        <n v="252224"/>
        <n v="1090166"/>
        <n v="164767"/>
        <n v="68231"/>
        <n v="940424"/>
        <n v="1257348"/>
        <n v="446332"/>
        <n v="351428"/>
        <n v="434428"/>
        <n v="342175"/>
        <n v="228815"/>
        <n v="305540"/>
        <n v="810114"/>
        <n v="845725"/>
        <n v="666326"/>
        <n v="332659"/>
        <n v="323615"/>
        <n v="146249"/>
        <n v="819696"/>
        <n v="347732"/>
        <n v="824145"/>
        <n v="399672"/>
        <n v="249048"/>
        <n v="629758"/>
        <n v="1097095"/>
        <n v="1174553"/>
        <n v="439766"/>
        <n v="567615"/>
        <n v="365283"/>
        <n v="224271"/>
        <n v="319517"/>
        <n v="355247"/>
        <n v="1162939"/>
        <n v="838479"/>
        <n v="549208"/>
        <n v="189628"/>
        <n v="590318"/>
        <n v="455552"/>
        <n v="205771"/>
        <n v="345206"/>
        <n v="164905"/>
        <n v="514269"/>
        <n v="338632"/>
        <n v="111940"/>
        <n v="1242525"/>
        <n v="705448"/>
        <n v="424395"/>
        <n v="433502"/>
        <n v="523373"/>
        <n v="1333395"/>
        <n v="1236295"/>
        <n v="133328"/>
        <n v="804786"/>
        <n v="837898"/>
        <n v="801696"/>
        <n v="119483"/>
        <n v="633131"/>
        <n v="1005920"/>
        <n v="440945"/>
        <n v="628271"/>
        <n v="528285"/>
        <n v="826194"/>
        <n v="597298"/>
        <n v="228652"/>
        <n v="694876"/>
        <n v="1222585"/>
        <n v="169817"/>
        <n v="1138372"/>
        <n v="327048"/>
        <n v="243906"/>
        <n v="343162"/>
        <n v="409959"/>
        <n v="528580"/>
        <n v="509529"/>
        <n v="333070"/>
        <n v="1598628"/>
        <n v="446410"/>
        <n v="311241"/>
        <n v="513406"/>
        <n v="793956"/>
        <n v="638972"/>
        <n v="1131760"/>
        <n v="647362"/>
        <n v="176221"/>
        <n v="350416"/>
        <n v="501336"/>
        <n v="588325"/>
        <n v="137343"/>
        <n v="580410"/>
        <n v="1092807"/>
        <n v="183682"/>
        <n v="1095375"/>
        <n v="289164"/>
        <n v="624842"/>
        <n v="1512595"/>
        <n v="359805"/>
        <n v="598061"/>
        <n v="483705"/>
        <n v="427151"/>
        <n v="569094"/>
        <n v="418859"/>
        <n v="788476"/>
        <n v="340298"/>
        <n v="278595"/>
        <n v="518004"/>
        <n v="677586"/>
        <n v="1489808"/>
        <n v="626892"/>
        <n v="154804"/>
        <n v="718308"/>
        <n v="1565789"/>
        <n v="142216"/>
        <n v="919094"/>
        <n v="407126"/>
        <n v="262724"/>
        <n v="316284"/>
        <n v="636300"/>
        <n v="465034"/>
        <n v="527535"/>
        <n v="730985"/>
        <n v="453948"/>
        <n v="192996"/>
        <n v="435748"/>
        <n v="191828"/>
        <n v="1978138"/>
        <n v="664644"/>
        <n v="806162"/>
        <n v="370829"/>
        <n v="476078"/>
        <n v="196579"/>
        <n v="1775220"/>
        <n v="395553"/>
        <n v="1181860"/>
        <n v="1388486"/>
        <n v="277648"/>
        <n v="491746"/>
        <n v="848438"/>
        <n v="289553"/>
        <n v="514823"/>
        <n v="158086"/>
        <n v="626134"/>
        <n v="1256679"/>
        <n v="655567"/>
        <n v="653146"/>
        <n v="179637"/>
        <n v="351446"/>
        <n v="351800"/>
        <n v="991113"/>
        <n v="88311"/>
        <n v="954439"/>
        <n v="443691"/>
        <n v="141687"/>
        <n v="544847"/>
        <n v="452186"/>
        <n v="462546"/>
        <n v="1831926"/>
        <n v="311720"/>
        <n v="557249"/>
        <n v="368321"/>
        <n v="635441"/>
        <n v="391093"/>
        <n v="803497"/>
        <n v="1103627"/>
        <n v="178946"/>
        <n v="518385"/>
        <n v="969227"/>
        <n v="185569"/>
        <n v="477208"/>
        <n v="234706"/>
        <n v="161094"/>
        <n v="322474"/>
        <n v="563948"/>
        <n v="381517"/>
        <n v="1471434"/>
        <n v="238628"/>
        <n v="894054"/>
        <n v="728517"/>
        <n v="490681"/>
        <n v="675425"/>
        <n v="605174"/>
        <n v="1077824"/>
        <n v="1339927"/>
        <n v="357229"/>
        <n v="1007246"/>
        <n v="485560"/>
        <n v="679995"/>
        <n v="246864"/>
        <n v="335492"/>
        <n v="494115"/>
        <n v="415833"/>
        <n v="412902"/>
        <n v="100813"/>
        <n v="238780"/>
        <n v="289975"/>
        <n v="816286"/>
        <n v="323523"/>
        <n v="493956"/>
        <n v="576435"/>
        <n v="1007244"/>
        <n v="882006"/>
        <n v="522816"/>
        <n v="392823"/>
        <n v="101636"/>
        <n v="480997"/>
        <n v="1032102"/>
        <n v="292256"/>
        <n v="138932"/>
        <n v="853220"/>
        <n v="553593"/>
        <n v="1179184"/>
        <n v="432354"/>
        <n v="704218"/>
        <n v="423317"/>
        <n v="310967"/>
        <n v="563273"/>
        <n v="373934"/>
        <n v="703364"/>
        <n v="463226"/>
        <n v="282344"/>
        <n v="679022"/>
        <n v="928120"/>
        <n v="478244"/>
        <n v="376897"/>
        <n v="1276792"/>
        <n v="414264"/>
        <n v="565029"/>
        <n v="320781"/>
        <n v="1556508"/>
        <n v="696795"/>
        <n v="475040"/>
        <n v="724893"/>
        <n v="504308"/>
        <n v="404386"/>
        <n v="224912"/>
        <n v="284859"/>
        <n v="1737880"/>
        <n v="1679504"/>
        <n v="441281"/>
        <n v="228962"/>
        <n v="226886"/>
        <n v="1010835"/>
        <n v="214109"/>
        <n v="1311439"/>
        <n v="755728"/>
        <n v="488553"/>
        <n v="196616"/>
        <n v="1300463"/>
        <n v="625562"/>
        <n v="847885"/>
        <n v="999331"/>
        <n v="633519"/>
        <n v="140555"/>
        <n v="2157288"/>
        <n v="457817"/>
        <n v="472963"/>
        <n v="489024"/>
        <n v="1088660"/>
        <n v="1309833"/>
        <n v="1256943"/>
        <n v="865722"/>
        <n v="488920"/>
        <n v="227053"/>
        <n v="1744224"/>
        <n v="179114"/>
        <n v="1189432"/>
        <n v="222061"/>
        <n v="637070"/>
        <n v="1212566"/>
        <n v="1310053"/>
        <n v="1206169"/>
        <n v="754765"/>
        <n v="114802"/>
        <n v="237021"/>
        <n v="243302"/>
        <n v="646095"/>
        <n v="414204"/>
        <n v="585357"/>
        <n v="614226"/>
        <n v="345286"/>
        <n v="1222271"/>
        <n v="900591"/>
        <n v="997370"/>
        <n v="197537"/>
        <n v="1026274"/>
        <n v="711167"/>
        <n v="228551"/>
        <n v="950471"/>
        <n v="1145958"/>
        <n v="257738"/>
        <n v="375508"/>
        <n v="915233"/>
        <n v="1805382"/>
        <n v="168140"/>
        <n v="492398"/>
        <n v="241129"/>
        <n v="669172"/>
        <n v="985195"/>
        <n v="243636"/>
        <n v="804507"/>
        <n v="249371"/>
        <n v="189588"/>
        <n v="885819"/>
        <n v="509328"/>
        <n v="1163922"/>
        <n v="972374"/>
        <n v="267744"/>
        <n v="329790"/>
        <n v="343882"/>
        <n v="283858"/>
        <n v="462210"/>
        <n v="138855"/>
        <n v="910508"/>
        <n v="260646"/>
        <n v="604391"/>
        <n v="659790"/>
        <n v="1395764"/>
        <n v="251294"/>
        <n v="1394604"/>
        <n v="1359948"/>
        <n v="719552"/>
        <n v="532390"/>
        <n v="464883"/>
        <n v="726055"/>
        <n v="1768628"/>
        <n v="79115"/>
        <n v="442512"/>
        <n v="314985"/>
        <n v="1029733"/>
        <n v="176914"/>
        <n v="484020"/>
        <n v="1146106"/>
        <n v="445170"/>
        <n v="619701"/>
        <n v="428049"/>
        <n v="392913"/>
        <n v="377610"/>
        <n v="280679"/>
        <n v="297491"/>
        <n v="437252"/>
        <n v="301743"/>
        <n v="495690"/>
        <n v="383504"/>
        <n v="785711"/>
        <n v="821027"/>
        <n v="956939"/>
        <n v="1029164"/>
        <n v="790620"/>
        <n v="666848"/>
        <n v="596472"/>
        <n v="1713999"/>
        <n v="608524"/>
        <n v="686444"/>
        <n v="184794"/>
        <n v="943593"/>
        <n v="763651"/>
        <n v="646613"/>
        <n v="333527"/>
        <n v="1263494"/>
        <n v="1191729"/>
        <n v="964402"/>
        <n v="765970"/>
        <n v="186110"/>
        <n v="337209"/>
        <n v="490303"/>
        <n v="286661"/>
        <n v="370448"/>
        <n v="114255"/>
        <n v="904993"/>
        <n v="223681"/>
        <n v="376706"/>
        <n v="911434"/>
        <n v="825048"/>
        <n v="511024"/>
        <n v="1043517"/>
        <n v="520734"/>
        <n v="809843"/>
        <n v="494703"/>
        <n v="344047"/>
        <n v="151030"/>
        <n v="325645"/>
        <n v="235677"/>
        <n v="775889"/>
        <n v="342736"/>
        <n v="379726"/>
        <n v="399666"/>
        <n v="91218"/>
        <n v="362321"/>
        <n v="497313"/>
        <n v="131391"/>
        <n v="665600"/>
        <n v="325404"/>
        <n v="863296"/>
        <n v="168428"/>
        <n v="791571"/>
        <n v="232706"/>
        <n v="510086"/>
        <n v="241498"/>
        <n v="525301"/>
        <n v="505155"/>
        <n v="149629"/>
        <n v="176096"/>
        <n v="178708"/>
        <n v="380196"/>
        <n v="496020"/>
        <n v="606210"/>
        <n v="142107"/>
        <n v="1134166"/>
        <n v="713681"/>
        <n v="393172"/>
        <n v="694959"/>
        <n v="579132"/>
        <n v="230530"/>
        <n v="438292"/>
        <n v="671178"/>
        <n v="617943"/>
        <n v="187794"/>
        <n v="572928"/>
        <n v="407917"/>
        <n v="1093160"/>
        <n v="783495"/>
        <n v="272078"/>
        <n v="403919"/>
        <n v="493457"/>
        <n v="455785"/>
        <n v="943652"/>
        <n v="703572"/>
        <n v="482626"/>
        <n v="292949"/>
        <n v="1001031"/>
        <n v="176843"/>
        <n v="1061263"/>
        <n v="414966"/>
        <n v="357835"/>
        <n v="262319"/>
        <n v="729732"/>
        <n v="860015"/>
        <n v="98833"/>
        <n v="725924"/>
        <n v="99496"/>
        <n v="408098"/>
        <n v="555564"/>
        <n v="387031"/>
        <n v="638236"/>
        <n v="1035605"/>
        <n v="422486"/>
        <n v="287258"/>
        <n v="309014"/>
        <n v="1152114"/>
        <n v="463061"/>
        <n v="420451"/>
        <n v="623376"/>
        <n v="436461"/>
        <n v="363438"/>
        <n v="340241"/>
        <n v="569192"/>
        <n v="612652"/>
        <n v="1979061"/>
        <n v="546896"/>
        <n v="189534"/>
        <n v="211953"/>
        <n v="180488"/>
        <n v="299056"/>
        <n v="495535"/>
        <n v="613707"/>
        <n v="464315"/>
        <n v="692484"/>
        <n v="844542"/>
        <n v="889160"/>
        <n v="696642"/>
        <n v="438665"/>
        <n v="1615345"/>
        <n v="421368"/>
        <n v="446822"/>
        <n v="1427043"/>
        <n v="1005417"/>
        <n v="417843"/>
        <n v="835581"/>
        <n v="1128036"/>
        <n v="1120311"/>
        <n v="624590"/>
        <n v="2137657"/>
        <n v="405098"/>
        <n v="223498"/>
        <n v="499175"/>
        <n v="391246"/>
        <n v="293033"/>
        <n v="1549081"/>
        <n v="1394270"/>
        <n v="385395"/>
        <n v="492352"/>
        <n v="453450"/>
        <n v="460746"/>
        <n v="534612"/>
        <n v="397790"/>
        <n v="1267135"/>
        <n v="451230"/>
        <n v="739256"/>
        <n v="152528"/>
        <n v="227230"/>
        <n v="433265"/>
        <n v="482456"/>
        <n v="747093"/>
        <n v="1255016"/>
        <n v="833575"/>
        <n v="973954"/>
        <n v="67202"/>
        <n v="638057"/>
        <n v="276236"/>
        <n v="170814"/>
        <n v="332916"/>
        <n v="385050"/>
        <n v="402503"/>
        <n v="1126525"/>
        <n v="183326"/>
        <n v="405515"/>
        <n v="369453"/>
        <n v="462841"/>
        <n v="319407"/>
        <n v="374817"/>
        <n v="1132275"/>
        <n v="702252"/>
        <n v="229510"/>
        <n v="197122"/>
        <n v="191865"/>
        <n v="623008"/>
        <n v="890353"/>
        <n v="799306"/>
        <n v="155873"/>
        <n v="531406"/>
        <n v="195306"/>
        <n v="162848"/>
        <n v="147255"/>
        <n v="120508"/>
        <n v="146898"/>
        <n v="554471"/>
        <n v="511674"/>
        <n v="522912"/>
        <n v="277477"/>
        <n v="1009736"/>
        <n v="397164"/>
        <n v="539469"/>
        <n v="962802"/>
        <n v="658504"/>
        <n v="933122"/>
        <n v="436886"/>
        <n v="327586"/>
        <n v="255719"/>
        <n v="905048"/>
        <n v="110394"/>
        <n v="1026970"/>
        <n v="204518"/>
        <n v="410290"/>
        <n v="1930472"/>
        <n v="1958755"/>
        <n v="291762"/>
        <n v="367844"/>
        <n v="681006"/>
        <n v="1272322"/>
        <n v="326231"/>
        <n v="362084"/>
        <n v="276972"/>
        <n v="960667"/>
        <n v="763572"/>
        <n v="1048356"/>
        <n v="385827"/>
        <n v="632993"/>
        <n v="785526"/>
        <n v="969957"/>
        <n v="421220"/>
        <n v="442976"/>
        <n v="513530"/>
        <n v="194720"/>
        <n v="1841662"/>
        <n v="1057002"/>
        <n v="1248741"/>
        <n v="453382"/>
        <n v="131004"/>
        <n v="698260"/>
        <n v="943972"/>
        <n v="815510"/>
        <n v="705682"/>
        <n v="1941467"/>
        <n v="689905"/>
        <n v="700902"/>
        <n v="491774"/>
        <n v="323153"/>
        <n v="189773"/>
        <n v="121205"/>
        <n v="1049200"/>
        <n v="706568"/>
        <n v="293878"/>
        <n v="1407202"/>
        <n v="560228"/>
        <n v="205158"/>
        <n v="237302"/>
        <n v="1010668"/>
        <n v="396171"/>
        <n v="149875"/>
        <n v="605310"/>
        <n v="1766006"/>
        <n v="531475"/>
        <n v="573504"/>
        <n v="467694"/>
        <n v="340174"/>
        <n v="1041050"/>
        <n v="638692"/>
        <n v="472681"/>
        <n v="510135"/>
        <n v="575511"/>
        <n v="154099"/>
        <n v="425647"/>
        <n v="122230"/>
        <n v="676036"/>
        <n v="142542"/>
        <n v="549004"/>
        <n v="260601"/>
        <n v="1198641"/>
        <n v="814188"/>
        <n v="135212"/>
        <n v="292410"/>
        <n v="580976"/>
        <n v="925544"/>
        <n v="305252"/>
        <n v="119102"/>
        <n v="547861"/>
        <n v="529484"/>
        <n v="467868"/>
        <n v="61797"/>
        <n v="747904"/>
        <n v="327333"/>
        <n v="527492"/>
        <n v="975654"/>
        <n v="335804"/>
        <n v="1700406"/>
        <n v="175389"/>
        <n v="683484"/>
        <n v="346146"/>
        <n v="376499"/>
        <n v="928923"/>
        <n v="377740"/>
        <n v="1163099"/>
        <n v="280787"/>
        <n v="180564"/>
        <n v="981226"/>
        <n v="473714"/>
        <n v="630322"/>
        <n v="575221"/>
        <n v="759136"/>
        <n v="535254"/>
        <n v="858050"/>
        <n v="197761"/>
        <n v="1920432"/>
        <n v="464069"/>
        <n v="507860"/>
        <n v="365345"/>
        <n v="1014128"/>
        <n v="844168"/>
        <n v="478433"/>
        <n v="853927"/>
        <n v="2335767"/>
        <n v="364426"/>
        <n v="181703"/>
        <n v="614899"/>
        <n v="173883"/>
        <n v="546966"/>
        <n v="400065"/>
        <n v="390682"/>
        <n v="262630"/>
        <n v="471208"/>
        <n v="181224"/>
        <n v="881524"/>
        <n v="750842"/>
        <n v="1078236"/>
        <n v="771398"/>
        <n v="703270"/>
        <n v="586010"/>
        <n v="673399"/>
        <n v="489252"/>
        <n v="763622"/>
        <n v="305247"/>
      </sharedItems>
    </cacheField>
    <cacheField name="Month" numFmtId="0">
      <sharedItems count="12">
        <s v="Jan"/>
        <s v="Aug"/>
        <s v="Jun"/>
        <s v="Feb"/>
        <s v="Oct"/>
        <s v="Jul"/>
        <s v="Dec"/>
        <s v="Sep"/>
        <s v="Nov"/>
        <s v="Apr"/>
        <s v="May"/>
        <s v="Mar"/>
      </sharedItems>
    </cacheField>
    <cacheField name="Occcupies Seats" numFmtId="0">
      <sharedItems containsMixedTypes="1" containsNumber="1" minValue="0.1834862385321101" maxValue="1" count="889">
        <n v="0.80620155038759689"/>
        <n v="0.28368794326241137"/>
        <n v="0.46875"/>
        <n v="0.34299516908212563"/>
        <n v="0.66666666666666663"/>
        <n v="0.78378378378378377"/>
        <n v="0.89189189189189189"/>
        <n v="0.34375"/>
        <n v="0.99193548387096775"/>
        <n v="0.83098591549295775"/>
        <n v="0.83"/>
        <n v="0.7441860465116279"/>
        <n v="0.52173913043478259"/>
        <n v="0.42929292929292928"/>
        <n v="0.83030303030303032"/>
        <n v="0.93827160493827155"/>
        <n v="0.85057471264367812"/>
        <n v="0.5280898876404494"/>
        <n v="0.94505494505494503"/>
        <n v="0.46445497630331756"/>
        <n v="0.81818181818181823"/>
        <n v="0.74193548387096775"/>
        <n v="0.58750000000000002"/>
        <n v="0.5670103092783505"/>
        <n v="0.5478723404255319"/>
        <n v="0.94623655913978499"/>
        <n v="0.7857142857142857"/>
        <n v="0.40721649484536082"/>
        <n v="0.51190476190476186"/>
        <n v="0.89655172413793105"/>
        <n v="0.98750000000000004"/>
        <n v="0.46666666666666667"/>
        <n v="0.95833333333333337"/>
        <n v="0.95597484276729561"/>
        <n v="0.20487804878048779"/>
        <n v="0.37440758293838861"/>
        <n v="0.82914572864321612"/>
        <n v="0.70873786407766992"/>
        <n v="0.40740740740740738"/>
        <n v="0.95092024539877296"/>
        <n v="0.64220183486238536"/>
        <n v="0.43478260869565216"/>
        <n v="0.97972972972972971"/>
        <n v="0.5957446808510638"/>
        <n v="0.49082568807339449"/>
        <n v="0.34499999999999997"/>
        <n v="0.8719211822660099"/>
        <n v="0.71232876712328763"/>
        <n v="0.50980392156862742"/>
        <n v="0.51700680272108845"/>
        <n v="0.84677419354838712"/>
        <n v="0.32903225806451614"/>
        <n v="0.75757575757575757"/>
        <n v="0.59302325581395354"/>
        <n v="0.27659574468085107"/>
        <n v="0.90140845070422537"/>
        <n v="0.81151832460732987"/>
        <n v="0.68571428571428572"/>
        <n v="0.56190476190476191"/>
        <n v="0.76442307692307687"/>
        <n v="0.63133640552995396"/>
        <n v="0.80952380952380953"/>
        <n v="0.8839285714285714"/>
        <n v="0.89010989010989006"/>
        <n v="0.79032258064516125"/>
        <n v="1"/>
        <n v="0.65333333333333332"/>
        <n v="0.37195121951219512"/>
        <n v="0.52631578947368418"/>
        <n v="0.9"/>
        <n v="0.63819095477386933"/>
        <n v="0.87155963302752293"/>
        <n v="0.58695652173913049"/>
        <n v="0.75449101796407181"/>
        <n v="0.47770700636942676"/>
        <n v="0.93333333333333335"/>
        <n v="0.72222222222222221"/>
        <n v="0.59493670886075944"/>
        <n v="0.86"/>
        <n v="0.94285714285714284"/>
        <n v="0.67826086956521736"/>
        <n v="0.78431372549019607"/>
        <n v="0.40127388535031849"/>
        <n v="0.92626728110599077"/>
        <n v="0.68867924528301883"/>
        <n v="0.7567567567567568"/>
        <n v="0.63636363636363635"/>
        <n v="0.6"/>
        <n v="0.87591240875912413"/>
        <n v="0.46226415094339623"/>
        <n v="0.87755102040816324"/>
        <n v="0.83750000000000002"/>
        <n v="0.20454545454545456"/>
        <n v="0.44680851063829785"/>
        <n v="0.82236842105263153"/>
        <n v="0.23333333333333334"/>
        <n v="0.87142857142857144"/>
        <n v="0.7766497461928934"/>
        <n v="0.40594059405940597"/>
        <n v="0.42519685039370081"/>
        <n v="0.92613636363636365"/>
        <n v="0.37"/>
        <n v="0.78767123287671237"/>
        <n v="0.65071770334928225"/>
        <n v="0.89403973509933776"/>
        <n v="0.96464646464646464"/>
        <n v="0.45402298850574713"/>
        <n v="0.66504854368932043"/>
        <n v="0.4825174825174825"/>
        <n v="0.54545454545454541"/>
        <n v="0.70731707317073167"/>
        <n v="0.7862595419847328"/>
        <n v="0.59788359788359791"/>
        <n v="0.73134328358208955"/>
        <n v="0.70186335403726707"/>
        <n v="0.95121951219512191"/>
        <n v="0.94029850746268662"/>
        <n v="0.81595092024539873"/>
        <n v="0.63942307692307687"/>
        <n v="0.69696969696969702"/>
        <n v="0.76712328767123283"/>
        <n v="0.85567010309278346"/>
        <n v="0.93023255813953487"/>
        <n v="0.70068027210884354"/>
        <n v="0.70673076923076927"/>
        <n v="0.80769230769230771"/>
        <n v="0.98086124401913877"/>
        <n v="0.9838709677419355"/>
        <n v="0.44075829383886256"/>
        <n v="0.5"/>
        <n v="0.55454545454545456"/>
        <n v="0.81395348837209303"/>
        <n v="0.90123456790123457"/>
        <n v="0.73195876288659789"/>
        <n v="0.82191780821917804"/>
        <n v="0.3611111111111111"/>
        <n v="0.72"/>
        <n v="0.98181818181818181"/>
        <n v="0.92553191489361697"/>
        <n v="0.74285714285714288"/>
        <n v="0.47236180904522612"/>
        <n v="0.88888888888888884"/>
        <n v="0.75"/>
        <n v="0.85849056603773588"/>
        <n v="0.88135593220338981"/>
        <n v="0.59036144578313254"/>
        <n v="0.78865979381443296"/>
        <n v="0.88732394366197187"/>
        <n v="0.47619047619047616"/>
        <n v="0.99061032863849763"/>
        <n v="0.7533333333333333"/>
        <n v="0.39869281045751637"/>
        <n v="0.6454545454545455"/>
        <n v="0.8089887640449438"/>
        <n v="0.40769230769230769"/>
        <n v="0.80612244897959184"/>
        <n v="0.31318681318681318"/>
        <n v="0.29145728643216079"/>
        <n v="0.84946236559139787"/>
        <n v="0.68644067796610164"/>
        <n v="0.42211055276381909"/>
        <n v="0.53374233128834359"/>
        <n v="0.70930232558139539"/>
        <n v="0.32258064516129031"/>
        <n v="0.74496644295302017"/>
        <n v="0.66"/>
        <n v="0.44881889763779526"/>
        <n v="0.77215189873417722"/>
        <n v="0.8571428571428571"/>
        <n v="0.83720930232558144"/>
        <n v="0.34328358208955223"/>
        <n v="0.86842105263157898"/>
        <n v="0.33858267716535434"/>
        <n v="0.39473684210526316"/>
        <n v="0.9907407407407407"/>
        <n v="0.88700564971751417"/>
        <n v="0.46543778801843316"/>
        <n v="0.42735042735042733"/>
        <n v="0.85333333333333339"/>
        <n v="0.86956521739130432"/>
        <n v="0.60287081339712922"/>
        <n v="0.73417721518987344"/>
        <n v="0.77033492822966509"/>
        <n v="0.39568345323741005"/>
        <n v="0.68020304568527923"/>
        <n v="0.55023923444976075"/>
        <n v="0.45810055865921789"/>
        <n v="0.52380952380952384"/>
        <n v="0.61538461538461542"/>
        <n v="0.88990825688073394"/>
        <n v="0.82"/>
        <n v="0.32863849765258218"/>
        <n v="0.47524752475247523"/>
        <n v="0.87209302325581395"/>
        <n v="0.51485148514851486"/>
        <n v="0.95767195767195767"/>
        <n v="0.71078431372549022"/>
        <n v="0.91005291005291"/>
        <n v="0.55952380952380953"/>
        <n v="0.67088607594936711"/>
        <n v="0.30582524271844658"/>
        <n v="0.94230769230769229"/>
        <n v="0.91869918699186992"/>
        <n v="0.68707482993197277"/>
        <n v="0.87272727272727268"/>
        <n v="0.88079470198675491"/>
        <n v="0.75572519083969469"/>
        <n v="0.875"/>
        <n v="0.86802030456852797"/>
        <n v="0.5401069518716578"/>
        <n v="0.59473684210526312"/>
        <n v="0.76878612716763006"/>
        <n v="0.34265734265734266"/>
        <n v="0.48"/>
        <n v="0.97499999999999998"/>
        <n v="0.90052356020942403"/>
        <n v="0.81081081081081086"/>
        <n v="0.68493150684931503"/>
        <n v="0.56020942408376961"/>
        <n v="0.46107784431137727"/>
        <n v="0.44067796610169491"/>
        <n v="0.62857142857142856"/>
        <n v="0.94117647058823528"/>
        <n v="0.54716981132075471"/>
        <n v="0.51643192488262912"/>
        <n v="0.3125"/>
        <n v="0.52657004830917875"/>
        <n v="0.5419847328244275"/>
        <n v="0.85064935064935066"/>
        <n v="0.47395833333333331"/>
        <n v="0.23786407766990292"/>
        <n v="0.50632911392405067"/>
        <n v="0.81372549019607843"/>
        <n v="0.56149732620320858"/>
        <n v="0.95530726256983245"/>
        <n v="0.3007518796992481"/>
        <n v="0.19444444444444445"/>
        <n v="0.40540540540540543"/>
        <n v="0.53968253968253965"/>
        <n v="0.93157894736842106"/>
        <n v="0.8539325842696629"/>
        <n v="0.7232142857142857"/>
        <n v="0.8214285714285714"/>
        <n v="0.8666666666666667"/>
        <n v="0.86046511627906974"/>
        <n v="0.76271186440677963"/>
        <n v="0.91428571428571426"/>
        <n v="0.73684210526315785"/>
        <n v="0.7432432432432432"/>
        <n v="0.34090909090909088"/>
        <n v="0.47916666666666669"/>
        <n v="0.47290640394088668"/>
        <n v="0.92737430167597767"/>
        <n v="0.44827586206896552"/>
        <n v="0.93396226415094341"/>
        <n v="0.38983050847457629"/>
        <n v="0.4460093896713615"/>
        <n v="0.53125"/>
        <n v="0.63684210526315788"/>
        <n v="0.6875"/>
        <n v="0.80512820512820515"/>
        <n v="0.85882352941176465"/>
        <n v="0.97701149425287359"/>
        <n v="0.84974093264248707"/>
        <n v="0.77142857142857146"/>
        <n v="0.64814814814814814"/>
        <n v="0.57692307692307687"/>
        <n v="0.44247787610619471"/>
        <n v="0.90322580645161288"/>
        <n v="0.69565217391304346"/>
        <n v="0.4719626168224299"/>
        <n v="0.64646464646464652"/>
        <n v="0.7192982456140351"/>
        <n v="0.57228915662650603"/>
        <n v="0.51136363636363635"/>
        <n v="0.43010752688172044"/>
        <n v="0.85555555555555551"/>
        <n v="0.29857819905213268"/>
        <n v="0.85606060606060608"/>
        <n v="0.39285714285714285"/>
        <n v="0.44444444444444442"/>
        <n v="0.27210884353741499"/>
        <n v="0.93055555555555558"/>
        <n v="0.49468085106382981"/>
        <n v="0.54961832061068705"/>
        <n v="0.98255813953488369"/>
        <n v="0.91752577319587625"/>
        <n v="0.95794392523364491"/>
        <n v="0.51648351648351654"/>
        <n v="0.62893081761006286"/>
        <n v="0.81333333333333335"/>
        <n v="0.72077922077922074"/>
        <n v="0.27485380116959063"/>
        <n v="0.61475409836065575"/>
        <n v="0.36898395721925131"/>
        <n v="0.40588235294117647"/>
        <n v="0.91208791208791207"/>
        <n v="0.99056603773584906"/>
        <n v="0.99033816425120769"/>
        <n v="0.2864864864864865"/>
        <n v="0.73469387755102045"/>
        <n v="0.61111111111111116"/>
        <n v="0.91836734693877553"/>
        <n v="0.85"/>
        <n v="0.61313868613138689"/>
        <n v="0.40096618357487923"/>
        <n v="0.88461538461538458"/>
        <n v="0.94736842105263153"/>
        <n v="0.31891891891891894"/>
        <n v="0.1834862385321101"/>
        <n v="0.52513966480446927"/>
        <n v="0.76635514018691586"/>
        <n v="0.98019801980198018"/>
        <n v="0.40816326530612246"/>
        <n v="0.7831325301204819"/>
        <n v="0.81451612903225812"/>
        <n v="0.84722222222222221"/>
        <n v="0.83908045977011492"/>
        <n v="0.85185185185185186"/>
        <n v="0.5911949685534591"/>
        <n v="0.97887323943661975"/>
        <n v="0.67647058823529416"/>
        <n v="0.82954545454545459"/>
        <n v="0.40191387559808611"/>
        <n v="0.53749999999999998"/>
        <n v="0.87912087912087911"/>
        <n v="0.46"/>
        <n v="0.35877862595419846"/>
        <n v="0.83892617449664431"/>
        <n v="0.84729064039408863"/>
        <n v="0.60893854748603349"/>
        <n v="0.29012345679012347"/>
        <n v="0.4642857142857143"/>
        <n v="0.49006622516556292"/>
        <n v="0.83464566929133854"/>
        <n v="0.73933649289099523"/>
        <n v="0.70121951219512191"/>
        <n v="0.84496124031007747"/>
        <n v="0.55208333333333337"/>
        <n v="0.45161290322580644"/>
        <n v="0.37185929648241206"/>
        <n v="0.59230769230769231"/>
        <n v="0.5842696629213483"/>
        <n v="0.61333333333333329"/>
        <n v="0.45"/>
        <n v="0.91397849462365588"/>
        <n v="0.37719298245614036"/>
        <n v="0.86757990867579904"/>
        <n v="0.97660818713450293"/>
        <n v="0.68794326241134751"/>
        <n v="0.92571428571428571"/>
        <n v="0.90225563909774431"/>
        <n v="0.78504672897196259"/>
        <n v="0.74025974025974028"/>
        <n v="0.56488549618320616"/>
        <n v="0.85581395348837208"/>
        <n v="0.569620253164557"/>
        <n v="0.76623376623376627"/>
        <n v="0.29545454545454547"/>
        <n v="0.41059602649006621"/>
        <n v="0.4759036144578313"/>
        <n v="0.94701986754966883"/>
        <n v="0.64615384615384619"/>
        <n v="0.57723577235772361"/>
        <n v="0.4632768361581921"/>
        <n v="0.94930875576036866"/>
        <n v="0.38970588235294118"/>
        <n v="0.74358974358974361"/>
        <n v="0.55421686746987953"/>
        <n v="0.47945205479452052"/>
        <n v="0.24691358024691357"/>
        <n v="0.37226277372262773"/>
        <n v="0.69135802469135799"/>
        <n v="0.47872340425531917"/>
        <n v="0.72413793103448276"/>
        <n v="0.2807017543859649"/>
        <n v="0.53508771929824561"/>
        <n v="0.99173553719008267"/>
        <n v="0.53703703703703709"/>
        <n v="0.61835748792270528"/>
        <n v="0.43930635838150289"/>
        <n v="0.63043478260869568"/>
        <n v="0.4453125"/>
        <n v="0.81355932203389836"/>
        <n v="0.68604651162790697"/>
        <n v="0.65476190476190477"/>
        <n v="0.70854271356783916"/>
        <n v="0.83116883116883122"/>
        <n v="0.89130434782608692"/>
        <n v="0.67500000000000004"/>
        <n v="0.29015544041450775"/>
        <n v="0.93421052631578949"/>
        <n v="0.70338983050847459"/>
        <n v="0.40566037735849059"/>
        <n v="0.79354838709677422"/>
        <n v="0.83823529411764708"/>
        <n v="0.79545454545454541"/>
        <n v="0.52777777777777779"/>
        <n v="0.78888888888888886"/>
        <n v="0.49593495934959347"/>
        <n v="0.86127167630057799"/>
        <n v="0.37583892617449666"/>
        <n v="0.5273972602739726"/>
        <n v="0.98726114649681529"/>
        <n v="0.65048543689320393"/>
        <n v="0.91566265060240959"/>
        <n v="0.57317073170731703"/>
        <n v="0.98360655737704916"/>
        <n v="0.88571428571428568"/>
        <n v="0.51086956521739135"/>
        <n v="0.90370370370370368"/>
        <n v="0.72499999999999998"/>
        <n v="0.46551724137931033"/>
        <n v="0.48214285714285715"/>
        <n v="0.99069767441860468"/>
        <n v="0.71276595744680848"/>
        <n v="0.69444444444444442"/>
        <n v="0.48701298701298701"/>
        <n v="0.6216216216216216"/>
        <n v="0.7142857142857143"/>
        <n v="0.31746031746031744"/>
        <n v="0.61728395061728392"/>
        <n v="0.99"/>
        <n v="0.98765432098765427"/>
        <n v="0.25365853658536586"/>
        <n v="0.49122807017543857"/>
        <n v="0.56390977443609025"/>
        <n v="0.57711442786069655"/>
        <n v="0.99367088607594933"/>
        <n v="0.65734265734265729"/>
        <n v="0.61157024793388426"/>
        <n v="0.23076923076923078"/>
        <n v="0.59171597633136097"/>
        <n v="0.25118483412322273"/>
        <n v="0.8136363636363636"/>
        <n v="0.92105263157894735"/>
        <n v="0.64864864864864868"/>
        <n v="0.96385542168674698"/>
        <n v="0.47058823529411764"/>
        <n v="0.36416184971098264"/>
        <n v="0.78536585365853662"/>
        <n v="0.96052631578947367"/>
        <n v="0.69078947368421051"/>
        <n v="0.97560975609756095"/>
        <n v="0.98863636363636365"/>
        <n v="0.62608695652173918"/>
        <n v="0.86705202312138729"/>
        <n v="0.89534883720930236"/>
        <n v="0.86538461538461542"/>
        <n v="0.68055555555555558"/>
        <n v="0.44594594594594594"/>
        <n v="0.47761194029850745"/>
        <n v="0.65909090909090906"/>
        <n v="0.4"/>
        <n v="0.86486486486486491"/>
        <n v="0.47333333333333333"/>
        <n v="0.82291666666666663"/>
        <n v="0.6333333333333333"/>
        <n v="0.76923076923076927"/>
        <n v="0.315"/>
        <n v="0.37313432835820898"/>
        <n v="0.65346534653465349"/>
        <n v="0.99507389162561577"/>
        <n v="0.70552147239263807"/>
        <n v="0.64556962025316456"/>
        <n v="0.7265625"/>
        <n v="0.25714285714285712"/>
        <n v="0.95"/>
        <n v="0.94859813084112155"/>
        <n v="0.43005181347150256"/>
        <n v="0.44525547445255476"/>
        <n v="0.5145631067961165"/>
        <n v="0.19230769230769232"/>
        <n v="0.7890625"/>
        <n v="0.515625"/>
        <n v="0.6619718309859155"/>
        <n v="0.86238532110091748"/>
        <n v="0.75409836065573765"/>
        <n v="0.58955223880597019"/>
        <n v="0.55789473684210522"/>
        <n v="0.989247311827957"/>
        <n v="0.3048780487804878"/>
        <n v="0.6071428571428571"/>
        <n v="0.46363636363636362"/>
        <n v="0.60273972602739723"/>
        <n v="0.82352941176470584"/>
        <n v="0.27230046948356806"/>
        <n v="0.95522388059701491"/>
        <n v="0.21363636363636362"/>
        <n v="0.73837209302325579"/>
        <n v="0.45652173913043476"/>
        <n v="0.58677685950413228"/>
        <n v="0.59154929577464788"/>
        <n v="0.90517241379310343"/>
        <n v="0.92708333333333337"/>
        <n v="0.64171122994652408"/>
        <n v="0.46323529411764708"/>
        <n v="0.88034188034188032"/>
        <n v="0.97413793103448276"/>
        <n v="0.53892215568862278"/>
        <n v="0.87128712871287128"/>
        <n v="0.88421052631578945"/>
        <n v="0.47096774193548385"/>
        <n v="0.61386138613861385"/>
        <n v="0.7410714285714286"/>
        <n v="0.43949044585987262"/>
        <n v="0.69064748201438853"/>
        <n v="0.84313725490196079"/>
        <n v="0.46808510638297873"/>
        <n v="0.58333333333333337"/>
        <n v="0.39344262295081966"/>
        <n v="0.83246073298429324"/>
        <n v="0.3984375"/>
        <n v="0.8"/>
        <n v="0.60416666666666663"/>
        <n v="0.77966101694915257"/>
        <n v="0.57936507936507942"/>
        <n v="0.86619718309859151"/>
        <n v="0.81632653061224492"/>
        <n v="0.42592592592592593"/>
        <n v="0.68527918781725883"/>
        <n v="0.3411764705882353"/>
        <n v="0.66917293233082709"/>
        <n v="0.72774869109947649"/>
        <n v="0.60103626943005184"/>
        <n v="0.26797385620915032"/>
        <n v="0.99082568807339455"/>
        <n v="0.31979695431472083"/>
        <n v="0.49484536082474229"/>
        <n v="0.75172413793103443"/>
        <n v="0.82857142857142863"/>
        <n v="0.85276073619631898"/>
        <n v="0.59259259259259256"/>
        <n v="0.94444444444444442"/>
        <n v="0.45454545454545453"/>
        <n v="0.33333333333333331"/>
        <n v="0.89915966386554624"/>
        <n v="0.60368663594470051"/>
        <n v="0.9673202614379085"/>
        <n v="0.44976076555023925"/>
        <n v="0.28000000000000003"/>
        <n v="0.36645962732919257"/>
        <n v="0.81720430107526887"/>
        <n v="0.29493087557603687"/>
        <n v="0.8066298342541437"/>
        <n v="0.71084337349397586"/>
        <n v="0.42201834862385323"/>
        <n v="0.97222222222222221"/>
        <n v="0.67619047619047623"/>
        <n v="0.94818652849740936"/>
        <n v="0.53383458646616544"/>
        <n v="0.7471910112359551"/>
        <n v="0.42076502732240439"/>
        <n v="0.88775510204081631"/>
        <n v="0.65540540540540537"/>
        <n v="0.52216748768472909"/>
        <n v="0.73563218390804597"/>
        <n v="0.68217054263565891"/>
        <n v="0.79292929292929293"/>
        <n v="0.44117647058823528"/>
        <n v="0.8165137614678899"/>
        <n v="0.72727272727272729"/>
        <n v="0.60927152317880795"/>
        <n v="0.36752136752136755"/>
        <n v="0.81578947368421051"/>
        <n v="0.76068376068376065"/>
        <n v="0.78082191780821919"/>
        <n v="0.63076923076923075"/>
        <n v="0.26881720430107525"/>
        <n v="0.63414634146341464"/>
        <n v="0.81379310344827582"/>
        <n v="0.34343434343434343"/>
        <n v="0.67105263157894735"/>
        <n v="0.44554455445544555"/>
        <n v="0.98"/>
        <n v="0.55555555555555558"/>
        <n v="0.83916083916083917"/>
        <n v="0.9452054794520548"/>
        <n v="0.81675392670157065"/>
        <n v="0.43867924528301888"/>
        <n v="0.89400921658986177"/>
        <n v="0.57236842105263153"/>
        <n v="0.83168316831683164"/>
        <n v="0.54761904761904767"/>
        <n v="0.67597765363128492"/>
        <n v="0.87817258883248728"/>
        <n v="0.61428571428571432"/>
        <n v="0.75308641975308643"/>
        <n v="0.35555555555555557"/>
        <n v="0.57324840764331209"/>
        <n v="0.25654450261780104"/>
        <n v="0.86904761904761907"/>
        <n v="0.92207792207792205"/>
        <n v="0.7946428571428571"/>
        <n v="0.35428571428571426"/>
        <n v="0.47368421052631576"/>
        <n v="0.39898989898989901"/>
        <n v="0.36138613861386137"/>
        <n v="0.96296296296296291"/>
        <n v="0.78666666666666663"/>
        <n v="0.38461538461538464"/>
        <n v="0.32835820895522388"/>
        <n v="0.47222222222222221"/>
        <n v="0.41747572815533979"/>
        <n v="0.97777777777777775"/>
        <n v="0.84656084656084651"/>
        <n v="0.90909090909090906"/>
        <n v="0.61855670103092786"/>
        <n v="0.57714285714285718"/>
        <n v="0.83888888888888891"/>
        <n v="0.7592592592592593"/>
        <n v="0.68695652173913047"/>
        <n v="0.56989247311827962"/>
        <n v="0.55339805825242716"/>
        <n v="0.92156862745098034"/>
        <n v="0.33540372670807456"/>
        <n v="0.79190751445086704"/>
        <n v="0.96226415094339623"/>
        <n v="0.48314606741573035"/>
        <n v="0.80341880341880345"/>
        <n v="0.61290322580645162"/>
        <n v="0.5444444444444444"/>
        <n v="0.20388349514563106"/>
        <n v="0.4236111111111111"/>
        <n v="0.38073394495412843"/>
        <n v="0.70588235294117652"/>
        <n v="0.79591836734693877"/>
        <n v="0.44329896907216493"/>
        <n v="0.78857142857142859"/>
        <n v="0.97590361445783136"/>
        <n v="0.92146596858638741"/>
        <n v="0.79452054794520544"/>
        <n v="0.60555555555555551"/>
        <n v="0.53723404255319152"/>
        <n v="0.45977011494252873"/>
        <n v="0.84158415841584155"/>
        <n v="0.46153846153846156"/>
        <n v="0.68156424581005581"/>
        <n v="0.6588235294117647"/>
        <n v="0.88695652173913042"/>
        <n v="0.57923497267759561"/>
        <n v="0.37037037037037035"/>
        <n v="0.18433179723502305"/>
        <n v="0.31395348837209303"/>
        <n v="0.51239669421487599"/>
        <n v="0.63354037267080743"/>
        <n v="0.77862595419847325"/>
        <n v="0.946524064171123"/>
        <n v="0.26842105263157895"/>
        <n v="0.38095238095238093"/>
        <n v="0.35885167464114831"/>
        <n v="0.41428571428571431"/>
        <n v="0.56338028169014087"/>
        <n v="0.51960784313725494"/>
        <n v="0.98734177215189878"/>
        <n v="0.47169811320754718"/>
        <n v="0.76129032258064511"/>
        <n v="0.88144329896907214"/>
        <n v="0.421875"/>
        <n v="0.79881656804733725"/>
        <n v="0.97435897435897434"/>
        <n v="0.43312101910828027"/>
        <n v="0.71739130434782605"/>
        <n v="0.57541899441340782"/>
        <n v="0.92957746478873238"/>
        <n v="0.33854166666666669"/>
        <n v="0.44800000000000001"/>
        <n v="0.88288288288288286"/>
        <n v="0.23414634146341465"/>
        <n v="0.86451612903225805"/>
        <n v="0.78749999999999998"/>
        <n v="0.78095238095238095"/>
        <n v="0.75362318840579712"/>
        <n v="0.87878787878787878"/>
        <n v="0.60465116279069764"/>
        <n v="0.6696428571428571"/>
        <n v="0.64137931034482754"/>
        <n v="0.64601769911504425"/>
        <n v="0.44086021505376344"/>
        <n v="0.63063063063063063"/>
        <n v="0.5641025641025641"/>
        <n v="0.38942307692307693"/>
        <n v="0.39072847682119205"/>
        <n v="0.89719626168224298"/>
        <n v="0.59595959595959591"/>
        <n v="0.9285714285714286"/>
        <n v="0.7439613526570048"/>
        <n v="0.27"/>
        <n v="0.86931818181818177"/>
        <n v="0.62264150943396224"/>
        <n v="0.61904761904761907"/>
        <n v="0.37368421052631579"/>
        <n v="0.29081632653061223"/>
        <n v="0.63"/>
        <n v="0.6556291390728477"/>
        <n v="0.82978723404255317"/>
        <n v="0.78723404255319152"/>
        <n v="0.72571428571428576"/>
        <n v="0.86274509803921573"/>
        <n v="0.94594594594594594"/>
        <n v="0.68421052631578949"/>
        <n v="0.65"/>
        <n v="0.54320987654320985"/>
        <n v="0.52066115702479343"/>
        <n v="0.93693693693693691"/>
        <n v="0.46341463414634149"/>
        <n v="0.69633507853403143"/>
        <n v="0.48756218905472637"/>
        <n v="0.67346938775510201"/>
        <n v="0.6901408450704225"/>
        <n v="0.40677966101694918"/>
        <n v="0.90625"/>
        <n v="0.53465346534653468"/>
        <n v="0.74869109947643975"/>
        <n v="0.85641025641025637"/>
        <n v="0.9213483146067416"/>
        <n v="0.53266331658291455"/>
        <n v="0.92261904761904767"/>
        <n v="0.88435374149659862"/>
        <n v="0.98604651162790702"/>
        <n v="0.271356783919598"/>
        <n v="0.57042253521126762"/>
        <n v="0.80263157894736847"/>
        <n v="0.53787878787878785"/>
        <n v="0.61616161616161613"/>
        <n v="0.79534883720930227"/>
        <n v="0.72189349112426038"/>
        <n v="0.39102564102564102"/>
        <n v="0.29357798165137616"/>
        <n v="0.89240506329113922"/>
        <n v="0.43333333333333335"/>
        <n v="0.36206896551724138"/>
        <n v="0.87681159420289856"/>
        <n v="0.40957446808510639"/>
        <n v="0.6171428571428571"/>
        <n v="0.65822784810126578"/>
        <n v="0.39130434782608697"/>
        <n v="0.76436781609195403"/>
        <n v="0.73"/>
        <n v="0.94805194805194803"/>
        <n v="0.72185430463576161"/>
        <n v="0.28378378378378377"/>
        <n v="0.95679012345679015"/>
        <n v="0.34693877551020408"/>
        <n v="0.73076923076923073"/>
        <n v="0.76470588235294112"/>
        <n v="0.69142857142857139"/>
        <n v="0.45774647887323944"/>
        <n v="0.54666666666666663"/>
        <n v="0.40707964601769914"/>
        <n v="0.99115044247787609"/>
        <n v="0.51968503937007871"/>
        <n v="0.60799999999999998"/>
        <n v="0.91538461538461535"/>
        <n v="0.77884615384615385"/>
        <n v="0.7978723404255319"/>
        <n v="0.49382716049382713"/>
        <n v="0.43689320388349512"/>
        <n v="0.65217391304347827"/>
        <n v="0.56345177664974622"/>
        <n v="0.4921875"/>
        <n v="0.42922374429223742"/>
        <n v="0.64893617021276595"/>
        <n v="0.39449541284403672"/>
        <n v="0.85915492957746475"/>
        <n v="0.98780487804878048"/>
        <n v="0.61046511627906974"/>
        <n v="0.64739884393063585"/>
        <n v="0.82524271844660191"/>
        <n v="0.81159420289855078"/>
        <n v="0.63736263736263732"/>
        <n v="0.79699248120300747"/>
        <n v="0.74226804123711343"/>
        <n v="0.98888888888888893"/>
        <n v="0.72527472527472525"/>
        <n v="0.57264957264957261"/>
        <n v="0.91549295774647887"/>
        <n v="0.60309278350515461"/>
        <n v="0.4576271186440678"/>
        <n v="0.72519083969465647"/>
        <n v="0.62666666666666671"/>
        <n v="0.49242424242424243"/>
        <n v="0.94318181818181823"/>
        <n v="0.95024875621890548"/>
        <n v="0.26540284360189575"/>
        <n v="0.82065217391304346"/>
        <n v="0.48241206030150752"/>
        <n v="0.37823834196891193"/>
        <n v="0.91228070175438591"/>
        <n v="0.45539906103286387"/>
        <n v="0.96517412935323388"/>
        <n v="0.92903225806451617"/>
        <n v="0.48407643312101911"/>
        <n v="0.60666666666666669"/>
        <n v="0.24884792626728111"/>
        <n v="0.25949367088607594"/>
        <n v="0.95215311004784686"/>
        <n v="0.60386473429951693"/>
        <n v="0.56398104265402849"/>
        <n v="0.51470588235294112"/>
        <n v="0.67741935483870963"/>
        <n v="0.98148148148148151"/>
        <n v="0.72268907563025209"/>
        <n v="0.4101123595505618"/>
        <n v="0.83181818181818179"/>
        <n v="0.74871794871794872"/>
        <n v="0.87064676616915426"/>
        <n v="0.62910798122065725"/>
        <n v="0.91249999999999998"/>
        <n v="0.20512820512820512"/>
        <n v="0.75167785234899331"/>
        <n v="0.83243243243243248"/>
        <n v="0.69871794871794868"/>
        <n v="0.89903846153846156"/>
        <n v="0.59868421052631582"/>
        <n v="0.59024390243902436"/>
        <n v="0.59433962264150941"/>
        <n v="0.41176470588235292"/>
        <n v="0.48026315789473684"/>
        <n v="0.86734693877551017"/>
        <n v="0.32183908045977011"/>
        <n v="0.57894736842105265"/>
        <n v="0.47540983606557374"/>
        <n v="0.94776119402985071"/>
        <n v="0.89320388349514568"/>
        <n v="0.67375886524822692"/>
        <n v="0.51079136690647486"/>
        <n v="0.84285714285714286"/>
        <n v="0.35294117647058826"/>
        <n v="0.55279503105590067"/>
        <n v="0.32520325203252032"/>
        <n v="0.97345132743362828"/>
        <n v="0.55813953488372092"/>
        <n v="0.9563106796116505"/>
        <n v="0.625"/>
        <n v="0.68907563025210083"/>
        <n v="0.7321428571428571"/>
        <n v="0.94838709677419353"/>
        <n v="0.49261083743842365"/>
        <n v="0.70238095238095233"/>
        <n v="0.37209302325581395"/>
        <n v="0.36312849162011174"/>
        <n v="0.47422680412371132"/>
        <n v="0.62962962962962965"/>
        <n v="0.56470588235294117"/>
        <n v="0.54205607476635509"/>
        <n v="0.94545454545454544"/>
        <n v="0.54166666666666663"/>
        <n v="0.96753246753246758"/>
        <n v="0.71875"/>
        <n v="0.56451612903225812"/>
        <n v="0.72807017543859653"/>
        <n v="0.64"/>
        <n v="0.87195121951219512"/>
        <n v="0.52830188679245282"/>
        <n v="0.58139534883720934"/>
        <n v="0.70434782608695656"/>
        <n v="0.94063926940639264"/>
        <n v="0.63513513513513509"/>
        <n v="0.60256410256410253"/>
        <n v="0.27544910179640719"/>
        <n v="0.86363636363636365"/>
        <n v="0.27160493827160492"/>
        <n v="0.99152542372881358"/>
        <n v="0.24855491329479767"/>
        <n v="0.51832460732984298"/>
        <n v="0.79661016949152541"/>
        <n v="0.33179723502304148"/>
        <n v="0.67052023121387283"/>
        <n v="0.93488372093023253"/>
        <n v="0.84745762711864403"/>
        <n v="0.40284360189573459"/>
        <n v="0.20792079207920791"/>
        <n v="0.9152542372881356"/>
        <n v="0.71818181818181814"/>
        <n v="0.7558139534883721"/>
        <n v="0.5625"/>
        <n v="0.58522727272727271"/>
        <n v="0.69148936170212771"/>
        <n v="0.82399999999999995"/>
        <n v="0.89080459770114939"/>
        <n v="0.72872340425531912"/>
        <n v="0.41208791208791207"/>
        <n v="0.37931034482758619"/>
        <n v="0.71978021978021978"/>
        <n v="0.3251231527093596"/>
        <n v="0.83132530120481929"/>
        <n v="0.51948051948051943"/>
        <e v="#DIV/0!"/>
      </sharedItems>
    </cacheField>
  </cacheFields>
  <extLst>
    <ext xmlns:x14="http://schemas.microsoft.com/office/spreadsheetml/2009/9/main" uri="{725AE2AE-9491-48be-B2B4-4EB974FC3084}">
      <x14:pivotCacheDefinition pivotCacheId="2489820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107"/>
    <x v="0"/>
    <n v="105"/>
    <n v="53"/>
    <x v="0"/>
    <x v="0"/>
    <x v="0"/>
    <x v="0"/>
  </r>
  <r>
    <x v="1"/>
    <x v="1"/>
    <x v="1"/>
    <x v="0"/>
    <x v="1"/>
    <n v="68"/>
    <x v="0"/>
    <n v="129"/>
    <n v="104"/>
    <x v="1"/>
    <x v="1"/>
    <x v="1"/>
    <x v="1"/>
  </r>
  <r>
    <x v="2"/>
    <x v="2"/>
    <x v="2"/>
    <x v="1"/>
    <x v="2"/>
    <n v="159"/>
    <x v="1"/>
    <n v="141"/>
    <n v="40"/>
    <x v="2"/>
    <x v="2"/>
    <x v="2"/>
    <x v="2"/>
  </r>
  <r>
    <x v="3"/>
    <x v="3"/>
    <x v="3"/>
    <x v="2"/>
    <x v="3"/>
    <n v="100"/>
    <x v="2"/>
    <n v="96"/>
    <n v="45"/>
    <x v="3"/>
    <x v="3"/>
    <x v="3"/>
    <x v="3"/>
  </r>
  <r>
    <x v="4"/>
    <x v="3"/>
    <x v="3"/>
    <x v="2"/>
    <x v="4"/>
    <n v="231"/>
    <x v="3"/>
    <n v="207"/>
    <n v="71"/>
    <x v="4"/>
    <x v="4"/>
    <x v="4"/>
    <x v="4"/>
  </r>
  <r>
    <x v="5"/>
    <x v="4"/>
    <x v="4"/>
    <x v="1"/>
    <x v="5"/>
    <n v="94"/>
    <x v="4"/>
    <n v="81"/>
    <n v="54"/>
    <x v="5"/>
    <x v="5"/>
    <x v="5"/>
    <x v="2"/>
  </r>
  <r>
    <x v="6"/>
    <x v="5"/>
    <x v="0"/>
    <x v="3"/>
    <x v="6"/>
    <n v="161"/>
    <x v="2"/>
    <n v="111"/>
    <n v="87"/>
    <x v="6"/>
    <x v="6"/>
    <x v="6"/>
    <x v="0"/>
  </r>
  <r>
    <x v="7"/>
    <x v="6"/>
    <x v="0"/>
    <x v="4"/>
    <x v="7"/>
    <n v="231"/>
    <x v="0"/>
    <n v="111"/>
    <n v="99"/>
    <x v="7"/>
    <x v="7"/>
    <x v="7"/>
    <x v="5"/>
  </r>
  <r>
    <x v="8"/>
    <x v="7"/>
    <x v="2"/>
    <x v="4"/>
    <x v="8"/>
    <n v="128"/>
    <x v="4"/>
    <n v="128"/>
    <n v="44"/>
    <x v="8"/>
    <x v="8"/>
    <x v="8"/>
    <x v="6"/>
  </r>
  <r>
    <x v="9"/>
    <x v="8"/>
    <x v="0"/>
    <x v="2"/>
    <x v="9"/>
    <n v="228"/>
    <x v="2"/>
    <n v="124"/>
    <n v="123"/>
    <x v="9"/>
    <x v="9"/>
    <x v="9"/>
    <x v="2"/>
  </r>
  <r>
    <x v="10"/>
    <x v="9"/>
    <x v="5"/>
    <x v="5"/>
    <x v="10"/>
    <n v="80"/>
    <x v="0"/>
    <n v="213"/>
    <n v="177"/>
    <x v="10"/>
    <x v="10"/>
    <x v="10"/>
    <x v="7"/>
  </r>
  <r>
    <x v="11"/>
    <x v="10"/>
    <x v="6"/>
    <x v="1"/>
    <x v="11"/>
    <n v="101"/>
    <x v="0"/>
    <n v="200"/>
    <n v="166"/>
    <x v="11"/>
    <x v="11"/>
    <x v="11"/>
    <x v="1"/>
  </r>
  <r>
    <x v="12"/>
    <x v="11"/>
    <x v="7"/>
    <x v="4"/>
    <x v="12"/>
    <n v="153"/>
    <x v="1"/>
    <n v="86"/>
    <n v="64"/>
    <x v="12"/>
    <x v="12"/>
    <x v="12"/>
    <x v="8"/>
  </r>
  <r>
    <x v="13"/>
    <x v="12"/>
    <x v="2"/>
    <x v="2"/>
    <x v="13"/>
    <n v="47"/>
    <x v="4"/>
    <n v="207"/>
    <n v="108"/>
    <x v="13"/>
    <x v="13"/>
    <x v="13"/>
    <x v="5"/>
  </r>
  <r>
    <x v="14"/>
    <x v="13"/>
    <x v="1"/>
    <x v="5"/>
    <x v="14"/>
    <n v="45"/>
    <x v="2"/>
    <n v="198"/>
    <n v="85"/>
    <x v="14"/>
    <x v="14"/>
    <x v="14"/>
    <x v="9"/>
  </r>
  <r>
    <x v="15"/>
    <x v="14"/>
    <x v="4"/>
    <x v="6"/>
    <x v="15"/>
    <n v="95"/>
    <x v="0"/>
    <n v="165"/>
    <n v="137"/>
    <x v="15"/>
    <x v="15"/>
    <x v="15"/>
    <x v="7"/>
  </r>
  <r>
    <x v="16"/>
    <x v="15"/>
    <x v="8"/>
    <x v="1"/>
    <x v="16"/>
    <n v="49"/>
    <x v="4"/>
    <n v="162"/>
    <n v="152"/>
    <x v="16"/>
    <x v="16"/>
    <x v="16"/>
    <x v="10"/>
  </r>
  <r>
    <x v="17"/>
    <x v="16"/>
    <x v="9"/>
    <x v="7"/>
    <x v="17"/>
    <n v="232"/>
    <x v="3"/>
    <n v="87"/>
    <n v="74"/>
    <x v="17"/>
    <x v="17"/>
    <x v="17"/>
    <x v="11"/>
  </r>
  <r>
    <x v="18"/>
    <x v="17"/>
    <x v="5"/>
    <x v="6"/>
    <x v="18"/>
    <n v="112"/>
    <x v="1"/>
    <n v="178"/>
    <n v="94"/>
    <x v="18"/>
    <x v="18"/>
    <x v="18"/>
    <x v="3"/>
  </r>
  <r>
    <x v="19"/>
    <x v="18"/>
    <x v="4"/>
    <x v="3"/>
    <x v="19"/>
    <n v="211"/>
    <x v="2"/>
    <n v="182"/>
    <n v="172"/>
    <x v="19"/>
    <x v="19"/>
    <x v="19"/>
    <x v="8"/>
  </r>
  <r>
    <x v="20"/>
    <x v="16"/>
    <x v="9"/>
    <x v="7"/>
    <x v="20"/>
    <n v="50"/>
    <x v="1"/>
    <n v="211"/>
    <n v="98"/>
    <x v="20"/>
    <x v="20"/>
    <x v="20"/>
    <x v="6"/>
  </r>
  <r>
    <x v="21"/>
    <x v="19"/>
    <x v="8"/>
    <x v="2"/>
    <x v="21"/>
    <n v="53"/>
    <x v="2"/>
    <n v="88"/>
    <n v="72"/>
    <x v="21"/>
    <x v="21"/>
    <x v="21"/>
    <x v="11"/>
  </r>
  <r>
    <x v="22"/>
    <x v="20"/>
    <x v="9"/>
    <x v="6"/>
    <x v="22"/>
    <n v="230"/>
    <x v="1"/>
    <n v="217"/>
    <n v="161"/>
    <x v="22"/>
    <x v="22"/>
    <x v="22"/>
    <x v="10"/>
  </r>
  <r>
    <x v="23"/>
    <x v="16"/>
    <x v="9"/>
    <x v="7"/>
    <x v="23"/>
    <n v="213"/>
    <x v="3"/>
    <n v="160"/>
    <n v="94"/>
    <x v="23"/>
    <x v="23"/>
    <x v="23"/>
    <x v="9"/>
  </r>
  <r>
    <x v="24"/>
    <x v="0"/>
    <x v="0"/>
    <x v="0"/>
    <x v="24"/>
    <n v="231"/>
    <x v="2"/>
    <n v="97"/>
    <n v="55"/>
    <x v="24"/>
    <x v="24"/>
    <x v="24"/>
    <x v="4"/>
  </r>
  <r>
    <x v="25"/>
    <x v="9"/>
    <x v="5"/>
    <x v="5"/>
    <x v="25"/>
    <n v="91"/>
    <x v="2"/>
    <n v="188"/>
    <n v="103"/>
    <x v="25"/>
    <x v="25"/>
    <x v="25"/>
    <x v="11"/>
  </r>
  <r>
    <x v="26"/>
    <x v="0"/>
    <x v="0"/>
    <x v="0"/>
    <x v="26"/>
    <n v="183"/>
    <x v="4"/>
    <n v="93"/>
    <n v="88"/>
    <x v="26"/>
    <x v="26"/>
    <x v="26"/>
    <x v="0"/>
  </r>
  <r>
    <x v="27"/>
    <x v="21"/>
    <x v="5"/>
    <x v="8"/>
    <x v="27"/>
    <n v="147"/>
    <x v="4"/>
    <n v="112"/>
    <n v="88"/>
    <x v="27"/>
    <x v="27"/>
    <x v="27"/>
    <x v="2"/>
  </r>
  <r>
    <x v="28"/>
    <x v="22"/>
    <x v="5"/>
    <x v="2"/>
    <x v="28"/>
    <n v="223"/>
    <x v="1"/>
    <n v="194"/>
    <n v="79"/>
    <x v="28"/>
    <x v="28"/>
    <x v="28"/>
    <x v="11"/>
  </r>
  <r>
    <x v="29"/>
    <x v="23"/>
    <x v="8"/>
    <x v="6"/>
    <x v="29"/>
    <n v="236"/>
    <x v="2"/>
    <n v="84"/>
    <n v="43"/>
    <x v="29"/>
    <x v="29"/>
    <x v="29"/>
    <x v="11"/>
  </r>
  <r>
    <x v="30"/>
    <x v="24"/>
    <x v="7"/>
    <x v="0"/>
    <x v="30"/>
    <n v="65"/>
    <x v="0"/>
    <n v="87"/>
    <n v="78"/>
    <x v="30"/>
    <x v="30"/>
    <x v="30"/>
    <x v="3"/>
  </r>
  <r>
    <x v="31"/>
    <x v="25"/>
    <x v="1"/>
    <x v="7"/>
    <x v="31"/>
    <n v="108"/>
    <x v="1"/>
    <n v="80"/>
    <n v="79"/>
    <x v="31"/>
    <x v="31"/>
    <x v="31"/>
    <x v="2"/>
  </r>
  <r>
    <x v="32"/>
    <x v="26"/>
    <x v="6"/>
    <x v="8"/>
    <x v="32"/>
    <n v="111"/>
    <x v="0"/>
    <n v="150"/>
    <n v="70"/>
    <x v="32"/>
    <x v="32"/>
    <x v="32"/>
    <x v="8"/>
  </r>
  <r>
    <x v="33"/>
    <x v="27"/>
    <x v="4"/>
    <x v="8"/>
    <x v="32"/>
    <n v="237"/>
    <x v="4"/>
    <n v="72"/>
    <n v="69"/>
    <x v="33"/>
    <x v="33"/>
    <x v="33"/>
    <x v="8"/>
  </r>
  <r>
    <x v="34"/>
    <x v="7"/>
    <x v="2"/>
    <x v="4"/>
    <x v="33"/>
    <n v="112"/>
    <x v="0"/>
    <n v="159"/>
    <n v="152"/>
    <x v="34"/>
    <x v="34"/>
    <x v="34"/>
    <x v="3"/>
  </r>
  <r>
    <x v="35"/>
    <x v="28"/>
    <x v="4"/>
    <x v="5"/>
    <x v="34"/>
    <n v="184"/>
    <x v="2"/>
    <n v="205"/>
    <n v="42"/>
    <x v="35"/>
    <x v="35"/>
    <x v="35"/>
    <x v="11"/>
  </r>
  <r>
    <x v="36"/>
    <x v="6"/>
    <x v="0"/>
    <x v="4"/>
    <x v="35"/>
    <n v="74"/>
    <x v="4"/>
    <n v="211"/>
    <n v="79"/>
    <x v="36"/>
    <x v="36"/>
    <x v="36"/>
    <x v="7"/>
  </r>
  <r>
    <x v="37"/>
    <x v="29"/>
    <x v="9"/>
    <x v="1"/>
    <x v="36"/>
    <n v="220"/>
    <x v="2"/>
    <n v="199"/>
    <n v="165"/>
    <x v="37"/>
    <x v="37"/>
    <x v="37"/>
    <x v="5"/>
  </r>
  <r>
    <x v="38"/>
    <x v="30"/>
    <x v="1"/>
    <x v="2"/>
    <x v="37"/>
    <n v="45"/>
    <x v="2"/>
    <n v="103"/>
    <n v="73"/>
    <x v="38"/>
    <x v="38"/>
    <x v="38"/>
    <x v="4"/>
  </r>
  <r>
    <x v="39"/>
    <x v="31"/>
    <x v="1"/>
    <x v="6"/>
    <x v="38"/>
    <n v="73"/>
    <x v="4"/>
    <n v="108"/>
    <n v="44"/>
    <x v="39"/>
    <x v="39"/>
    <x v="39"/>
    <x v="1"/>
  </r>
  <r>
    <x v="40"/>
    <x v="32"/>
    <x v="7"/>
    <x v="3"/>
    <x v="39"/>
    <n v="55"/>
    <x v="2"/>
    <n v="163"/>
    <n v="155"/>
    <x v="40"/>
    <x v="40"/>
    <x v="40"/>
    <x v="10"/>
  </r>
  <r>
    <x v="41"/>
    <x v="16"/>
    <x v="9"/>
    <x v="7"/>
    <x v="40"/>
    <n v="188"/>
    <x v="3"/>
    <n v="109"/>
    <n v="70"/>
    <x v="41"/>
    <x v="41"/>
    <x v="41"/>
    <x v="6"/>
  </r>
  <r>
    <x v="42"/>
    <x v="33"/>
    <x v="8"/>
    <x v="4"/>
    <x v="41"/>
    <n v="150"/>
    <x v="0"/>
    <n v="138"/>
    <n v="60"/>
    <x v="42"/>
    <x v="42"/>
    <x v="42"/>
    <x v="6"/>
  </r>
  <r>
    <x v="43"/>
    <x v="34"/>
    <x v="5"/>
    <x v="4"/>
    <x v="42"/>
    <n v="162"/>
    <x v="2"/>
    <n v="148"/>
    <n v="145"/>
    <x v="43"/>
    <x v="43"/>
    <x v="43"/>
    <x v="5"/>
  </r>
  <r>
    <x v="44"/>
    <x v="35"/>
    <x v="9"/>
    <x v="3"/>
    <x v="43"/>
    <n v="116"/>
    <x v="4"/>
    <n v="141"/>
    <n v="84"/>
    <x v="44"/>
    <x v="44"/>
    <x v="44"/>
    <x v="6"/>
  </r>
  <r>
    <x v="45"/>
    <x v="36"/>
    <x v="3"/>
    <x v="0"/>
    <x v="44"/>
    <n v="111"/>
    <x v="0"/>
    <n v="218"/>
    <n v="107"/>
    <x v="45"/>
    <x v="45"/>
    <x v="45"/>
    <x v="9"/>
  </r>
  <r>
    <x v="46"/>
    <x v="37"/>
    <x v="1"/>
    <x v="9"/>
    <x v="45"/>
    <n v="156"/>
    <x v="1"/>
    <n v="200"/>
    <n v="69"/>
    <x v="46"/>
    <x v="46"/>
    <x v="46"/>
    <x v="8"/>
  </r>
  <r>
    <x v="47"/>
    <x v="38"/>
    <x v="4"/>
    <x v="0"/>
    <x v="46"/>
    <n v="156"/>
    <x v="4"/>
    <n v="203"/>
    <n v="177"/>
    <x v="47"/>
    <x v="47"/>
    <x v="47"/>
    <x v="6"/>
  </r>
  <r>
    <x v="48"/>
    <x v="39"/>
    <x v="0"/>
    <x v="1"/>
    <x v="47"/>
    <n v="125"/>
    <x v="4"/>
    <n v="146"/>
    <n v="104"/>
    <x v="48"/>
    <x v="48"/>
    <x v="48"/>
    <x v="0"/>
  </r>
  <r>
    <x v="49"/>
    <x v="40"/>
    <x v="3"/>
    <x v="3"/>
    <x v="48"/>
    <n v="120"/>
    <x v="1"/>
    <n v="102"/>
    <n v="52"/>
    <x v="49"/>
    <x v="49"/>
    <x v="49"/>
    <x v="6"/>
  </r>
  <r>
    <x v="50"/>
    <x v="41"/>
    <x v="7"/>
    <x v="9"/>
    <x v="49"/>
    <n v="185"/>
    <x v="4"/>
    <n v="147"/>
    <n v="76"/>
    <x v="50"/>
    <x v="50"/>
    <x v="50"/>
    <x v="4"/>
  </r>
  <r>
    <x v="51"/>
    <x v="42"/>
    <x v="6"/>
    <x v="9"/>
    <x v="50"/>
    <n v="158"/>
    <x v="3"/>
    <n v="124"/>
    <n v="105"/>
    <x v="51"/>
    <x v="51"/>
    <x v="51"/>
    <x v="9"/>
  </r>
  <r>
    <x v="52"/>
    <x v="43"/>
    <x v="0"/>
    <x v="9"/>
    <x v="51"/>
    <n v="214"/>
    <x v="1"/>
    <n v="155"/>
    <n v="51"/>
    <x v="52"/>
    <x v="52"/>
    <x v="52"/>
    <x v="3"/>
  </r>
  <r>
    <x v="53"/>
    <x v="44"/>
    <x v="9"/>
    <x v="2"/>
    <x v="52"/>
    <n v="51"/>
    <x v="4"/>
    <n v="132"/>
    <n v="100"/>
    <x v="53"/>
    <x v="53"/>
    <x v="53"/>
    <x v="10"/>
  </r>
  <r>
    <x v="54"/>
    <x v="45"/>
    <x v="6"/>
    <x v="4"/>
    <x v="48"/>
    <n v="143"/>
    <x v="3"/>
    <n v="172"/>
    <n v="102"/>
    <x v="54"/>
    <x v="54"/>
    <x v="54"/>
    <x v="6"/>
  </r>
  <r>
    <x v="55"/>
    <x v="5"/>
    <x v="0"/>
    <x v="3"/>
    <x v="53"/>
    <n v="90"/>
    <x v="1"/>
    <n v="188"/>
    <n v="52"/>
    <x v="55"/>
    <x v="55"/>
    <x v="55"/>
    <x v="2"/>
  </r>
  <r>
    <x v="56"/>
    <x v="9"/>
    <x v="5"/>
    <x v="5"/>
    <x v="54"/>
    <n v="215"/>
    <x v="1"/>
    <n v="213"/>
    <n v="192"/>
    <x v="56"/>
    <x v="56"/>
    <x v="56"/>
    <x v="9"/>
  </r>
  <r>
    <x v="57"/>
    <x v="2"/>
    <x v="2"/>
    <x v="1"/>
    <x v="55"/>
    <n v="159"/>
    <x v="0"/>
    <n v="191"/>
    <n v="155"/>
    <x v="57"/>
    <x v="57"/>
    <x v="57"/>
    <x v="5"/>
  </r>
  <r>
    <x v="58"/>
    <x v="14"/>
    <x v="4"/>
    <x v="6"/>
    <x v="56"/>
    <n v="205"/>
    <x v="0"/>
    <n v="140"/>
    <n v="96"/>
    <x v="58"/>
    <x v="58"/>
    <x v="58"/>
    <x v="10"/>
  </r>
  <r>
    <x v="59"/>
    <x v="4"/>
    <x v="4"/>
    <x v="1"/>
    <x v="57"/>
    <n v="183"/>
    <x v="4"/>
    <n v="105"/>
    <n v="59"/>
    <x v="59"/>
    <x v="59"/>
    <x v="59"/>
    <x v="8"/>
  </r>
  <r>
    <x v="60"/>
    <x v="16"/>
    <x v="9"/>
    <x v="7"/>
    <x v="58"/>
    <n v="149"/>
    <x v="2"/>
    <n v="208"/>
    <n v="159"/>
    <x v="60"/>
    <x v="60"/>
    <x v="60"/>
    <x v="11"/>
  </r>
  <r>
    <x v="61"/>
    <x v="46"/>
    <x v="1"/>
    <x v="3"/>
    <x v="59"/>
    <n v="223"/>
    <x v="4"/>
    <n v="217"/>
    <n v="137"/>
    <x v="61"/>
    <x v="61"/>
    <x v="61"/>
    <x v="2"/>
  </r>
  <r>
    <x v="62"/>
    <x v="18"/>
    <x v="4"/>
    <x v="3"/>
    <x v="60"/>
    <n v="182"/>
    <x v="1"/>
    <n v="126"/>
    <n v="102"/>
    <x v="62"/>
    <x v="62"/>
    <x v="62"/>
    <x v="11"/>
  </r>
  <r>
    <x v="63"/>
    <x v="47"/>
    <x v="5"/>
    <x v="0"/>
    <x v="61"/>
    <n v="131"/>
    <x v="3"/>
    <n v="112"/>
    <n v="99"/>
    <x v="63"/>
    <x v="63"/>
    <x v="63"/>
    <x v="4"/>
  </r>
  <r>
    <x v="64"/>
    <x v="48"/>
    <x v="8"/>
    <x v="3"/>
    <x v="62"/>
    <n v="189"/>
    <x v="4"/>
    <n v="91"/>
    <n v="81"/>
    <x v="64"/>
    <x v="64"/>
    <x v="64"/>
    <x v="2"/>
  </r>
  <r>
    <x v="65"/>
    <x v="24"/>
    <x v="7"/>
    <x v="0"/>
    <x v="63"/>
    <n v="142"/>
    <x v="2"/>
    <n v="124"/>
    <n v="98"/>
    <x v="65"/>
    <x v="65"/>
    <x v="65"/>
    <x v="7"/>
  </r>
  <r>
    <x v="66"/>
    <x v="18"/>
    <x v="4"/>
    <x v="3"/>
    <x v="64"/>
    <n v="65"/>
    <x v="3"/>
    <n v="74"/>
    <n v="74"/>
    <x v="66"/>
    <x v="66"/>
    <x v="66"/>
    <x v="7"/>
  </r>
  <r>
    <x v="67"/>
    <x v="0"/>
    <x v="0"/>
    <x v="0"/>
    <x v="65"/>
    <n v="108"/>
    <x v="0"/>
    <n v="75"/>
    <n v="49"/>
    <x v="67"/>
    <x v="67"/>
    <x v="67"/>
    <x v="4"/>
  </r>
  <r>
    <x v="68"/>
    <x v="8"/>
    <x v="0"/>
    <x v="2"/>
    <x v="50"/>
    <n v="224"/>
    <x v="2"/>
    <n v="164"/>
    <n v="61"/>
    <x v="68"/>
    <x v="68"/>
    <x v="68"/>
    <x v="9"/>
  </r>
  <r>
    <x v="69"/>
    <x v="0"/>
    <x v="0"/>
    <x v="0"/>
    <x v="66"/>
    <n v="192"/>
    <x v="3"/>
    <n v="171"/>
    <n v="90"/>
    <x v="69"/>
    <x v="69"/>
    <x v="69"/>
    <x v="8"/>
  </r>
  <r>
    <x v="70"/>
    <x v="16"/>
    <x v="9"/>
    <x v="7"/>
    <x v="48"/>
    <n v="122"/>
    <x v="1"/>
    <n v="100"/>
    <n v="90"/>
    <x v="70"/>
    <x v="70"/>
    <x v="70"/>
    <x v="6"/>
  </r>
  <r>
    <x v="71"/>
    <x v="2"/>
    <x v="2"/>
    <x v="1"/>
    <x v="67"/>
    <n v="139"/>
    <x v="4"/>
    <n v="199"/>
    <n v="127"/>
    <x v="71"/>
    <x v="71"/>
    <x v="71"/>
    <x v="8"/>
  </r>
  <r>
    <x v="72"/>
    <x v="5"/>
    <x v="0"/>
    <x v="3"/>
    <x v="11"/>
    <n v="207"/>
    <x v="3"/>
    <n v="109"/>
    <n v="95"/>
    <x v="72"/>
    <x v="72"/>
    <x v="72"/>
    <x v="1"/>
  </r>
  <r>
    <x v="73"/>
    <x v="14"/>
    <x v="4"/>
    <x v="6"/>
    <x v="68"/>
    <n v="164"/>
    <x v="3"/>
    <n v="138"/>
    <n v="81"/>
    <x v="73"/>
    <x v="73"/>
    <x v="73"/>
    <x v="10"/>
  </r>
  <r>
    <x v="74"/>
    <x v="34"/>
    <x v="5"/>
    <x v="4"/>
    <x v="54"/>
    <n v="190"/>
    <x v="1"/>
    <n v="167"/>
    <n v="126"/>
    <x v="74"/>
    <x v="74"/>
    <x v="74"/>
    <x v="9"/>
  </r>
  <r>
    <x v="75"/>
    <x v="49"/>
    <x v="7"/>
    <x v="8"/>
    <x v="69"/>
    <n v="135"/>
    <x v="2"/>
    <n v="157"/>
    <n v="75"/>
    <x v="75"/>
    <x v="75"/>
    <x v="75"/>
    <x v="2"/>
  </r>
  <r>
    <x v="76"/>
    <x v="7"/>
    <x v="2"/>
    <x v="4"/>
    <x v="17"/>
    <n v="106"/>
    <x v="3"/>
    <n v="195"/>
    <n v="182"/>
    <x v="76"/>
    <x v="76"/>
    <x v="76"/>
    <x v="11"/>
  </r>
  <r>
    <x v="77"/>
    <x v="21"/>
    <x v="5"/>
    <x v="8"/>
    <x v="70"/>
    <n v="68"/>
    <x v="2"/>
    <n v="126"/>
    <n v="91"/>
    <x v="77"/>
    <x v="77"/>
    <x v="77"/>
    <x v="1"/>
  </r>
  <r>
    <x v="78"/>
    <x v="42"/>
    <x v="6"/>
    <x v="9"/>
    <x v="71"/>
    <n v="186"/>
    <x v="1"/>
    <n v="158"/>
    <n v="94"/>
    <x v="78"/>
    <x v="78"/>
    <x v="78"/>
    <x v="9"/>
  </r>
  <r>
    <x v="79"/>
    <x v="22"/>
    <x v="5"/>
    <x v="2"/>
    <x v="72"/>
    <n v="109"/>
    <x v="0"/>
    <n v="100"/>
    <n v="86"/>
    <x v="79"/>
    <x v="79"/>
    <x v="79"/>
    <x v="8"/>
  </r>
  <r>
    <x v="80"/>
    <x v="50"/>
    <x v="2"/>
    <x v="5"/>
    <x v="73"/>
    <n v="100"/>
    <x v="3"/>
    <n v="140"/>
    <n v="132"/>
    <x v="80"/>
    <x v="80"/>
    <x v="80"/>
    <x v="5"/>
  </r>
  <r>
    <x v="81"/>
    <x v="8"/>
    <x v="0"/>
    <x v="2"/>
    <x v="74"/>
    <n v="103"/>
    <x v="2"/>
    <n v="115"/>
    <n v="78"/>
    <x v="81"/>
    <x v="81"/>
    <x v="81"/>
    <x v="0"/>
  </r>
  <r>
    <x v="82"/>
    <x v="38"/>
    <x v="4"/>
    <x v="0"/>
    <x v="75"/>
    <n v="186"/>
    <x v="2"/>
    <n v="102"/>
    <n v="80"/>
    <x v="82"/>
    <x v="82"/>
    <x v="82"/>
    <x v="4"/>
  </r>
  <r>
    <x v="83"/>
    <x v="51"/>
    <x v="6"/>
    <x v="2"/>
    <x v="76"/>
    <n v="167"/>
    <x v="3"/>
    <n v="157"/>
    <n v="63"/>
    <x v="83"/>
    <x v="83"/>
    <x v="83"/>
    <x v="9"/>
  </r>
  <r>
    <x v="84"/>
    <x v="52"/>
    <x v="0"/>
    <x v="5"/>
    <x v="77"/>
    <n v="170"/>
    <x v="4"/>
    <n v="217"/>
    <n v="201"/>
    <x v="84"/>
    <x v="84"/>
    <x v="84"/>
    <x v="4"/>
  </r>
  <r>
    <x v="85"/>
    <x v="51"/>
    <x v="6"/>
    <x v="2"/>
    <x v="17"/>
    <n v="108"/>
    <x v="4"/>
    <n v="212"/>
    <n v="146"/>
    <x v="85"/>
    <x v="85"/>
    <x v="85"/>
    <x v="11"/>
  </r>
  <r>
    <x v="86"/>
    <x v="21"/>
    <x v="5"/>
    <x v="8"/>
    <x v="78"/>
    <n v="195"/>
    <x v="3"/>
    <n v="148"/>
    <n v="112"/>
    <x v="86"/>
    <x v="86"/>
    <x v="86"/>
    <x v="8"/>
  </r>
  <r>
    <x v="87"/>
    <x v="44"/>
    <x v="9"/>
    <x v="2"/>
    <x v="35"/>
    <n v="214"/>
    <x v="4"/>
    <n v="110"/>
    <n v="70"/>
    <x v="87"/>
    <x v="87"/>
    <x v="87"/>
    <x v="7"/>
  </r>
  <r>
    <x v="88"/>
    <x v="24"/>
    <x v="7"/>
    <x v="0"/>
    <x v="79"/>
    <n v="160"/>
    <x v="1"/>
    <n v="190"/>
    <n v="114"/>
    <x v="88"/>
    <x v="88"/>
    <x v="88"/>
    <x v="4"/>
  </r>
  <r>
    <x v="89"/>
    <x v="27"/>
    <x v="4"/>
    <x v="8"/>
    <x v="80"/>
    <n v="220"/>
    <x v="0"/>
    <n v="137"/>
    <n v="120"/>
    <x v="89"/>
    <x v="89"/>
    <x v="89"/>
    <x v="11"/>
  </r>
  <r>
    <x v="90"/>
    <x v="7"/>
    <x v="2"/>
    <x v="4"/>
    <x v="81"/>
    <n v="83"/>
    <x v="2"/>
    <n v="106"/>
    <n v="49"/>
    <x v="90"/>
    <x v="90"/>
    <x v="90"/>
    <x v="0"/>
  </r>
  <r>
    <x v="91"/>
    <x v="51"/>
    <x v="6"/>
    <x v="2"/>
    <x v="82"/>
    <n v="76"/>
    <x v="3"/>
    <n v="147"/>
    <n v="129"/>
    <x v="91"/>
    <x v="91"/>
    <x v="91"/>
    <x v="11"/>
  </r>
  <r>
    <x v="92"/>
    <x v="53"/>
    <x v="2"/>
    <x v="3"/>
    <x v="34"/>
    <n v="65"/>
    <x v="1"/>
    <n v="80"/>
    <n v="67"/>
    <x v="92"/>
    <x v="92"/>
    <x v="92"/>
    <x v="11"/>
  </r>
  <r>
    <x v="93"/>
    <x v="54"/>
    <x v="8"/>
    <x v="5"/>
    <x v="83"/>
    <n v="217"/>
    <x v="1"/>
    <n v="220"/>
    <n v="45"/>
    <x v="93"/>
    <x v="93"/>
    <x v="93"/>
    <x v="2"/>
  </r>
  <r>
    <x v="94"/>
    <x v="49"/>
    <x v="7"/>
    <x v="8"/>
    <x v="84"/>
    <n v="211"/>
    <x v="3"/>
    <n v="141"/>
    <n v="63"/>
    <x v="94"/>
    <x v="94"/>
    <x v="94"/>
    <x v="3"/>
  </r>
  <r>
    <x v="95"/>
    <x v="55"/>
    <x v="0"/>
    <x v="8"/>
    <x v="85"/>
    <n v="149"/>
    <x v="2"/>
    <n v="152"/>
    <n v="125"/>
    <x v="95"/>
    <x v="95"/>
    <x v="95"/>
    <x v="6"/>
  </r>
  <r>
    <x v="96"/>
    <x v="56"/>
    <x v="1"/>
    <x v="8"/>
    <x v="86"/>
    <n v="214"/>
    <x v="3"/>
    <n v="210"/>
    <n v="49"/>
    <x v="96"/>
    <x v="96"/>
    <x v="96"/>
    <x v="0"/>
  </r>
  <r>
    <x v="97"/>
    <x v="4"/>
    <x v="4"/>
    <x v="1"/>
    <x v="44"/>
    <n v="148"/>
    <x v="1"/>
    <n v="70"/>
    <n v="61"/>
    <x v="97"/>
    <x v="97"/>
    <x v="97"/>
    <x v="9"/>
  </r>
  <r>
    <x v="98"/>
    <x v="19"/>
    <x v="8"/>
    <x v="2"/>
    <x v="87"/>
    <n v="137"/>
    <x v="1"/>
    <n v="197"/>
    <n v="153"/>
    <x v="98"/>
    <x v="98"/>
    <x v="98"/>
    <x v="3"/>
  </r>
  <r>
    <x v="99"/>
    <x v="50"/>
    <x v="2"/>
    <x v="5"/>
    <x v="88"/>
    <n v="157"/>
    <x v="3"/>
    <n v="101"/>
    <n v="41"/>
    <x v="99"/>
    <x v="99"/>
    <x v="99"/>
    <x v="0"/>
  </r>
  <r>
    <x v="100"/>
    <x v="57"/>
    <x v="2"/>
    <x v="0"/>
    <x v="89"/>
    <n v="149"/>
    <x v="4"/>
    <n v="127"/>
    <n v="54"/>
    <x v="100"/>
    <x v="100"/>
    <x v="100"/>
    <x v="5"/>
  </r>
  <r>
    <x v="101"/>
    <x v="49"/>
    <x v="7"/>
    <x v="8"/>
    <x v="90"/>
    <n v="175"/>
    <x v="2"/>
    <n v="176"/>
    <n v="163"/>
    <x v="101"/>
    <x v="101"/>
    <x v="101"/>
    <x v="0"/>
  </r>
  <r>
    <x v="102"/>
    <x v="50"/>
    <x v="2"/>
    <x v="5"/>
    <x v="91"/>
    <n v="93"/>
    <x v="1"/>
    <n v="200"/>
    <n v="74"/>
    <x v="102"/>
    <x v="102"/>
    <x v="102"/>
    <x v="1"/>
  </r>
  <r>
    <x v="103"/>
    <x v="58"/>
    <x v="3"/>
    <x v="6"/>
    <x v="92"/>
    <n v="45"/>
    <x v="2"/>
    <n v="146"/>
    <n v="115"/>
    <x v="103"/>
    <x v="103"/>
    <x v="103"/>
    <x v="0"/>
  </r>
  <r>
    <x v="104"/>
    <x v="53"/>
    <x v="2"/>
    <x v="3"/>
    <x v="93"/>
    <n v="130"/>
    <x v="1"/>
    <n v="209"/>
    <n v="136"/>
    <x v="104"/>
    <x v="104"/>
    <x v="104"/>
    <x v="6"/>
  </r>
  <r>
    <x v="105"/>
    <x v="35"/>
    <x v="9"/>
    <x v="3"/>
    <x v="94"/>
    <n v="150"/>
    <x v="4"/>
    <n v="151"/>
    <n v="135"/>
    <x v="105"/>
    <x v="105"/>
    <x v="105"/>
    <x v="2"/>
  </r>
  <r>
    <x v="106"/>
    <x v="13"/>
    <x v="1"/>
    <x v="5"/>
    <x v="95"/>
    <n v="54"/>
    <x v="0"/>
    <n v="198"/>
    <n v="191"/>
    <x v="106"/>
    <x v="106"/>
    <x v="106"/>
    <x v="10"/>
  </r>
  <r>
    <x v="107"/>
    <x v="59"/>
    <x v="0"/>
    <x v="6"/>
    <x v="96"/>
    <n v="48"/>
    <x v="0"/>
    <n v="174"/>
    <n v="79"/>
    <x v="107"/>
    <x v="107"/>
    <x v="107"/>
    <x v="9"/>
  </r>
  <r>
    <x v="108"/>
    <x v="40"/>
    <x v="3"/>
    <x v="3"/>
    <x v="97"/>
    <n v="65"/>
    <x v="2"/>
    <n v="206"/>
    <n v="137"/>
    <x v="108"/>
    <x v="108"/>
    <x v="108"/>
    <x v="0"/>
  </r>
  <r>
    <x v="109"/>
    <x v="57"/>
    <x v="2"/>
    <x v="0"/>
    <x v="98"/>
    <n v="62"/>
    <x v="0"/>
    <n v="143"/>
    <n v="69"/>
    <x v="109"/>
    <x v="109"/>
    <x v="109"/>
    <x v="7"/>
  </r>
  <r>
    <x v="110"/>
    <x v="55"/>
    <x v="0"/>
    <x v="8"/>
    <x v="99"/>
    <n v="222"/>
    <x v="2"/>
    <n v="77"/>
    <n v="42"/>
    <x v="110"/>
    <x v="110"/>
    <x v="110"/>
    <x v="3"/>
  </r>
  <r>
    <x v="111"/>
    <x v="60"/>
    <x v="3"/>
    <x v="1"/>
    <x v="100"/>
    <n v="82"/>
    <x v="0"/>
    <n v="205"/>
    <n v="145"/>
    <x v="111"/>
    <x v="111"/>
    <x v="111"/>
    <x v="11"/>
  </r>
  <r>
    <x v="112"/>
    <x v="11"/>
    <x v="7"/>
    <x v="4"/>
    <x v="101"/>
    <n v="201"/>
    <x v="3"/>
    <n v="131"/>
    <n v="103"/>
    <x v="112"/>
    <x v="112"/>
    <x v="112"/>
    <x v="11"/>
  </r>
  <r>
    <x v="113"/>
    <x v="27"/>
    <x v="4"/>
    <x v="8"/>
    <x v="102"/>
    <n v="215"/>
    <x v="4"/>
    <n v="189"/>
    <n v="113"/>
    <x v="113"/>
    <x v="113"/>
    <x v="113"/>
    <x v="7"/>
  </r>
  <r>
    <x v="114"/>
    <x v="61"/>
    <x v="5"/>
    <x v="9"/>
    <x v="103"/>
    <n v="121"/>
    <x v="3"/>
    <n v="134"/>
    <n v="98"/>
    <x v="114"/>
    <x v="114"/>
    <x v="114"/>
    <x v="2"/>
  </r>
  <r>
    <x v="115"/>
    <x v="62"/>
    <x v="5"/>
    <x v="7"/>
    <x v="104"/>
    <n v="142"/>
    <x v="1"/>
    <n v="161"/>
    <n v="113"/>
    <x v="115"/>
    <x v="115"/>
    <x v="115"/>
    <x v="2"/>
  </r>
  <r>
    <x v="116"/>
    <x v="48"/>
    <x v="8"/>
    <x v="3"/>
    <x v="0"/>
    <n v="47"/>
    <x v="1"/>
    <n v="82"/>
    <n v="78"/>
    <x v="116"/>
    <x v="116"/>
    <x v="116"/>
    <x v="0"/>
  </r>
  <r>
    <x v="117"/>
    <x v="42"/>
    <x v="6"/>
    <x v="9"/>
    <x v="53"/>
    <n v="207"/>
    <x v="0"/>
    <n v="134"/>
    <n v="126"/>
    <x v="117"/>
    <x v="117"/>
    <x v="117"/>
    <x v="2"/>
  </r>
  <r>
    <x v="118"/>
    <x v="63"/>
    <x v="8"/>
    <x v="9"/>
    <x v="105"/>
    <n v="53"/>
    <x v="1"/>
    <n v="163"/>
    <n v="133"/>
    <x v="118"/>
    <x v="118"/>
    <x v="118"/>
    <x v="11"/>
  </r>
  <r>
    <x v="119"/>
    <x v="40"/>
    <x v="3"/>
    <x v="3"/>
    <x v="106"/>
    <n v="96"/>
    <x v="0"/>
    <n v="208"/>
    <n v="133"/>
    <x v="119"/>
    <x v="119"/>
    <x v="119"/>
    <x v="3"/>
  </r>
  <r>
    <x v="120"/>
    <x v="41"/>
    <x v="7"/>
    <x v="9"/>
    <x v="107"/>
    <n v="120"/>
    <x v="2"/>
    <n v="99"/>
    <n v="69"/>
    <x v="120"/>
    <x v="120"/>
    <x v="120"/>
    <x v="10"/>
  </r>
  <r>
    <x v="121"/>
    <x v="31"/>
    <x v="1"/>
    <x v="6"/>
    <x v="108"/>
    <n v="68"/>
    <x v="3"/>
    <n v="73"/>
    <n v="56"/>
    <x v="121"/>
    <x v="121"/>
    <x v="121"/>
    <x v="1"/>
  </r>
  <r>
    <x v="122"/>
    <x v="3"/>
    <x v="3"/>
    <x v="2"/>
    <x v="59"/>
    <n v="142"/>
    <x v="2"/>
    <n v="97"/>
    <n v="83"/>
    <x v="122"/>
    <x v="122"/>
    <x v="122"/>
    <x v="2"/>
  </r>
  <r>
    <x v="123"/>
    <x v="26"/>
    <x v="6"/>
    <x v="8"/>
    <x v="109"/>
    <n v="201"/>
    <x v="0"/>
    <n v="86"/>
    <n v="80"/>
    <x v="123"/>
    <x v="123"/>
    <x v="123"/>
    <x v="6"/>
  </r>
  <r>
    <x v="124"/>
    <x v="25"/>
    <x v="1"/>
    <x v="7"/>
    <x v="110"/>
    <n v="56"/>
    <x v="4"/>
    <n v="147"/>
    <n v="103"/>
    <x v="124"/>
    <x v="124"/>
    <x v="124"/>
    <x v="10"/>
  </r>
  <r>
    <x v="125"/>
    <x v="50"/>
    <x v="2"/>
    <x v="5"/>
    <x v="111"/>
    <n v="161"/>
    <x v="2"/>
    <n v="208"/>
    <n v="147"/>
    <x v="125"/>
    <x v="125"/>
    <x v="125"/>
    <x v="4"/>
  </r>
  <r>
    <x v="126"/>
    <x v="55"/>
    <x v="0"/>
    <x v="8"/>
    <x v="112"/>
    <n v="149"/>
    <x v="2"/>
    <n v="78"/>
    <n v="63"/>
    <x v="126"/>
    <x v="126"/>
    <x v="126"/>
    <x v="7"/>
  </r>
  <r>
    <x v="127"/>
    <x v="29"/>
    <x v="9"/>
    <x v="1"/>
    <x v="113"/>
    <n v="220"/>
    <x v="2"/>
    <n v="209"/>
    <n v="205"/>
    <x v="127"/>
    <x v="127"/>
    <x v="127"/>
    <x v="9"/>
  </r>
  <r>
    <x v="128"/>
    <x v="64"/>
    <x v="4"/>
    <x v="4"/>
    <x v="114"/>
    <n v="161"/>
    <x v="4"/>
    <n v="124"/>
    <n v="122"/>
    <x v="128"/>
    <x v="128"/>
    <x v="128"/>
    <x v="10"/>
  </r>
  <r>
    <x v="129"/>
    <x v="65"/>
    <x v="9"/>
    <x v="5"/>
    <x v="115"/>
    <n v="97"/>
    <x v="4"/>
    <n v="211"/>
    <n v="93"/>
    <x v="129"/>
    <x v="129"/>
    <x v="129"/>
    <x v="2"/>
  </r>
  <r>
    <x v="130"/>
    <x v="24"/>
    <x v="7"/>
    <x v="0"/>
    <x v="116"/>
    <n v="82"/>
    <x v="0"/>
    <n v="208"/>
    <n v="104"/>
    <x v="130"/>
    <x v="130"/>
    <x v="130"/>
    <x v="0"/>
  </r>
  <r>
    <x v="131"/>
    <x v="33"/>
    <x v="8"/>
    <x v="4"/>
    <x v="117"/>
    <n v="136"/>
    <x v="0"/>
    <n v="220"/>
    <n v="122"/>
    <x v="131"/>
    <x v="131"/>
    <x v="131"/>
    <x v="1"/>
  </r>
  <r>
    <x v="132"/>
    <x v="33"/>
    <x v="8"/>
    <x v="4"/>
    <x v="118"/>
    <n v="179"/>
    <x v="4"/>
    <n v="86"/>
    <n v="70"/>
    <x v="132"/>
    <x v="132"/>
    <x v="132"/>
    <x v="11"/>
  </r>
  <r>
    <x v="133"/>
    <x v="66"/>
    <x v="6"/>
    <x v="7"/>
    <x v="119"/>
    <n v="173"/>
    <x v="0"/>
    <n v="81"/>
    <n v="73"/>
    <x v="133"/>
    <x v="133"/>
    <x v="133"/>
    <x v="9"/>
  </r>
  <r>
    <x v="134"/>
    <x v="67"/>
    <x v="8"/>
    <x v="7"/>
    <x v="120"/>
    <n v="147"/>
    <x v="3"/>
    <n v="97"/>
    <n v="71"/>
    <x v="134"/>
    <x v="134"/>
    <x v="134"/>
    <x v="10"/>
  </r>
  <r>
    <x v="135"/>
    <x v="68"/>
    <x v="3"/>
    <x v="5"/>
    <x v="121"/>
    <n v="77"/>
    <x v="2"/>
    <n v="219"/>
    <n v="180"/>
    <x v="135"/>
    <x v="135"/>
    <x v="135"/>
    <x v="11"/>
  </r>
  <r>
    <x v="136"/>
    <x v="12"/>
    <x v="2"/>
    <x v="2"/>
    <x v="14"/>
    <n v="174"/>
    <x v="1"/>
    <n v="180"/>
    <n v="65"/>
    <x v="136"/>
    <x v="136"/>
    <x v="136"/>
    <x v="9"/>
  </r>
  <r>
    <x v="137"/>
    <x v="7"/>
    <x v="2"/>
    <x v="4"/>
    <x v="122"/>
    <n v="160"/>
    <x v="0"/>
    <n v="175"/>
    <n v="126"/>
    <x v="137"/>
    <x v="137"/>
    <x v="137"/>
    <x v="11"/>
  </r>
  <r>
    <x v="138"/>
    <x v="39"/>
    <x v="0"/>
    <x v="1"/>
    <x v="123"/>
    <n v="125"/>
    <x v="2"/>
    <n v="165"/>
    <n v="162"/>
    <x v="138"/>
    <x v="138"/>
    <x v="138"/>
    <x v="11"/>
  </r>
  <r>
    <x v="139"/>
    <x v="52"/>
    <x v="0"/>
    <x v="5"/>
    <x v="17"/>
    <n v="68"/>
    <x v="3"/>
    <n v="94"/>
    <n v="87"/>
    <x v="139"/>
    <x v="139"/>
    <x v="139"/>
    <x v="11"/>
  </r>
  <r>
    <x v="140"/>
    <x v="23"/>
    <x v="8"/>
    <x v="6"/>
    <x v="124"/>
    <n v="129"/>
    <x v="4"/>
    <n v="175"/>
    <n v="130"/>
    <x v="140"/>
    <x v="140"/>
    <x v="140"/>
    <x v="5"/>
  </r>
  <r>
    <x v="141"/>
    <x v="51"/>
    <x v="6"/>
    <x v="2"/>
    <x v="125"/>
    <n v="71"/>
    <x v="1"/>
    <n v="199"/>
    <n v="94"/>
    <x v="141"/>
    <x v="141"/>
    <x v="141"/>
    <x v="6"/>
  </r>
  <r>
    <x v="142"/>
    <x v="16"/>
    <x v="9"/>
    <x v="7"/>
    <x v="126"/>
    <n v="187"/>
    <x v="2"/>
    <n v="99"/>
    <n v="88"/>
    <x v="142"/>
    <x v="142"/>
    <x v="142"/>
    <x v="6"/>
  </r>
  <r>
    <x v="143"/>
    <x v="31"/>
    <x v="1"/>
    <x v="6"/>
    <x v="127"/>
    <n v="202"/>
    <x v="1"/>
    <n v="76"/>
    <n v="57"/>
    <x v="143"/>
    <x v="143"/>
    <x v="143"/>
    <x v="7"/>
  </r>
  <r>
    <x v="144"/>
    <x v="4"/>
    <x v="4"/>
    <x v="1"/>
    <x v="128"/>
    <n v="46"/>
    <x v="0"/>
    <n v="106"/>
    <n v="91"/>
    <x v="144"/>
    <x v="144"/>
    <x v="144"/>
    <x v="6"/>
  </r>
  <r>
    <x v="145"/>
    <x v="54"/>
    <x v="8"/>
    <x v="5"/>
    <x v="129"/>
    <n v="100"/>
    <x v="3"/>
    <n v="177"/>
    <n v="156"/>
    <x v="145"/>
    <x v="145"/>
    <x v="145"/>
    <x v="3"/>
  </r>
  <r>
    <x v="146"/>
    <x v="4"/>
    <x v="4"/>
    <x v="1"/>
    <x v="130"/>
    <n v="197"/>
    <x v="4"/>
    <n v="83"/>
    <n v="49"/>
    <x v="146"/>
    <x v="146"/>
    <x v="146"/>
    <x v="2"/>
  </r>
  <r>
    <x v="147"/>
    <x v="43"/>
    <x v="0"/>
    <x v="9"/>
    <x v="131"/>
    <n v="214"/>
    <x v="3"/>
    <n v="194"/>
    <n v="153"/>
    <x v="147"/>
    <x v="147"/>
    <x v="147"/>
    <x v="11"/>
  </r>
  <r>
    <x v="148"/>
    <x v="69"/>
    <x v="2"/>
    <x v="7"/>
    <x v="93"/>
    <n v="155"/>
    <x v="4"/>
    <n v="142"/>
    <n v="126"/>
    <x v="148"/>
    <x v="148"/>
    <x v="148"/>
    <x v="6"/>
  </r>
  <r>
    <x v="149"/>
    <x v="38"/>
    <x v="4"/>
    <x v="0"/>
    <x v="2"/>
    <n v="146"/>
    <x v="1"/>
    <n v="84"/>
    <n v="40"/>
    <x v="149"/>
    <x v="149"/>
    <x v="149"/>
    <x v="2"/>
  </r>
  <r>
    <x v="150"/>
    <x v="41"/>
    <x v="7"/>
    <x v="9"/>
    <x v="132"/>
    <n v="128"/>
    <x v="4"/>
    <n v="71"/>
    <n v="71"/>
    <x v="150"/>
    <x v="150"/>
    <x v="150"/>
    <x v="0"/>
  </r>
  <r>
    <x v="151"/>
    <x v="31"/>
    <x v="1"/>
    <x v="6"/>
    <x v="133"/>
    <n v="103"/>
    <x v="1"/>
    <n v="213"/>
    <n v="211"/>
    <x v="151"/>
    <x v="151"/>
    <x v="151"/>
    <x v="6"/>
  </r>
  <r>
    <x v="152"/>
    <x v="48"/>
    <x v="8"/>
    <x v="3"/>
    <x v="134"/>
    <n v="162"/>
    <x v="4"/>
    <n v="150"/>
    <n v="113"/>
    <x v="152"/>
    <x v="152"/>
    <x v="152"/>
    <x v="1"/>
  </r>
  <r>
    <x v="153"/>
    <x v="30"/>
    <x v="1"/>
    <x v="2"/>
    <x v="135"/>
    <n v="148"/>
    <x v="4"/>
    <n v="153"/>
    <n v="61"/>
    <x v="153"/>
    <x v="153"/>
    <x v="153"/>
    <x v="9"/>
  </r>
  <r>
    <x v="154"/>
    <x v="5"/>
    <x v="0"/>
    <x v="3"/>
    <x v="136"/>
    <n v="107"/>
    <x v="3"/>
    <n v="220"/>
    <n v="142"/>
    <x v="154"/>
    <x v="119"/>
    <x v="154"/>
    <x v="9"/>
  </r>
  <r>
    <x v="155"/>
    <x v="4"/>
    <x v="4"/>
    <x v="1"/>
    <x v="137"/>
    <n v="130"/>
    <x v="0"/>
    <n v="89"/>
    <n v="72"/>
    <x v="155"/>
    <x v="154"/>
    <x v="155"/>
    <x v="2"/>
  </r>
  <r>
    <x v="156"/>
    <x v="29"/>
    <x v="9"/>
    <x v="1"/>
    <x v="128"/>
    <n v="231"/>
    <x v="0"/>
    <n v="130"/>
    <n v="53"/>
    <x v="156"/>
    <x v="155"/>
    <x v="156"/>
    <x v="6"/>
  </r>
  <r>
    <x v="157"/>
    <x v="11"/>
    <x v="7"/>
    <x v="4"/>
    <x v="138"/>
    <n v="64"/>
    <x v="0"/>
    <n v="196"/>
    <n v="158"/>
    <x v="157"/>
    <x v="156"/>
    <x v="157"/>
    <x v="8"/>
  </r>
  <r>
    <x v="158"/>
    <x v="42"/>
    <x v="6"/>
    <x v="9"/>
    <x v="139"/>
    <n v="125"/>
    <x v="0"/>
    <n v="182"/>
    <n v="57"/>
    <x v="158"/>
    <x v="157"/>
    <x v="158"/>
    <x v="0"/>
  </r>
  <r>
    <x v="159"/>
    <x v="70"/>
    <x v="4"/>
    <x v="9"/>
    <x v="140"/>
    <n v="59"/>
    <x v="2"/>
    <n v="199"/>
    <n v="58"/>
    <x v="159"/>
    <x v="158"/>
    <x v="159"/>
    <x v="2"/>
  </r>
  <r>
    <x v="160"/>
    <x v="67"/>
    <x v="8"/>
    <x v="7"/>
    <x v="141"/>
    <n v="118"/>
    <x v="4"/>
    <n v="93"/>
    <n v="79"/>
    <x v="160"/>
    <x v="159"/>
    <x v="160"/>
    <x v="1"/>
  </r>
  <r>
    <x v="161"/>
    <x v="26"/>
    <x v="6"/>
    <x v="8"/>
    <x v="142"/>
    <n v="160"/>
    <x v="1"/>
    <n v="118"/>
    <n v="81"/>
    <x v="161"/>
    <x v="160"/>
    <x v="161"/>
    <x v="4"/>
  </r>
  <r>
    <x v="162"/>
    <x v="71"/>
    <x v="8"/>
    <x v="8"/>
    <x v="143"/>
    <n v="132"/>
    <x v="4"/>
    <n v="199"/>
    <n v="84"/>
    <x v="162"/>
    <x v="161"/>
    <x v="162"/>
    <x v="9"/>
  </r>
  <r>
    <x v="163"/>
    <x v="17"/>
    <x v="5"/>
    <x v="6"/>
    <x v="144"/>
    <n v="201"/>
    <x v="0"/>
    <n v="163"/>
    <n v="87"/>
    <x v="163"/>
    <x v="162"/>
    <x v="163"/>
    <x v="3"/>
  </r>
  <r>
    <x v="164"/>
    <x v="36"/>
    <x v="3"/>
    <x v="0"/>
    <x v="145"/>
    <n v="210"/>
    <x v="2"/>
    <n v="86"/>
    <n v="61"/>
    <x v="164"/>
    <x v="163"/>
    <x v="164"/>
    <x v="0"/>
  </r>
  <r>
    <x v="165"/>
    <x v="70"/>
    <x v="4"/>
    <x v="9"/>
    <x v="146"/>
    <n v="199"/>
    <x v="0"/>
    <n v="155"/>
    <n v="50"/>
    <x v="165"/>
    <x v="164"/>
    <x v="165"/>
    <x v="8"/>
  </r>
  <r>
    <x v="166"/>
    <x v="13"/>
    <x v="1"/>
    <x v="5"/>
    <x v="147"/>
    <n v="226"/>
    <x v="4"/>
    <n v="149"/>
    <n v="111"/>
    <x v="166"/>
    <x v="165"/>
    <x v="166"/>
    <x v="7"/>
  </r>
  <r>
    <x v="167"/>
    <x v="72"/>
    <x v="7"/>
    <x v="6"/>
    <x v="148"/>
    <n v="210"/>
    <x v="3"/>
    <n v="200"/>
    <n v="132"/>
    <x v="167"/>
    <x v="166"/>
    <x v="167"/>
    <x v="9"/>
  </r>
  <r>
    <x v="168"/>
    <x v="73"/>
    <x v="7"/>
    <x v="2"/>
    <x v="149"/>
    <n v="169"/>
    <x v="0"/>
    <n v="127"/>
    <n v="57"/>
    <x v="168"/>
    <x v="167"/>
    <x v="168"/>
    <x v="6"/>
  </r>
  <r>
    <x v="169"/>
    <x v="59"/>
    <x v="0"/>
    <x v="6"/>
    <x v="150"/>
    <n v="234"/>
    <x v="1"/>
    <n v="79"/>
    <n v="61"/>
    <x v="169"/>
    <x v="168"/>
    <x v="169"/>
    <x v="5"/>
  </r>
  <r>
    <x v="170"/>
    <x v="11"/>
    <x v="7"/>
    <x v="4"/>
    <x v="151"/>
    <n v="222"/>
    <x v="1"/>
    <n v="112"/>
    <n v="96"/>
    <x v="170"/>
    <x v="169"/>
    <x v="170"/>
    <x v="5"/>
  </r>
  <r>
    <x v="171"/>
    <x v="74"/>
    <x v="9"/>
    <x v="8"/>
    <x v="152"/>
    <n v="117"/>
    <x v="3"/>
    <n v="129"/>
    <n v="108"/>
    <x v="171"/>
    <x v="170"/>
    <x v="171"/>
    <x v="7"/>
  </r>
  <r>
    <x v="172"/>
    <x v="29"/>
    <x v="9"/>
    <x v="1"/>
    <x v="153"/>
    <n v="191"/>
    <x v="3"/>
    <n v="188"/>
    <n v="112"/>
    <x v="172"/>
    <x v="171"/>
    <x v="172"/>
    <x v="8"/>
  </r>
  <r>
    <x v="173"/>
    <x v="13"/>
    <x v="1"/>
    <x v="5"/>
    <x v="42"/>
    <n v="199"/>
    <x v="0"/>
    <n v="134"/>
    <n v="46"/>
    <x v="173"/>
    <x v="172"/>
    <x v="173"/>
    <x v="5"/>
  </r>
  <r>
    <x v="174"/>
    <x v="59"/>
    <x v="0"/>
    <x v="6"/>
    <x v="154"/>
    <n v="117"/>
    <x v="4"/>
    <n v="111"/>
    <n v="74"/>
    <x v="174"/>
    <x v="173"/>
    <x v="174"/>
    <x v="10"/>
  </r>
  <r>
    <x v="175"/>
    <x v="25"/>
    <x v="1"/>
    <x v="7"/>
    <x v="155"/>
    <n v="160"/>
    <x v="2"/>
    <n v="76"/>
    <n v="66"/>
    <x v="175"/>
    <x v="174"/>
    <x v="175"/>
    <x v="2"/>
  </r>
  <r>
    <x v="176"/>
    <x v="75"/>
    <x v="3"/>
    <x v="4"/>
    <x v="156"/>
    <n v="65"/>
    <x v="2"/>
    <n v="127"/>
    <n v="43"/>
    <x v="176"/>
    <x v="175"/>
    <x v="176"/>
    <x v="1"/>
  </r>
  <r>
    <x v="177"/>
    <x v="68"/>
    <x v="3"/>
    <x v="5"/>
    <x v="157"/>
    <n v="54"/>
    <x v="2"/>
    <n v="190"/>
    <n v="75"/>
    <x v="177"/>
    <x v="176"/>
    <x v="177"/>
    <x v="10"/>
  </r>
  <r>
    <x v="178"/>
    <x v="54"/>
    <x v="8"/>
    <x v="5"/>
    <x v="134"/>
    <n v="110"/>
    <x v="0"/>
    <n v="108"/>
    <n v="107"/>
    <x v="178"/>
    <x v="177"/>
    <x v="178"/>
    <x v="1"/>
  </r>
  <r>
    <x v="179"/>
    <x v="76"/>
    <x v="9"/>
    <x v="9"/>
    <x v="158"/>
    <n v="57"/>
    <x v="0"/>
    <n v="177"/>
    <n v="157"/>
    <x v="179"/>
    <x v="178"/>
    <x v="179"/>
    <x v="10"/>
  </r>
  <r>
    <x v="180"/>
    <x v="26"/>
    <x v="6"/>
    <x v="8"/>
    <x v="159"/>
    <n v="206"/>
    <x v="1"/>
    <n v="217"/>
    <n v="101"/>
    <x v="180"/>
    <x v="179"/>
    <x v="180"/>
    <x v="1"/>
  </r>
  <r>
    <x v="181"/>
    <x v="15"/>
    <x v="8"/>
    <x v="1"/>
    <x v="160"/>
    <n v="191"/>
    <x v="3"/>
    <n v="117"/>
    <n v="50"/>
    <x v="181"/>
    <x v="180"/>
    <x v="181"/>
    <x v="7"/>
  </r>
  <r>
    <x v="182"/>
    <x v="77"/>
    <x v="2"/>
    <x v="6"/>
    <x v="161"/>
    <n v="174"/>
    <x v="1"/>
    <n v="75"/>
    <n v="64"/>
    <x v="182"/>
    <x v="181"/>
    <x v="182"/>
    <x v="3"/>
  </r>
  <r>
    <x v="183"/>
    <x v="37"/>
    <x v="1"/>
    <x v="9"/>
    <x v="162"/>
    <n v="236"/>
    <x v="4"/>
    <n v="161"/>
    <n v="140"/>
    <x v="183"/>
    <x v="182"/>
    <x v="183"/>
    <x v="7"/>
  </r>
  <r>
    <x v="184"/>
    <x v="39"/>
    <x v="0"/>
    <x v="1"/>
    <x v="163"/>
    <n v="56"/>
    <x v="2"/>
    <n v="209"/>
    <n v="126"/>
    <x v="184"/>
    <x v="183"/>
    <x v="184"/>
    <x v="10"/>
  </r>
  <r>
    <x v="185"/>
    <x v="9"/>
    <x v="5"/>
    <x v="5"/>
    <x v="164"/>
    <n v="61"/>
    <x v="3"/>
    <n v="79"/>
    <n v="58"/>
    <x v="185"/>
    <x v="184"/>
    <x v="185"/>
    <x v="10"/>
  </r>
  <r>
    <x v="186"/>
    <x v="15"/>
    <x v="8"/>
    <x v="1"/>
    <x v="165"/>
    <n v="176"/>
    <x v="3"/>
    <n v="209"/>
    <n v="161"/>
    <x v="186"/>
    <x v="185"/>
    <x v="186"/>
    <x v="8"/>
  </r>
  <r>
    <x v="187"/>
    <x v="76"/>
    <x v="9"/>
    <x v="9"/>
    <x v="166"/>
    <n v="57"/>
    <x v="2"/>
    <n v="139"/>
    <n v="55"/>
    <x v="187"/>
    <x v="186"/>
    <x v="187"/>
    <x v="1"/>
  </r>
  <r>
    <x v="188"/>
    <x v="78"/>
    <x v="5"/>
    <x v="1"/>
    <x v="167"/>
    <n v="92"/>
    <x v="3"/>
    <n v="197"/>
    <n v="134"/>
    <x v="188"/>
    <x v="187"/>
    <x v="188"/>
    <x v="6"/>
  </r>
  <r>
    <x v="189"/>
    <x v="25"/>
    <x v="1"/>
    <x v="7"/>
    <x v="122"/>
    <n v="199"/>
    <x v="0"/>
    <n v="209"/>
    <n v="115"/>
    <x v="189"/>
    <x v="188"/>
    <x v="189"/>
    <x v="11"/>
  </r>
  <r>
    <x v="190"/>
    <x v="3"/>
    <x v="3"/>
    <x v="2"/>
    <x v="72"/>
    <n v="159"/>
    <x v="1"/>
    <n v="179"/>
    <n v="82"/>
    <x v="190"/>
    <x v="189"/>
    <x v="190"/>
    <x v="8"/>
  </r>
  <r>
    <x v="191"/>
    <x v="15"/>
    <x v="8"/>
    <x v="1"/>
    <x v="168"/>
    <n v="156"/>
    <x v="2"/>
    <n v="84"/>
    <n v="44"/>
    <x v="191"/>
    <x v="190"/>
    <x v="191"/>
    <x v="7"/>
  </r>
  <r>
    <x v="192"/>
    <x v="24"/>
    <x v="7"/>
    <x v="0"/>
    <x v="169"/>
    <n v="200"/>
    <x v="3"/>
    <n v="78"/>
    <n v="48"/>
    <x v="192"/>
    <x v="191"/>
    <x v="192"/>
    <x v="10"/>
  </r>
  <r>
    <x v="193"/>
    <x v="60"/>
    <x v="3"/>
    <x v="1"/>
    <x v="91"/>
    <n v="190"/>
    <x v="4"/>
    <n v="109"/>
    <n v="97"/>
    <x v="193"/>
    <x v="192"/>
    <x v="193"/>
    <x v="1"/>
  </r>
  <r>
    <x v="194"/>
    <x v="6"/>
    <x v="0"/>
    <x v="4"/>
    <x v="170"/>
    <n v="138"/>
    <x v="3"/>
    <n v="150"/>
    <n v="123"/>
    <x v="194"/>
    <x v="193"/>
    <x v="194"/>
    <x v="3"/>
  </r>
  <r>
    <x v="195"/>
    <x v="33"/>
    <x v="8"/>
    <x v="4"/>
    <x v="171"/>
    <n v="177"/>
    <x v="3"/>
    <n v="213"/>
    <n v="70"/>
    <x v="195"/>
    <x v="194"/>
    <x v="195"/>
    <x v="10"/>
  </r>
  <r>
    <x v="196"/>
    <x v="76"/>
    <x v="9"/>
    <x v="9"/>
    <x v="172"/>
    <n v="170"/>
    <x v="0"/>
    <n v="101"/>
    <n v="48"/>
    <x v="196"/>
    <x v="195"/>
    <x v="196"/>
    <x v="6"/>
  </r>
  <r>
    <x v="197"/>
    <x v="62"/>
    <x v="5"/>
    <x v="7"/>
    <x v="173"/>
    <n v="126"/>
    <x v="2"/>
    <n v="86"/>
    <n v="75"/>
    <x v="197"/>
    <x v="196"/>
    <x v="197"/>
    <x v="8"/>
  </r>
  <r>
    <x v="198"/>
    <x v="11"/>
    <x v="7"/>
    <x v="4"/>
    <x v="11"/>
    <n v="175"/>
    <x v="0"/>
    <n v="101"/>
    <n v="52"/>
    <x v="198"/>
    <x v="197"/>
    <x v="198"/>
    <x v="1"/>
  </r>
  <r>
    <x v="199"/>
    <x v="15"/>
    <x v="8"/>
    <x v="1"/>
    <x v="174"/>
    <n v="191"/>
    <x v="2"/>
    <n v="189"/>
    <n v="181"/>
    <x v="199"/>
    <x v="198"/>
    <x v="199"/>
    <x v="5"/>
  </r>
  <r>
    <x v="200"/>
    <x v="43"/>
    <x v="0"/>
    <x v="9"/>
    <x v="175"/>
    <n v="228"/>
    <x v="3"/>
    <n v="204"/>
    <n v="145"/>
    <x v="200"/>
    <x v="199"/>
    <x v="200"/>
    <x v="4"/>
  </r>
  <r>
    <x v="201"/>
    <x v="79"/>
    <x v="7"/>
    <x v="1"/>
    <x v="176"/>
    <n v="63"/>
    <x v="3"/>
    <n v="189"/>
    <n v="172"/>
    <x v="201"/>
    <x v="200"/>
    <x v="201"/>
    <x v="0"/>
  </r>
  <r>
    <x v="202"/>
    <x v="80"/>
    <x v="6"/>
    <x v="5"/>
    <x v="177"/>
    <n v="155"/>
    <x v="1"/>
    <n v="84"/>
    <n v="47"/>
    <x v="202"/>
    <x v="201"/>
    <x v="202"/>
    <x v="10"/>
  </r>
  <r>
    <x v="203"/>
    <x v="11"/>
    <x v="7"/>
    <x v="4"/>
    <x v="178"/>
    <n v="226"/>
    <x v="0"/>
    <n v="158"/>
    <n v="106"/>
    <x v="203"/>
    <x v="202"/>
    <x v="203"/>
    <x v="8"/>
  </r>
  <r>
    <x v="204"/>
    <x v="20"/>
    <x v="9"/>
    <x v="6"/>
    <x v="0"/>
    <n v="77"/>
    <x v="2"/>
    <n v="206"/>
    <n v="63"/>
    <x v="204"/>
    <x v="203"/>
    <x v="204"/>
    <x v="0"/>
  </r>
  <r>
    <x v="205"/>
    <x v="80"/>
    <x v="6"/>
    <x v="5"/>
    <x v="179"/>
    <n v="213"/>
    <x v="1"/>
    <n v="156"/>
    <n v="147"/>
    <x v="205"/>
    <x v="204"/>
    <x v="205"/>
    <x v="3"/>
  </r>
  <r>
    <x v="206"/>
    <x v="0"/>
    <x v="0"/>
    <x v="0"/>
    <x v="180"/>
    <n v="192"/>
    <x v="2"/>
    <n v="123"/>
    <n v="113"/>
    <x v="206"/>
    <x v="205"/>
    <x v="206"/>
    <x v="0"/>
  </r>
  <r>
    <x v="207"/>
    <x v="71"/>
    <x v="8"/>
    <x v="8"/>
    <x v="139"/>
    <n v="184"/>
    <x v="2"/>
    <n v="147"/>
    <n v="101"/>
    <x v="207"/>
    <x v="206"/>
    <x v="207"/>
    <x v="0"/>
  </r>
  <r>
    <x v="208"/>
    <x v="27"/>
    <x v="4"/>
    <x v="8"/>
    <x v="181"/>
    <n v="221"/>
    <x v="4"/>
    <n v="110"/>
    <n v="96"/>
    <x v="208"/>
    <x v="207"/>
    <x v="208"/>
    <x v="11"/>
  </r>
  <r>
    <x v="209"/>
    <x v="29"/>
    <x v="9"/>
    <x v="1"/>
    <x v="182"/>
    <n v="81"/>
    <x v="2"/>
    <n v="151"/>
    <n v="133"/>
    <x v="209"/>
    <x v="208"/>
    <x v="209"/>
    <x v="7"/>
  </r>
  <r>
    <x v="210"/>
    <x v="58"/>
    <x v="3"/>
    <x v="6"/>
    <x v="124"/>
    <n v="72"/>
    <x v="2"/>
    <n v="131"/>
    <n v="99"/>
    <x v="210"/>
    <x v="209"/>
    <x v="210"/>
    <x v="5"/>
  </r>
  <r>
    <x v="211"/>
    <x v="65"/>
    <x v="9"/>
    <x v="5"/>
    <x v="23"/>
    <n v="57"/>
    <x v="2"/>
    <n v="168"/>
    <n v="147"/>
    <x v="211"/>
    <x v="210"/>
    <x v="211"/>
    <x v="9"/>
  </r>
  <r>
    <x v="212"/>
    <x v="42"/>
    <x v="6"/>
    <x v="9"/>
    <x v="183"/>
    <n v="240"/>
    <x v="0"/>
    <n v="197"/>
    <n v="171"/>
    <x v="212"/>
    <x v="211"/>
    <x v="212"/>
    <x v="5"/>
  </r>
  <r>
    <x v="213"/>
    <x v="47"/>
    <x v="5"/>
    <x v="0"/>
    <x v="184"/>
    <n v="145"/>
    <x v="1"/>
    <n v="187"/>
    <n v="101"/>
    <x v="213"/>
    <x v="212"/>
    <x v="213"/>
    <x v="9"/>
  </r>
  <r>
    <x v="214"/>
    <x v="67"/>
    <x v="8"/>
    <x v="7"/>
    <x v="185"/>
    <n v="171"/>
    <x v="1"/>
    <n v="190"/>
    <n v="113"/>
    <x v="214"/>
    <x v="213"/>
    <x v="214"/>
    <x v="0"/>
  </r>
  <r>
    <x v="215"/>
    <x v="13"/>
    <x v="1"/>
    <x v="5"/>
    <x v="35"/>
    <n v="231"/>
    <x v="2"/>
    <n v="173"/>
    <n v="133"/>
    <x v="215"/>
    <x v="214"/>
    <x v="215"/>
    <x v="7"/>
  </r>
  <r>
    <x v="216"/>
    <x v="26"/>
    <x v="6"/>
    <x v="8"/>
    <x v="186"/>
    <n v="137"/>
    <x v="1"/>
    <n v="143"/>
    <n v="49"/>
    <x v="216"/>
    <x v="215"/>
    <x v="216"/>
    <x v="5"/>
  </r>
  <r>
    <x v="217"/>
    <x v="12"/>
    <x v="2"/>
    <x v="2"/>
    <x v="47"/>
    <n v="219"/>
    <x v="1"/>
    <n v="100"/>
    <n v="48"/>
    <x v="217"/>
    <x v="216"/>
    <x v="217"/>
    <x v="0"/>
  </r>
  <r>
    <x v="218"/>
    <x v="58"/>
    <x v="3"/>
    <x v="6"/>
    <x v="108"/>
    <n v="238"/>
    <x v="0"/>
    <n v="120"/>
    <n v="117"/>
    <x v="218"/>
    <x v="217"/>
    <x v="218"/>
    <x v="1"/>
  </r>
  <r>
    <x v="219"/>
    <x v="67"/>
    <x v="8"/>
    <x v="7"/>
    <x v="187"/>
    <n v="80"/>
    <x v="2"/>
    <n v="191"/>
    <n v="172"/>
    <x v="219"/>
    <x v="218"/>
    <x v="219"/>
    <x v="4"/>
  </r>
  <r>
    <x v="220"/>
    <x v="50"/>
    <x v="2"/>
    <x v="5"/>
    <x v="109"/>
    <n v="201"/>
    <x v="2"/>
    <n v="111"/>
    <n v="90"/>
    <x v="220"/>
    <x v="219"/>
    <x v="220"/>
    <x v="6"/>
  </r>
  <r>
    <x v="221"/>
    <x v="77"/>
    <x v="2"/>
    <x v="6"/>
    <x v="188"/>
    <n v="170"/>
    <x v="1"/>
    <n v="146"/>
    <n v="100"/>
    <x v="221"/>
    <x v="220"/>
    <x v="221"/>
    <x v="3"/>
  </r>
  <r>
    <x v="222"/>
    <x v="5"/>
    <x v="0"/>
    <x v="3"/>
    <x v="189"/>
    <n v="123"/>
    <x v="4"/>
    <n v="191"/>
    <n v="107"/>
    <x v="222"/>
    <x v="221"/>
    <x v="222"/>
    <x v="2"/>
  </r>
  <r>
    <x v="223"/>
    <x v="71"/>
    <x v="8"/>
    <x v="8"/>
    <x v="190"/>
    <n v="179"/>
    <x v="1"/>
    <n v="167"/>
    <n v="77"/>
    <x v="223"/>
    <x v="222"/>
    <x v="223"/>
    <x v="3"/>
  </r>
  <r>
    <x v="224"/>
    <x v="8"/>
    <x v="0"/>
    <x v="2"/>
    <x v="134"/>
    <n v="157"/>
    <x v="2"/>
    <n v="177"/>
    <n v="78"/>
    <x v="224"/>
    <x v="223"/>
    <x v="224"/>
    <x v="1"/>
  </r>
  <r>
    <x v="225"/>
    <x v="31"/>
    <x v="1"/>
    <x v="6"/>
    <x v="191"/>
    <n v="165"/>
    <x v="4"/>
    <n v="105"/>
    <n v="66"/>
    <x v="225"/>
    <x v="224"/>
    <x v="225"/>
    <x v="7"/>
  </r>
  <r>
    <x v="226"/>
    <x v="17"/>
    <x v="5"/>
    <x v="6"/>
    <x v="192"/>
    <n v="125"/>
    <x v="0"/>
    <n v="187"/>
    <n v="176"/>
    <x v="226"/>
    <x v="225"/>
    <x v="226"/>
    <x v="1"/>
  </r>
  <r>
    <x v="227"/>
    <x v="27"/>
    <x v="4"/>
    <x v="8"/>
    <x v="73"/>
    <n v="108"/>
    <x v="2"/>
    <n v="212"/>
    <n v="116"/>
    <x v="227"/>
    <x v="160"/>
    <x v="227"/>
    <x v="5"/>
  </r>
  <r>
    <x v="228"/>
    <x v="74"/>
    <x v="9"/>
    <x v="8"/>
    <x v="193"/>
    <n v="167"/>
    <x v="2"/>
    <n v="213"/>
    <n v="110"/>
    <x v="228"/>
    <x v="226"/>
    <x v="228"/>
    <x v="8"/>
  </r>
  <r>
    <x v="229"/>
    <x v="2"/>
    <x v="2"/>
    <x v="1"/>
    <x v="194"/>
    <n v="133"/>
    <x v="0"/>
    <n v="144"/>
    <n v="45"/>
    <x v="229"/>
    <x v="227"/>
    <x v="229"/>
    <x v="4"/>
  </r>
  <r>
    <x v="230"/>
    <x v="22"/>
    <x v="5"/>
    <x v="2"/>
    <x v="120"/>
    <n v="99"/>
    <x v="0"/>
    <n v="207"/>
    <n v="109"/>
    <x v="230"/>
    <x v="228"/>
    <x v="230"/>
    <x v="10"/>
  </r>
  <r>
    <x v="231"/>
    <x v="81"/>
    <x v="7"/>
    <x v="7"/>
    <x v="112"/>
    <n v="234"/>
    <x v="1"/>
    <n v="131"/>
    <n v="71"/>
    <x v="231"/>
    <x v="229"/>
    <x v="231"/>
    <x v="7"/>
  </r>
  <r>
    <x v="232"/>
    <x v="44"/>
    <x v="9"/>
    <x v="2"/>
    <x v="195"/>
    <n v="70"/>
    <x v="3"/>
    <n v="154"/>
    <n v="131"/>
    <x v="232"/>
    <x v="230"/>
    <x v="232"/>
    <x v="4"/>
  </r>
  <r>
    <x v="233"/>
    <x v="23"/>
    <x v="8"/>
    <x v="6"/>
    <x v="196"/>
    <n v="149"/>
    <x v="3"/>
    <n v="192"/>
    <n v="91"/>
    <x v="233"/>
    <x v="231"/>
    <x v="233"/>
    <x v="3"/>
  </r>
  <r>
    <x v="234"/>
    <x v="54"/>
    <x v="8"/>
    <x v="5"/>
    <x v="26"/>
    <n v="191"/>
    <x v="0"/>
    <n v="206"/>
    <n v="49"/>
    <x v="234"/>
    <x v="232"/>
    <x v="234"/>
    <x v="0"/>
  </r>
  <r>
    <x v="235"/>
    <x v="48"/>
    <x v="8"/>
    <x v="3"/>
    <x v="95"/>
    <n v="92"/>
    <x v="2"/>
    <n v="79"/>
    <n v="40"/>
    <x v="235"/>
    <x v="233"/>
    <x v="235"/>
    <x v="10"/>
  </r>
  <r>
    <x v="236"/>
    <x v="39"/>
    <x v="0"/>
    <x v="1"/>
    <x v="197"/>
    <n v="161"/>
    <x v="1"/>
    <n v="204"/>
    <n v="166"/>
    <x v="236"/>
    <x v="234"/>
    <x v="236"/>
    <x v="0"/>
  </r>
  <r>
    <x v="237"/>
    <x v="64"/>
    <x v="4"/>
    <x v="4"/>
    <x v="198"/>
    <n v="129"/>
    <x v="0"/>
    <n v="187"/>
    <n v="105"/>
    <x v="237"/>
    <x v="235"/>
    <x v="237"/>
    <x v="9"/>
  </r>
  <r>
    <x v="238"/>
    <x v="64"/>
    <x v="4"/>
    <x v="4"/>
    <x v="106"/>
    <n v="201"/>
    <x v="3"/>
    <n v="179"/>
    <n v="171"/>
    <x v="238"/>
    <x v="236"/>
    <x v="238"/>
    <x v="3"/>
  </r>
  <r>
    <x v="239"/>
    <x v="6"/>
    <x v="0"/>
    <x v="4"/>
    <x v="110"/>
    <n v="167"/>
    <x v="2"/>
    <n v="133"/>
    <n v="40"/>
    <x v="239"/>
    <x v="237"/>
    <x v="239"/>
    <x v="10"/>
  </r>
  <r>
    <x v="240"/>
    <x v="22"/>
    <x v="5"/>
    <x v="2"/>
    <x v="199"/>
    <n v="122"/>
    <x v="1"/>
    <n v="216"/>
    <n v="42"/>
    <x v="240"/>
    <x v="238"/>
    <x v="240"/>
    <x v="6"/>
  </r>
  <r>
    <x v="241"/>
    <x v="82"/>
    <x v="9"/>
    <x v="0"/>
    <x v="200"/>
    <n v="75"/>
    <x v="3"/>
    <n v="148"/>
    <n v="60"/>
    <x v="241"/>
    <x v="239"/>
    <x v="241"/>
    <x v="8"/>
  </r>
  <r>
    <x v="242"/>
    <x v="83"/>
    <x v="4"/>
    <x v="7"/>
    <x v="201"/>
    <n v="120"/>
    <x v="2"/>
    <n v="126"/>
    <n v="68"/>
    <x v="242"/>
    <x v="240"/>
    <x v="242"/>
    <x v="0"/>
  </r>
  <r>
    <x v="243"/>
    <x v="61"/>
    <x v="5"/>
    <x v="9"/>
    <x v="202"/>
    <n v="224"/>
    <x v="1"/>
    <n v="190"/>
    <n v="177"/>
    <x v="243"/>
    <x v="241"/>
    <x v="243"/>
    <x v="11"/>
  </r>
  <r>
    <x v="244"/>
    <x v="59"/>
    <x v="0"/>
    <x v="6"/>
    <x v="203"/>
    <n v="180"/>
    <x v="2"/>
    <n v="89"/>
    <n v="76"/>
    <x v="244"/>
    <x v="242"/>
    <x v="244"/>
    <x v="9"/>
  </r>
  <r>
    <x v="245"/>
    <x v="7"/>
    <x v="2"/>
    <x v="4"/>
    <x v="204"/>
    <n v="182"/>
    <x v="0"/>
    <n v="112"/>
    <n v="81"/>
    <x v="245"/>
    <x v="243"/>
    <x v="245"/>
    <x v="2"/>
  </r>
  <r>
    <x v="246"/>
    <x v="74"/>
    <x v="9"/>
    <x v="8"/>
    <x v="205"/>
    <n v="175"/>
    <x v="3"/>
    <n v="84"/>
    <n v="69"/>
    <x v="246"/>
    <x v="244"/>
    <x v="246"/>
    <x v="9"/>
  </r>
  <r>
    <x v="247"/>
    <x v="47"/>
    <x v="5"/>
    <x v="0"/>
    <x v="206"/>
    <n v="163"/>
    <x v="2"/>
    <n v="75"/>
    <n v="65"/>
    <x v="247"/>
    <x v="245"/>
    <x v="247"/>
    <x v="5"/>
  </r>
  <r>
    <x v="248"/>
    <x v="66"/>
    <x v="6"/>
    <x v="7"/>
    <x v="207"/>
    <n v="153"/>
    <x v="2"/>
    <n v="86"/>
    <n v="74"/>
    <x v="248"/>
    <x v="246"/>
    <x v="248"/>
    <x v="4"/>
  </r>
  <r>
    <x v="249"/>
    <x v="63"/>
    <x v="8"/>
    <x v="9"/>
    <x v="79"/>
    <n v="91"/>
    <x v="0"/>
    <n v="177"/>
    <n v="135"/>
    <x v="249"/>
    <x v="247"/>
    <x v="249"/>
    <x v="4"/>
  </r>
  <r>
    <x v="250"/>
    <x v="25"/>
    <x v="1"/>
    <x v="7"/>
    <x v="208"/>
    <n v="214"/>
    <x v="1"/>
    <n v="104"/>
    <n v="84"/>
    <x v="250"/>
    <x v="248"/>
    <x v="250"/>
    <x v="6"/>
  </r>
  <r>
    <x v="251"/>
    <x v="31"/>
    <x v="1"/>
    <x v="6"/>
    <x v="39"/>
    <n v="231"/>
    <x v="0"/>
    <n v="70"/>
    <n v="64"/>
    <x v="251"/>
    <x v="249"/>
    <x v="251"/>
    <x v="10"/>
  </r>
  <r>
    <x v="252"/>
    <x v="2"/>
    <x v="2"/>
    <x v="1"/>
    <x v="209"/>
    <n v="142"/>
    <x v="0"/>
    <n v="133"/>
    <n v="98"/>
    <x v="252"/>
    <x v="250"/>
    <x v="252"/>
    <x v="3"/>
  </r>
  <r>
    <x v="253"/>
    <x v="16"/>
    <x v="9"/>
    <x v="7"/>
    <x v="210"/>
    <n v="214"/>
    <x v="3"/>
    <n v="74"/>
    <n v="55"/>
    <x v="253"/>
    <x v="251"/>
    <x v="253"/>
    <x v="4"/>
  </r>
  <r>
    <x v="254"/>
    <x v="84"/>
    <x v="6"/>
    <x v="0"/>
    <x v="203"/>
    <n v="198"/>
    <x v="4"/>
    <n v="132"/>
    <n v="45"/>
    <x v="254"/>
    <x v="252"/>
    <x v="254"/>
    <x v="9"/>
  </r>
  <r>
    <x v="255"/>
    <x v="7"/>
    <x v="2"/>
    <x v="4"/>
    <x v="211"/>
    <n v="80"/>
    <x v="1"/>
    <n v="144"/>
    <n v="69"/>
    <x v="255"/>
    <x v="253"/>
    <x v="255"/>
    <x v="4"/>
  </r>
  <r>
    <x v="256"/>
    <x v="42"/>
    <x v="6"/>
    <x v="9"/>
    <x v="104"/>
    <n v="122"/>
    <x v="0"/>
    <n v="203"/>
    <n v="96"/>
    <x v="256"/>
    <x v="254"/>
    <x v="256"/>
    <x v="2"/>
  </r>
  <r>
    <x v="257"/>
    <x v="23"/>
    <x v="8"/>
    <x v="6"/>
    <x v="140"/>
    <n v="233"/>
    <x v="0"/>
    <n v="179"/>
    <n v="166"/>
    <x v="257"/>
    <x v="255"/>
    <x v="257"/>
    <x v="2"/>
  </r>
  <r>
    <x v="258"/>
    <x v="31"/>
    <x v="1"/>
    <x v="6"/>
    <x v="212"/>
    <n v="223"/>
    <x v="3"/>
    <n v="174"/>
    <n v="78"/>
    <x v="258"/>
    <x v="256"/>
    <x v="258"/>
    <x v="8"/>
  </r>
  <r>
    <x v="259"/>
    <x v="53"/>
    <x v="2"/>
    <x v="3"/>
    <x v="160"/>
    <n v="102"/>
    <x v="2"/>
    <n v="106"/>
    <n v="99"/>
    <x v="259"/>
    <x v="257"/>
    <x v="259"/>
    <x v="7"/>
  </r>
  <r>
    <x v="260"/>
    <x v="31"/>
    <x v="1"/>
    <x v="6"/>
    <x v="170"/>
    <n v="79"/>
    <x v="3"/>
    <n v="132"/>
    <n v="72"/>
    <x v="260"/>
    <x v="258"/>
    <x v="260"/>
    <x v="3"/>
  </r>
  <r>
    <x v="261"/>
    <x v="55"/>
    <x v="0"/>
    <x v="8"/>
    <x v="213"/>
    <n v="68"/>
    <x v="1"/>
    <n v="118"/>
    <n v="46"/>
    <x v="261"/>
    <x v="259"/>
    <x v="261"/>
    <x v="1"/>
  </r>
  <r>
    <x v="262"/>
    <x v="84"/>
    <x v="6"/>
    <x v="0"/>
    <x v="181"/>
    <n v="93"/>
    <x v="1"/>
    <n v="213"/>
    <n v="95"/>
    <x v="262"/>
    <x v="260"/>
    <x v="262"/>
    <x v="11"/>
  </r>
  <r>
    <x v="263"/>
    <x v="38"/>
    <x v="4"/>
    <x v="0"/>
    <x v="214"/>
    <n v="93"/>
    <x v="4"/>
    <n v="192"/>
    <n v="102"/>
    <x v="263"/>
    <x v="261"/>
    <x v="263"/>
    <x v="2"/>
  </r>
  <r>
    <x v="264"/>
    <x v="85"/>
    <x v="2"/>
    <x v="9"/>
    <x v="215"/>
    <n v="142"/>
    <x v="3"/>
    <n v="206"/>
    <n v="206"/>
    <x v="264"/>
    <x v="262"/>
    <x v="264"/>
    <x v="0"/>
  </r>
  <r>
    <x v="265"/>
    <x v="58"/>
    <x v="3"/>
    <x v="6"/>
    <x v="216"/>
    <n v="164"/>
    <x v="4"/>
    <n v="190"/>
    <n v="121"/>
    <x v="265"/>
    <x v="263"/>
    <x v="265"/>
    <x v="10"/>
  </r>
  <r>
    <x v="266"/>
    <x v="1"/>
    <x v="1"/>
    <x v="0"/>
    <x v="217"/>
    <n v="101"/>
    <x v="0"/>
    <n v="74"/>
    <n v="56"/>
    <x v="266"/>
    <x v="264"/>
    <x v="266"/>
    <x v="5"/>
  </r>
  <r>
    <x v="267"/>
    <x v="30"/>
    <x v="1"/>
    <x v="2"/>
    <x v="218"/>
    <n v="95"/>
    <x v="2"/>
    <n v="128"/>
    <n v="88"/>
    <x v="267"/>
    <x v="265"/>
    <x v="267"/>
    <x v="3"/>
  </r>
  <r>
    <x v="268"/>
    <x v="85"/>
    <x v="2"/>
    <x v="9"/>
    <x v="219"/>
    <n v="240"/>
    <x v="3"/>
    <n v="195"/>
    <n v="157"/>
    <x v="268"/>
    <x v="266"/>
    <x v="268"/>
    <x v="7"/>
  </r>
  <r>
    <x v="269"/>
    <x v="72"/>
    <x v="7"/>
    <x v="6"/>
    <x v="16"/>
    <n v="92"/>
    <x v="1"/>
    <n v="85"/>
    <n v="73"/>
    <x v="269"/>
    <x v="267"/>
    <x v="269"/>
    <x v="10"/>
  </r>
  <r>
    <x v="270"/>
    <x v="48"/>
    <x v="8"/>
    <x v="3"/>
    <x v="157"/>
    <n v="206"/>
    <x v="0"/>
    <n v="87"/>
    <n v="85"/>
    <x v="270"/>
    <x v="268"/>
    <x v="270"/>
    <x v="10"/>
  </r>
  <r>
    <x v="271"/>
    <x v="53"/>
    <x v="2"/>
    <x v="3"/>
    <x v="220"/>
    <n v="60"/>
    <x v="1"/>
    <n v="193"/>
    <n v="164"/>
    <x v="271"/>
    <x v="269"/>
    <x v="271"/>
    <x v="1"/>
  </r>
  <r>
    <x v="272"/>
    <x v="2"/>
    <x v="2"/>
    <x v="1"/>
    <x v="221"/>
    <n v="49"/>
    <x v="1"/>
    <n v="140"/>
    <n v="108"/>
    <x v="272"/>
    <x v="270"/>
    <x v="272"/>
    <x v="1"/>
  </r>
  <r>
    <x v="273"/>
    <x v="13"/>
    <x v="1"/>
    <x v="5"/>
    <x v="222"/>
    <n v="69"/>
    <x v="1"/>
    <n v="108"/>
    <n v="70"/>
    <x v="273"/>
    <x v="271"/>
    <x v="273"/>
    <x v="9"/>
  </r>
  <r>
    <x v="274"/>
    <x v="4"/>
    <x v="4"/>
    <x v="1"/>
    <x v="92"/>
    <n v="146"/>
    <x v="4"/>
    <n v="165"/>
    <n v="162"/>
    <x v="274"/>
    <x v="272"/>
    <x v="274"/>
    <x v="0"/>
  </r>
  <r>
    <x v="275"/>
    <x v="44"/>
    <x v="9"/>
    <x v="2"/>
    <x v="223"/>
    <n v="220"/>
    <x v="4"/>
    <n v="78"/>
    <n v="45"/>
    <x v="275"/>
    <x v="273"/>
    <x v="275"/>
    <x v="8"/>
  </r>
  <r>
    <x v="276"/>
    <x v="53"/>
    <x v="2"/>
    <x v="3"/>
    <x v="211"/>
    <n v="208"/>
    <x v="4"/>
    <n v="113"/>
    <n v="50"/>
    <x v="276"/>
    <x v="274"/>
    <x v="276"/>
    <x v="4"/>
  </r>
  <r>
    <x v="277"/>
    <x v="86"/>
    <x v="3"/>
    <x v="7"/>
    <x v="224"/>
    <n v="55"/>
    <x v="0"/>
    <n v="124"/>
    <n v="112"/>
    <x v="277"/>
    <x v="275"/>
    <x v="277"/>
    <x v="3"/>
  </r>
  <r>
    <x v="278"/>
    <x v="43"/>
    <x v="0"/>
    <x v="9"/>
    <x v="225"/>
    <n v="189"/>
    <x v="4"/>
    <n v="115"/>
    <n v="80"/>
    <x v="278"/>
    <x v="276"/>
    <x v="278"/>
    <x v="5"/>
  </r>
  <r>
    <x v="279"/>
    <x v="32"/>
    <x v="7"/>
    <x v="3"/>
    <x v="226"/>
    <n v="121"/>
    <x v="0"/>
    <n v="214"/>
    <n v="101"/>
    <x v="279"/>
    <x v="277"/>
    <x v="279"/>
    <x v="11"/>
  </r>
  <r>
    <x v="280"/>
    <x v="40"/>
    <x v="3"/>
    <x v="3"/>
    <x v="110"/>
    <n v="221"/>
    <x v="4"/>
    <n v="198"/>
    <n v="128"/>
    <x v="280"/>
    <x v="278"/>
    <x v="280"/>
    <x v="10"/>
  </r>
  <r>
    <x v="281"/>
    <x v="16"/>
    <x v="9"/>
    <x v="7"/>
    <x v="227"/>
    <n v="199"/>
    <x v="1"/>
    <n v="171"/>
    <n v="123"/>
    <x v="281"/>
    <x v="279"/>
    <x v="281"/>
    <x v="6"/>
  </r>
  <r>
    <x v="282"/>
    <x v="21"/>
    <x v="5"/>
    <x v="8"/>
    <x v="228"/>
    <n v="136"/>
    <x v="1"/>
    <n v="166"/>
    <n v="95"/>
    <x v="282"/>
    <x v="280"/>
    <x v="282"/>
    <x v="2"/>
  </r>
  <r>
    <x v="283"/>
    <x v="25"/>
    <x v="1"/>
    <x v="7"/>
    <x v="229"/>
    <n v="120"/>
    <x v="0"/>
    <n v="88"/>
    <n v="45"/>
    <x v="283"/>
    <x v="281"/>
    <x v="283"/>
    <x v="7"/>
  </r>
  <r>
    <x v="284"/>
    <x v="32"/>
    <x v="7"/>
    <x v="3"/>
    <x v="193"/>
    <n v="137"/>
    <x v="4"/>
    <n v="93"/>
    <n v="40"/>
    <x v="284"/>
    <x v="282"/>
    <x v="284"/>
    <x v="8"/>
  </r>
  <r>
    <x v="285"/>
    <x v="83"/>
    <x v="4"/>
    <x v="7"/>
    <x v="22"/>
    <n v="67"/>
    <x v="0"/>
    <n v="180"/>
    <n v="154"/>
    <x v="285"/>
    <x v="283"/>
    <x v="285"/>
    <x v="10"/>
  </r>
  <r>
    <x v="286"/>
    <x v="25"/>
    <x v="1"/>
    <x v="7"/>
    <x v="230"/>
    <n v="67"/>
    <x v="2"/>
    <n v="211"/>
    <n v="63"/>
    <x v="286"/>
    <x v="284"/>
    <x v="286"/>
    <x v="1"/>
  </r>
  <r>
    <x v="287"/>
    <x v="18"/>
    <x v="4"/>
    <x v="3"/>
    <x v="111"/>
    <n v="66"/>
    <x v="1"/>
    <n v="132"/>
    <n v="113"/>
    <x v="287"/>
    <x v="285"/>
    <x v="287"/>
    <x v="4"/>
  </r>
  <r>
    <x v="288"/>
    <x v="11"/>
    <x v="7"/>
    <x v="4"/>
    <x v="231"/>
    <n v="122"/>
    <x v="2"/>
    <n v="196"/>
    <n v="77"/>
    <x v="288"/>
    <x v="286"/>
    <x v="288"/>
    <x v="0"/>
  </r>
  <r>
    <x v="289"/>
    <x v="18"/>
    <x v="4"/>
    <x v="3"/>
    <x v="232"/>
    <n v="168"/>
    <x v="4"/>
    <n v="162"/>
    <n v="72"/>
    <x v="289"/>
    <x v="287"/>
    <x v="289"/>
    <x v="8"/>
  </r>
  <r>
    <x v="290"/>
    <x v="45"/>
    <x v="6"/>
    <x v="4"/>
    <x v="233"/>
    <n v="72"/>
    <x v="0"/>
    <n v="147"/>
    <n v="40"/>
    <x v="290"/>
    <x v="288"/>
    <x v="290"/>
    <x v="9"/>
  </r>
  <r>
    <x v="291"/>
    <x v="37"/>
    <x v="1"/>
    <x v="9"/>
    <x v="234"/>
    <n v="130"/>
    <x v="3"/>
    <n v="104"/>
    <n v="78"/>
    <x v="291"/>
    <x v="289"/>
    <x v="291"/>
    <x v="11"/>
  </r>
  <r>
    <x v="292"/>
    <x v="61"/>
    <x v="5"/>
    <x v="9"/>
    <x v="235"/>
    <n v="146"/>
    <x v="2"/>
    <n v="144"/>
    <n v="134"/>
    <x v="292"/>
    <x v="290"/>
    <x v="292"/>
    <x v="5"/>
  </r>
  <r>
    <x v="293"/>
    <x v="40"/>
    <x v="3"/>
    <x v="3"/>
    <x v="236"/>
    <n v="145"/>
    <x v="2"/>
    <n v="99"/>
    <n v="99"/>
    <x v="293"/>
    <x v="291"/>
    <x v="293"/>
    <x v="0"/>
  </r>
  <r>
    <x v="294"/>
    <x v="50"/>
    <x v="2"/>
    <x v="5"/>
    <x v="173"/>
    <n v="185"/>
    <x v="4"/>
    <n v="188"/>
    <n v="93"/>
    <x v="294"/>
    <x v="292"/>
    <x v="294"/>
    <x v="8"/>
  </r>
  <r>
    <x v="295"/>
    <x v="56"/>
    <x v="1"/>
    <x v="8"/>
    <x v="237"/>
    <n v="207"/>
    <x v="2"/>
    <n v="131"/>
    <n v="72"/>
    <x v="295"/>
    <x v="293"/>
    <x v="295"/>
    <x v="10"/>
  </r>
  <r>
    <x v="296"/>
    <x v="55"/>
    <x v="0"/>
    <x v="8"/>
    <x v="238"/>
    <n v="167"/>
    <x v="1"/>
    <n v="172"/>
    <n v="169"/>
    <x v="296"/>
    <x v="294"/>
    <x v="296"/>
    <x v="7"/>
  </r>
  <r>
    <x v="297"/>
    <x v="58"/>
    <x v="3"/>
    <x v="6"/>
    <x v="239"/>
    <n v="208"/>
    <x v="4"/>
    <n v="97"/>
    <n v="89"/>
    <x v="297"/>
    <x v="295"/>
    <x v="297"/>
    <x v="7"/>
  </r>
  <r>
    <x v="298"/>
    <x v="68"/>
    <x v="3"/>
    <x v="5"/>
    <x v="240"/>
    <n v="201"/>
    <x v="4"/>
    <n v="214"/>
    <n v="205"/>
    <x v="298"/>
    <x v="296"/>
    <x v="298"/>
    <x v="0"/>
  </r>
  <r>
    <x v="299"/>
    <x v="0"/>
    <x v="0"/>
    <x v="0"/>
    <x v="241"/>
    <n v="111"/>
    <x v="0"/>
    <n v="200"/>
    <n v="172"/>
    <x v="299"/>
    <x v="297"/>
    <x v="299"/>
    <x v="9"/>
  </r>
  <r>
    <x v="300"/>
    <x v="74"/>
    <x v="9"/>
    <x v="8"/>
    <x v="242"/>
    <n v="145"/>
    <x v="3"/>
    <n v="220"/>
    <n v="216"/>
    <x v="300"/>
    <x v="298"/>
    <x v="300"/>
    <x v="1"/>
  </r>
  <r>
    <x v="301"/>
    <x v="71"/>
    <x v="8"/>
    <x v="8"/>
    <x v="243"/>
    <n v="120"/>
    <x v="3"/>
    <n v="91"/>
    <n v="47"/>
    <x v="301"/>
    <x v="299"/>
    <x v="301"/>
    <x v="9"/>
  </r>
  <r>
    <x v="302"/>
    <x v="87"/>
    <x v="3"/>
    <x v="8"/>
    <x v="244"/>
    <n v="178"/>
    <x v="3"/>
    <n v="159"/>
    <n v="100"/>
    <x v="302"/>
    <x v="300"/>
    <x v="302"/>
    <x v="5"/>
  </r>
  <r>
    <x v="303"/>
    <x v="86"/>
    <x v="3"/>
    <x v="7"/>
    <x v="223"/>
    <n v="56"/>
    <x v="4"/>
    <n v="75"/>
    <n v="61"/>
    <x v="303"/>
    <x v="301"/>
    <x v="303"/>
    <x v="8"/>
  </r>
  <r>
    <x v="304"/>
    <x v="20"/>
    <x v="9"/>
    <x v="6"/>
    <x v="245"/>
    <n v="186"/>
    <x v="0"/>
    <n v="154"/>
    <n v="111"/>
    <x v="304"/>
    <x v="302"/>
    <x v="304"/>
    <x v="3"/>
  </r>
  <r>
    <x v="305"/>
    <x v="13"/>
    <x v="1"/>
    <x v="5"/>
    <x v="246"/>
    <n v="208"/>
    <x v="3"/>
    <n v="171"/>
    <n v="47"/>
    <x v="305"/>
    <x v="303"/>
    <x v="305"/>
    <x v="5"/>
  </r>
  <r>
    <x v="306"/>
    <x v="46"/>
    <x v="1"/>
    <x v="3"/>
    <x v="247"/>
    <n v="225"/>
    <x v="0"/>
    <n v="122"/>
    <n v="75"/>
    <x v="306"/>
    <x v="304"/>
    <x v="306"/>
    <x v="1"/>
  </r>
  <r>
    <x v="307"/>
    <x v="50"/>
    <x v="2"/>
    <x v="5"/>
    <x v="108"/>
    <n v="128"/>
    <x v="0"/>
    <n v="187"/>
    <n v="69"/>
    <x v="307"/>
    <x v="305"/>
    <x v="307"/>
    <x v="1"/>
  </r>
  <r>
    <x v="308"/>
    <x v="85"/>
    <x v="2"/>
    <x v="9"/>
    <x v="248"/>
    <n v="144"/>
    <x v="1"/>
    <n v="170"/>
    <n v="69"/>
    <x v="308"/>
    <x v="306"/>
    <x v="308"/>
    <x v="7"/>
  </r>
  <r>
    <x v="309"/>
    <x v="80"/>
    <x v="6"/>
    <x v="5"/>
    <x v="249"/>
    <n v="225"/>
    <x v="2"/>
    <n v="91"/>
    <n v="83"/>
    <x v="309"/>
    <x v="307"/>
    <x v="309"/>
    <x v="8"/>
  </r>
  <r>
    <x v="310"/>
    <x v="76"/>
    <x v="9"/>
    <x v="9"/>
    <x v="250"/>
    <n v="91"/>
    <x v="2"/>
    <n v="106"/>
    <n v="105"/>
    <x v="310"/>
    <x v="308"/>
    <x v="310"/>
    <x v="9"/>
  </r>
  <r>
    <x v="311"/>
    <x v="32"/>
    <x v="7"/>
    <x v="3"/>
    <x v="28"/>
    <n v="92"/>
    <x v="3"/>
    <n v="207"/>
    <n v="205"/>
    <x v="311"/>
    <x v="309"/>
    <x v="311"/>
    <x v="11"/>
  </r>
  <r>
    <x v="312"/>
    <x v="22"/>
    <x v="5"/>
    <x v="2"/>
    <x v="110"/>
    <n v="92"/>
    <x v="2"/>
    <n v="185"/>
    <n v="53"/>
    <x v="312"/>
    <x v="310"/>
    <x v="312"/>
    <x v="10"/>
  </r>
  <r>
    <x v="313"/>
    <x v="73"/>
    <x v="7"/>
    <x v="2"/>
    <x v="251"/>
    <n v="188"/>
    <x v="1"/>
    <n v="196"/>
    <n v="144"/>
    <x v="313"/>
    <x v="311"/>
    <x v="313"/>
    <x v="1"/>
  </r>
  <r>
    <x v="314"/>
    <x v="9"/>
    <x v="5"/>
    <x v="5"/>
    <x v="252"/>
    <n v="189"/>
    <x v="4"/>
    <n v="126"/>
    <n v="77"/>
    <x v="314"/>
    <x v="312"/>
    <x v="314"/>
    <x v="11"/>
  </r>
  <r>
    <x v="315"/>
    <x v="12"/>
    <x v="2"/>
    <x v="2"/>
    <x v="253"/>
    <n v="162"/>
    <x v="1"/>
    <n v="196"/>
    <n v="180"/>
    <x v="315"/>
    <x v="313"/>
    <x v="315"/>
    <x v="3"/>
  </r>
  <r>
    <x v="316"/>
    <x v="43"/>
    <x v="0"/>
    <x v="9"/>
    <x v="225"/>
    <n v="138"/>
    <x v="1"/>
    <n v="80"/>
    <n v="68"/>
    <x v="316"/>
    <x v="314"/>
    <x v="316"/>
    <x v="5"/>
  </r>
  <r>
    <x v="317"/>
    <x v="8"/>
    <x v="0"/>
    <x v="2"/>
    <x v="78"/>
    <n v="53"/>
    <x v="3"/>
    <n v="137"/>
    <n v="84"/>
    <x v="317"/>
    <x v="315"/>
    <x v="317"/>
    <x v="8"/>
  </r>
  <r>
    <x v="318"/>
    <x v="44"/>
    <x v="9"/>
    <x v="2"/>
    <x v="254"/>
    <n v="221"/>
    <x v="2"/>
    <n v="179"/>
    <n v="82"/>
    <x v="318"/>
    <x v="316"/>
    <x v="318"/>
    <x v="2"/>
  </r>
  <r>
    <x v="319"/>
    <x v="15"/>
    <x v="8"/>
    <x v="1"/>
    <x v="188"/>
    <n v="116"/>
    <x v="1"/>
    <n v="207"/>
    <n v="83"/>
    <x v="319"/>
    <x v="317"/>
    <x v="319"/>
    <x v="3"/>
  </r>
  <r>
    <x v="320"/>
    <x v="70"/>
    <x v="4"/>
    <x v="9"/>
    <x v="255"/>
    <n v="218"/>
    <x v="4"/>
    <n v="104"/>
    <n v="92"/>
    <x v="320"/>
    <x v="318"/>
    <x v="320"/>
    <x v="3"/>
  </r>
  <r>
    <x v="321"/>
    <x v="11"/>
    <x v="7"/>
    <x v="4"/>
    <x v="256"/>
    <n v="82"/>
    <x v="2"/>
    <n v="133"/>
    <n v="126"/>
    <x v="321"/>
    <x v="319"/>
    <x v="321"/>
    <x v="7"/>
  </r>
  <r>
    <x v="322"/>
    <x v="51"/>
    <x v="6"/>
    <x v="2"/>
    <x v="139"/>
    <n v="151"/>
    <x v="3"/>
    <n v="185"/>
    <n v="59"/>
    <x v="322"/>
    <x v="320"/>
    <x v="322"/>
    <x v="0"/>
  </r>
  <r>
    <x v="323"/>
    <x v="4"/>
    <x v="4"/>
    <x v="1"/>
    <x v="257"/>
    <n v="169"/>
    <x v="2"/>
    <n v="218"/>
    <n v="40"/>
    <x v="323"/>
    <x v="321"/>
    <x v="323"/>
    <x v="9"/>
  </r>
  <r>
    <x v="324"/>
    <x v="86"/>
    <x v="3"/>
    <x v="7"/>
    <x v="258"/>
    <n v="146"/>
    <x v="0"/>
    <n v="179"/>
    <n v="94"/>
    <x v="324"/>
    <x v="322"/>
    <x v="324"/>
    <x v="5"/>
  </r>
  <r>
    <x v="325"/>
    <x v="4"/>
    <x v="4"/>
    <x v="1"/>
    <x v="259"/>
    <n v="192"/>
    <x v="0"/>
    <n v="214"/>
    <n v="164"/>
    <x v="325"/>
    <x v="323"/>
    <x v="325"/>
    <x v="5"/>
  </r>
  <r>
    <x v="326"/>
    <x v="54"/>
    <x v="8"/>
    <x v="5"/>
    <x v="260"/>
    <n v="162"/>
    <x v="4"/>
    <n v="101"/>
    <n v="99"/>
    <x v="326"/>
    <x v="324"/>
    <x v="326"/>
    <x v="0"/>
  </r>
  <r>
    <x v="327"/>
    <x v="48"/>
    <x v="8"/>
    <x v="3"/>
    <x v="261"/>
    <n v="221"/>
    <x v="0"/>
    <n v="147"/>
    <n v="60"/>
    <x v="327"/>
    <x v="325"/>
    <x v="327"/>
    <x v="5"/>
  </r>
  <r>
    <x v="328"/>
    <x v="3"/>
    <x v="3"/>
    <x v="2"/>
    <x v="252"/>
    <n v="140"/>
    <x v="0"/>
    <n v="83"/>
    <n v="65"/>
    <x v="328"/>
    <x v="326"/>
    <x v="328"/>
    <x v="11"/>
  </r>
  <r>
    <x v="329"/>
    <x v="25"/>
    <x v="1"/>
    <x v="7"/>
    <x v="133"/>
    <n v="69"/>
    <x v="4"/>
    <n v="124"/>
    <n v="101"/>
    <x v="329"/>
    <x v="327"/>
    <x v="329"/>
    <x v="6"/>
  </r>
  <r>
    <x v="330"/>
    <x v="20"/>
    <x v="9"/>
    <x v="6"/>
    <x v="12"/>
    <n v="158"/>
    <x v="4"/>
    <n v="72"/>
    <n v="61"/>
    <x v="330"/>
    <x v="328"/>
    <x v="330"/>
    <x v="8"/>
  </r>
  <r>
    <x v="331"/>
    <x v="62"/>
    <x v="5"/>
    <x v="7"/>
    <x v="83"/>
    <n v="143"/>
    <x v="4"/>
    <n v="96"/>
    <n v="46"/>
    <x v="331"/>
    <x v="329"/>
    <x v="331"/>
    <x v="2"/>
  </r>
  <r>
    <x v="332"/>
    <x v="32"/>
    <x v="7"/>
    <x v="3"/>
    <x v="163"/>
    <n v="209"/>
    <x v="0"/>
    <n v="87"/>
    <n v="73"/>
    <x v="332"/>
    <x v="330"/>
    <x v="332"/>
    <x v="10"/>
  </r>
  <r>
    <x v="333"/>
    <x v="49"/>
    <x v="7"/>
    <x v="8"/>
    <x v="128"/>
    <n v="229"/>
    <x v="0"/>
    <n v="108"/>
    <n v="92"/>
    <x v="333"/>
    <x v="331"/>
    <x v="333"/>
    <x v="6"/>
  </r>
  <r>
    <x v="334"/>
    <x v="6"/>
    <x v="0"/>
    <x v="4"/>
    <x v="262"/>
    <n v="195"/>
    <x v="3"/>
    <n v="159"/>
    <n v="94"/>
    <x v="334"/>
    <x v="332"/>
    <x v="334"/>
    <x v="10"/>
  </r>
  <r>
    <x v="335"/>
    <x v="83"/>
    <x v="4"/>
    <x v="7"/>
    <x v="263"/>
    <n v="186"/>
    <x v="1"/>
    <n v="142"/>
    <n v="139"/>
    <x v="335"/>
    <x v="333"/>
    <x v="335"/>
    <x v="7"/>
  </r>
  <r>
    <x v="336"/>
    <x v="20"/>
    <x v="9"/>
    <x v="6"/>
    <x v="182"/>
    <n v="175"/>
    <x v="0"/>
    <n v="170"/>
    <n v="115"/>
    <x v="336"/>
    <x v="334"/>
    <x v="336"/>
    <x v="7"/>
  </r>
  <r>
    <x v="337"/>
    <x v="25"/>
    <x v="1"/>
    <x v="7"/>
    <x v="160"/>
    <n v="172"/>
    <x v="1"/>
    <n v="88"/>
    <n v="73"/>
    <x v="337"/>
    <x v="335"/>
    <x v="337"/>
    <x v="7"/>
  </r>
  <r>
    <x v="338"/>
    <x v="32"/>
    <x v="7"/>
    <x v="3"/>
    <x v="264"/>
    <n v="152"/>
    <x v="2"/>
    <n v="209"/>
    <n v="84"/>
    <x v="338"/>
    <x v="336"/>
    <x v="338"/>
    <x v="2"/>
  </r>
  <r>
    <x v="339"/>
    <x v="66"/>
    <x v="6"/>
    <x v="7"/>
    <x v="265"/>
    <n v="112"/>
    <x v="0"/>
    <n v="80"/>
    <n v="43"/>
    <x v="339"/>
    <x v="337"/>
    <x v="339"/>
    <x v="1"/>
  </r>
  <r>
    <x v="340"/>
    <x v="2"/>
    <x v="2"/>
    <x v="1"/>
    <x v="28"/>
    <n v="224"/>
    <x v="3"/>
    <n v="91"/>
    <n v="80"/>
    <x v="340"/>
    <x v="338"/>
    <x v="340"/>
    <x v="11"/>
  </r>
  <r>
    <x v="341"/>
    <x v="41"/>
    <x v="7"/>
    <x v="9"/>
    <x v="266"/>
    <n v="124"/>
    <x v="4"/>
    <n v="200"/>
    <n v="92"/>
    <x v="341"/>
    <x v="339"/>
    <x v="341"/>
    <x v="11"/>
  </r>
  <r>
    <x v="342"/>
    <x v="25"/>
    <x v="1"/>
    <x v="7"/>
    <x v="165"/>
    <n v="223"/>
    <x v="3"/>
    <n v="131"/>
    <n v="47"/>
    <x v="342"/>
    <x v="340"/>
    <x v="342"/>
    <x v="8"/>
  </r>
  <r>
    <x v="343"/>
    <x v="55"/>
    <x v="0"/>
    <x v="8"/>
    <x v="191"/>
    <n v="200"/>
    <x v="4"/>
    <n v="149"/>
    <n v="125"/>
    <x v="343"/>
    <x v="341"/>
    <x v="343"/>
    <x v="7"/>
  </r>
  <r>
    <x v="344"/>
    <x v="24"/>
    <x v="7"/>
    <x v="0"/>
    <x v="267"/>
    <n v="172"/>
    <x v="2"/>
    <n v="203"/>
    <n v="172"/>
    <x v="344"/>
    <x v="342"/>
    <x v="344"/>
    <x v="3"/>
  </r>
  <r>
    <x v="345"/>
    <x v="41"/>
    <x v="7"/>
    <x v="9"/>
    <x v="268"/>
    <n v="52"/>
    <x v="2"/>
    <n v="179"/>
    <n v="109"/>
    <x v="345"/>
    <x v="343"/>
    <x v="345"/>
    <x v="10"/>
  </r>
  <r>
    <x v="346"/>
    <x v="66"/>
    <x v="6"/>
    <x v="7"/>
    <x v="269"/>
    <n v="161"/>
    <x v="1"/>
    <n v="162"/>
    <n v="47"/>
    <x v="346"/>
    <x v="344"/>
    <x v="346"/>
    <x v="10"/>
  </r>
  <r>
    <x v="347"/>
    <x v="68"/>
    <x v="3"/>
    <x v="5"/>
    <x v="102"/>
    <n v="71"/>
    <x v="1"/>
    <n v="99"/>
    <n v="54"/>
    <x v="347"/>
    <x v="345"/>
    <x v="347"/>
    <x v="7"/>
  </r>
  <r>
    <x v="348"/>
    <x v="19"/>
    <x v="8"/>
    <x v="2"/>
    <x v="270"/>
    <n v="165"/>
    <x v="2"/>
    <n v="168"/>
    <n v="78"/>
    <x v="348"/>
    <x v="346"/>
    <x v="348"/>
    <x v="4"/>
  </r>
  <r>
    <x v="349"/>
    <x v="88"/>
    <x v="1"/>
    <x v="4"/>
    <x v="271"/>
    <n v="108"/>
    <x v="3"/>
    <n v="151"/>
    <n v="74"/>
    <x v="349"/>
    <x v="347"/>
    <x v="349"/>
    <x v="8"/>
  </r>
  <r>
    <x v="350"/>
    <x v="59"/>
    <x v="0"/>
    <x v="6"/>
    <x v="249"/>
    <n v="58"/>
    <x v="0"/>
    <n v="127"/>
    <n v="106"/>
    <x v="350"/>
    <x v="348"/>
    <x v="350"/>
    <x v="8"/>
  </r>
  <r>
    <x v="351"/>
    <x v="22"/>
    <x v="5"/>
    <x v="2"/>
    <x v="272"/>
    <n v="128"/>
    <x v="4"/>
    <n v="211"/>
    <n v="156"/>
    <x v="351"/>
    <x v="349"/>
    <x v="351"/>
    <x v="8"/>
  </r>
  <r>
    <x v="352"/>
    <x v="70"/>
    <x v="4"/>
    <x v="9"/>
    <x v="273"/>
    <n v="107"/>
    <x v="3"/>
    <n v="164"/>
    <n v="115"/>
    <x v="352"/>
    <x v="350"/>
    <x v="352"/>
    <x v="7"/>
  </r>
  <r>
    <x v="353"/>
    <x v="65"/>
    <x v="9"/>
    <x v="5"/>
    <x v="274"/>
    <n v="149"/>
    <x v="4"/>
    <n v="129"/>
    <n v="109"/>
    <x v="353"/>
    <x v="351"/>
    <x v="353"/>
    <x v="1"/>
  </r>
  <r>
    <x v="354"/>
    <x v="36"/>
    <x v="3"/>
    <x v="0"/>
    <x v="275"/>
    <n v="141"/>
    <x v="2"/>
    <n v="96"/>
    <n v="53"/>
    <x v="354"/>
    <x v="352"/>
    <x v="354"/>
    <x v="8"/>
  </r>
  <r>
    <x v="355"/>
    <x v="47"/>
    <x v="5"/>
    <x v="0"/>
    <x v="276"/>
    <n v="227"/>
    <x v="2"/>
    <n v="93"/>
    <n v="42"/>
    <x v="355"/>
    <x v="353"/>
    <x v="355"/>
    <x v="10"/>
  </r>
  <r>
    <x v="356"/>
    <x v="87"/>
    <x v="3"/>
    <x v="8"/>
    <x v="277"/>
    <n v="193"/>
    <x v="4"/>
    <n v="199"/>
    <n v="74"/>
    <x v="356"/>
    <x v="354"/>
    <x v="356"/>
    <x v="11"/>
  </r>
  <r>
    <x v="357"/>
    <x v="84"/>
    <x v="6"/>
    <x v="0"/>
    <x v="278"/>
    <n v="214"/>
    <x v="0"/>
    <n v="130"/>
    <n v="77"/>
    <x v="357"/>
    <x v="355"/>
    <x v="357"/>
    <x v="11"/>
  </r>
  <r>
    <x v="358"/>
    <x v="60"/>
    <x v="3"/>
    <x v="1"/>
    <x v="279"/>
    <n v="114"/>
    <x v="0"/>
    <n v="89"/>
    <n v="52"/>
    <x v="358"/>
    <x v="356"/>
    <x v="358"/>
    <x v="9"/>
  </r>
  <r>
    <x v="359"/>
    <x v="81"/>
    <x v="7"/>
    <x v="7"/>
    <x v="280"/>
    <n v="160"/>
    <x v="3"/>
    <n v="150"/>
    <n v="92"/>
    <x v="359"/>
    <x v="357"/>
    <x v="359"/>
    <x v="3"/>
  </r>
  <r>
    <x v="360"/>
    <x v="74"/>
    <x v="9"/>
    <x v="8"/>
    <x v="281"/>
    <n v="163"/>
    <x v="2"/>
    <n v="100"/>
    <n v="45"/>
    <x v="360"/>
    <x v="358"/>
    <x v="360"/>
    <x v="8"/>
  </r>
  <r>
    <x v="361"/>
    <x v="84"/>
    <x v="6"/>
    <x v="0"/>
    <x v="282"/>
    <n v="128"/>
    <x v="0"/>
    <n v="93"/>
    <n v="85"/>
    <x v="361"/>
    <x v="359"/>
    <x v="361"/>
    <x v="2"/>
  </r>
  <r>
    <x v="362"/>
    <x v="57"/>
    <x v="2"/>
    <x v="0"/>
    <x v="283"/>
    <n v="121"/>
    <x v="2"/>
    <n v="114"/>
    <n v="43"/>
    <x v="362"/>
    <x v="360"/>
    <x v="362"/>
    <x v="8"/>
  </r>
  <r>
    <x v="363"/>
    <x v="7"/>
    <x v="2"/>
    <x v="4"/>
    <x v="284"/>
    <n v="163"/>
    <x v="4"/>
    <n v="105"/>
    <n v="55"/>
    <x v="363"/>
    <x v="361"/>
    <x v="363"/>
    <x v="9"/>
  </r>
  <r>
    <x v="364"/>
    <x v="73"/>
    <x v="7"/>
    <x v="2"/>
    <x v="77"/>
    <n v="140"/>
    <x v="4"/>
    <n v="219"/>
    <n v="190"/>
    <x v="364"/>
    <x v="362"/>
    <x v="364"/>
    <x v="4"/>
  </r>
  <r>
    <x v="365"/>
    <x v="8"/>
    <x v="0"/>
    <x v="2"/>
    <x v="285"/>
    <n v="158"/>
    <x v="0"/>
    <n v="93"/>
    <n v="93"/>
    <x v="365"/>
    <x v="363"/>
    <x v="365"/>
    <x v="0"/>
  </r>
  <r>
    <x v="366"/>
    <x v="47"/>
    <x v="5"/>
    <x v="0"/>
    <x v="253"/>
    <n v="191"/>
    <x v="3"/>
    <n v="171"/>
    <n v="167"/>
    <x v="366"/>
    <x v="364"/>
    <x v="366"/>
    <x v="3"/>
  </r>
  <r>
    <x v="367"/>
    <x v="79"/>
    <x v="7"/>
    <x v="1"/>
    <x v="286"/>
    <n v="92"/>
    <x v="2"/>
    <n v="141"/>
    <n v="97"/>
    <x v="367"/>
    <x v="365"/>
    <x v="367"/>
    <x v="2"/>
  </r>
  <r>
    <x v="368"/>
    <x v="45"/>
    <x v="6"/>
    <x v="4"/>
    <x v="240"/>
    <n v="120"/>
    <x v="3"/>
    <n v="175"/>
    <n v="162"/>
    <x v="368"/>
    <x v="366"/>
    <x v="368"/>
    <x v="0"/>
  </r>
  <r>
    <x v="369"/>
    <x v="13"/>
    <x v="1"/>
    <x v="5"/>
    <x v="60"/>
    <n v="96"/>
    <x v="1"/>
    <n v="133"/>
    <n v="120"/>
    <x v="369"/>
    <x v="367"/>
    <x v="369"/>
    <x v="11"/>
  </r>
  <r>
    <x v="370"/>
    <x v="87"/>
    <x v="3"/>
    <x v="8"/>
    <x v="287"/>
    <n v="169"/>
    <x v="2"/>
    <n v="214"/>
    <n v="168"/>
    <x v="370"/>
    <x v="368"/>
    <x v="370"/>
    <x v="5"/>
  </r>
  <r>
    <x v="371"/>
    <x v="24"/>
    <x v="7"/>
    <x v="0"/>
    <x v="212"/>
    <n v="197"/>
    <x v="0"/>
    <n v="77"/>
    <n v="57"/>
    <x v="371"/>
    <x v="369"/>
    <x v="371"/>
    <x v="8"/>
  </r>
  <r>
    <x v="372"/>
    <x v="75"/>
    <x v="3"/>
    <x v="4"/>
    <x v="288"/>
    <n v="70"/>
    <x v="0"/>
    <n v="131"/>
    <n v="74"/>
    <x v="372"/>
    <x v="370"/>
    <x v="372"/>
    <x v="3"/>
  </r>
  <r>
    <x v="373"/>
    <x v="10"/>
    <x v="6"/>
    <x v="1"/>
    <x v="289"/>
    <n v="89"/>
    <x v="0"/>
    <n v="130"/>
    <n v="115"/>
    <x v="373"/>
    <x v="371"/>
    <x v="373"/>
    <x v="6"/>
  </r>
  <r>
    <x v="374"/>
    <x v="84"/>
    <x v="6"/>
    <x v="0"/>
    <x v="133"/>
    <n v="224"/>
    <x v="2"/>
    <n v="215"/>
    <n v="184"/>
    <x v="374"/>
    <x v="372"/>
    <x v="374"/>
    <x v="6"/>
  </r>
  <r>
    <x v="375"/>
    <x v="17"/>
    <x v="5"/>
    <x v="6"/>
    <x v="290"/>
    <n v="89"/>
    <x v="3"/>
    <n v="79"/>
    <n v="45"/>
    <x v="375"/>
    <x v="373"/>
    <x v="375"/>
    <x v="8"/>
  </r>
  <r>
    <x v="376"/>
    <x v="82"/>
    <x v="9"/>
    <x v="0"/>
    <x v="291"/>
    <n v="167"/>
    <x v="4"/>
    <n v="154"/>
    <n v="118"/>
    <x v="376"/>
    <x v="374"/>
    <x v="376"/>
    <x v="3"/>
  </r>
  <r>
    <x v="377"/>
    <x v="79"/>
    <x v="7"/>
    <x v="1"/>
    <x v="292"/>
    <n v="50"/>
    <x v="0"/>
    <n v="220"/>
    <n v="220"/>
    <x v="377"/>
    <x v="375"/>
    <x v="377"/>
    <x v="11"/>
  </r>
  <r>
    <x v="378"/>
    <x v="86"/>
    <x v="3"/>
    <x v="7"/>
    <x v="220"/>
    <n v="225"/>
    <x v="3"/>
    <n v="220"/>
    <n v="65"/>
    <x v="378"/>
    <x v="376"/>
    <x v="378"/>
    <x v="1"/>
  </r>
  <r>
    <x v="379"/>
    <x v="11"/>
    <x v="7"/>
    <x v="4"/>
    <x v="293"/>
    <n v="208"/>
    <x v="3"/>
    <n v="151"/>
    <n v="62"/>
    <x v="379"/>
    <x v="377"/>
    <x v="379"/>
    <x v="11"/>
  </r>
  <r>
    <x v="380"/>
    <x v="75"/>
    <x v="3"/>
    <x v="4"/>
    <x v="294"/>
    <n v="195"/>
    <x v="0"/>
    <n v="166"/>
    <n v="79"/>
    <x v="380"/>
    <x v="378"/>
    <x v="380"/>
    <x v="8"/>
  </r>
  <r>
    <x v="381"/>
    <x v="48"/>
    <x v="8"/>
    <x v="3"/>
    <x v="130"/>
    <n v="53"/>
    <x v="0"/>
    <n v="151"/>
    <n v="143"/>
    <x v="381"/>
    <x v="379"/>
    <x v="381"/>
    <x v="2"/>
  </r>
  <r>
    <x v="382"/>
    <x v="55"/>
    <x v="0"/>
    <x v="8"/>
    <x v="295"/>
    <n v="129"/>
    <x v="4"/>
    <n v="130"/>
    <n v="84"/>
    <x v="382"/>
    <x v="380"/>
    <x v="382"/>
    <x v="10"/>
  </r>
  <r>
    <x v="383"/>
    <x v="39"/>
    <x v="0"/>
    <x v="1"/>
    <x v="203"/>
    <n v="47"/>
    <x v="2"/>
    <n v="123"/>
    <n v="71"/>
    <x v="383"/>
    <x v="381"/>
    <x v="383"/>
    <x v="9"/>
  </r>
  <r>
    <x v="384"/>
    <x v="0"/>
    <x v="0"/>
    <x v="0"/>
    <x v="296"/>
    <n v="143"/>
    <x v="3"/>
    <n v="177"/>
    <n v="82"/>
    <x v="384"/>
    <x v="382"/>
    <x v="384"/>
    <x v="4"/>
  </r>
  <r>
    <x v="385"/>
    <x v="58"/>
    <x v="3"/>
    <x v="6"/>
    <x v="297"/>
    <n v="70"/>
    <x v="3"/>
    <n v="217"/>
    <n v="206"/>
    <x v="385"/>
    <x v="383"/>
    <x v="385"/>
    <x v="1"/>
  </r>
  <r>
    <x v="386"/>
    <x v="0"/>
    <x v="0"/>
    <x v="0"/>
    <x v="298"/>
    <n v="50"/>
    <x v="2"/>
    <n v="136"/>
    <n v="53"/>
    <x v="386"/>
    <x v="384"/>
    <x v="386"/>
    <x v="0"/>
  </r>
  <r>
    <x v="387"/>
    <x v="13"/>
    <x v="1"/>
    <x v="5"/>
    <x v="299"/>
    <n v="185"/>
    <x v="4"/>
    <n v="156"/>
    <n v="116"/>
    <x v="387"/>
    <x v="385"/>
    <x v="387"/>
    <x v="11"/>
  </r>
  <r>
    <x v="388"/>
    <x v="13"/>
    <x v="1"/>
    <x v="5"/>
    <x v="182"/>
    <n v="156"/>
    <x v="0"/>
    <n v="83"/>
    <n v="46"/>
    <x v="388"/>
    <x v="386"/>
    <x v="388"/>
    <x v="7"/>
  </r>
  <r>
    <x v="389"/>
    <x v="31"/>
    <x v="1"/>
    <x v="6"/>
    <x v="300"/>
    <n v="112"/>
    <x v="2"/>
    <n v="146"/>
    <n v="70"/>
    <x v="240"/>
    <x v="387"/>
    <x v="389"/>
    <x v="5"/>
  </r>
  <r>
    <x v="390"/>
    <x v="26"/>
    <x v="6"/>
    <x v="8"/>
    <x v="301"/>
    <n v="84"/>
    <x v="4"/>
    <n v="162"/>
    <n v="40"/>
    <x v="389"/>
    <x v="388"/>
    <x v="390"/>
    <x v="10"/>
  </r>
  <r>
    <x v="391"/>
    <x v="89"/>
    <x v="6"/>
    <x v="3"/>
    <x v="42"/>
    <n v="69"/>
    <x v="4"/>
    <n v="122"/>
    <n v="61"/>
    <x v="390"/>
    <x v="389"/>
    <x v="391"/>
    <x v="5"/>
  </r>
  <r>
    <x v="392"/>
    <x v="43"/>
    <x v="0"/>
    <x v="9"/>
    <x v="175"/>
    <n v="165"/>
    <x v="3"/>
    <n v="137"/>
    <n v="51"/>
    <x v="391"/>
    <x v="390"/>
    <x v="392"/>
    <x v="4"/>
  </r>
  <r>
    <x v="393"/>
    <x v="40"/>
    <x v="3"/>
    <x v="3"/>
    <x v="302"/>
    <n v="92"/>
    <x v="3"/>
    <n v="81"/>
    <n v="56"/>
    <x v="392"/>
    <x v="391"/>
    <x v="393"/>
    <x v="1"/>
  </r>
  <r>
    <x v="394"/>
    <x v="76"/>
    <x v="9"/>
    <x v="9"/>
    <x v="303"/>
    <n v="60"/>
    <x v="0"/>
    <n v="94"/>
    <n v="45"/>
    <x v="393"/>
    <x v="392"/>
    <x v="394"/>
    <x v="2"/>
  </r>
  <r>
    <x v="395"/>
    <x v="45"/>
    <x v="6"/>
    <x v="4"/>
    <x v="13"/>
    <n v="60"/>
    <x v="3"/>
    <n v="203"/>
    <n v="147"/>
    <x v="394"/>
    <x v="393"/>
    <x v="395"/>
    <x v="5"/>
  </r>
  <r>
    <x v="396"/>
    <x v="45"/>
    <x v="6"/>
    <x v="4"/>
    <x v="304"/>
    <n v="121"/>
    <x v="4"/>
    <n v="171"/>
    <n v="48"/>
    <x v="395"/>
    <x v="394"/>
    <x v="396"/>
    <x v="10"/>
  </r>
  <r>
    <x v="397"/>
    <x v="80"/>
    <x v="6"/>
    <x v="5"/>
    <x v="305"/>
    <n v="238"/>
    <x v="3"/>
    <n v="114"/>
    <n v="61"/>
    <x v="396"/>
    <x v="395"/>
    <x v="397"/>
    <x v="10"/>
  </r>
  <r>
    <x v="398"/>
    <x v="48"/>
    <x v="8"/>
    <x v="3"/>
    <x v="101"/>
    <n v="219"/>
    <x v="3"/>
    <n v="121"/>
    <n v="120"/>
    <x v="397"/>
    <x v="396"/>
    <x v="398"/>
    <x v="11"/>
  </r>
  <r>
    <x v="399"/>
    <x v="86"/>
    <x v="3"/>
    <x v="7"/>
    <x v="306"/>
    <n v="144"/>
    <x v="1"/>
    <n v="171"/>
    <n v="123"/>
    <x v="398"/>
    <x v="397"/>
    <x v="399"/>
    <x v="11"/>
  </r>
  <r>
    <x v="400"/>
    <x v="23"/>
    <x v="8"/>
    <x v="6"/>
    <x v="60"/>
    <n v="73"/>
    <x v="3"/>
    <n v="108"/>
    <n v="58"/>
    <x v="399"/>
    <x v="398"/>
    <x v="400"/>
    <x v="11"/>
  </r>
  <r>
    <x v="401"/>
    <x v="52"/>
    <x v="0"/>
    <x v="5"/>
    <x v="217"/>
    <n v="70"/>
    <x v="2"/>
    <n v="207"/>
    <n v="128"/>
    <x v="400"/>
    <x v="399"/>
    <x v="401"/>
    <x v="5"/>
  </r>
  <r>
    <x v="402"/>
    <x v="21"/>
    <x v="5"/>
    <x v="8"/>
    <x v="307"/>
    <n v="89"/>
    <x v="2"/>
    <n v="173"/>
    <n v="76"/>
    <x v="401"/>
    <x v="400"/>
    <x v="402"/>
    <x v="4"/>
  </r>
  <r>
    <x v="403"/>
    <x v="75"/>
    <x v="3"/>
    <x v="4"/>
    <x v="308"/>
    <n v="235"/>
    <x v="3"/>
    <n v="138"/>
    <n v="87"/>
    <x v="402"/>
    <x v="401"/>
    <x v="403"/>
    <x v="4"/>
  </r>
  <r>
    <x v="404"/>
    <x v="70"/>
    <x v="4"/>
    <x v="9"/>
    <x v="309"/>
    <n v="223"/>
    <x v="4"/>
    <n v="128"/>
    <n v="57"/>
    <x v="403"/>
    <x v="402"/>
    <x v="404"/>
    <x v="10"/>
  </r>
  <r>
    <x v="405"/>
    <x v="18"/>
    <x v="4"/>
    <x v="3"/>
    <x v="310"/>
    <n v="210"/>
    <x v="4"/>
    <n v="118"/>
    <n v="96"/>
    <x v="404"/>
    <x v="403"/>
    <x v="405"/>
    <x v="7"/>
  </r>
  <r>
    <x v="406"/>
    <x v="85"/>
    <x v="2"/>
    <x v="9"/>
    <x v="211"/>
    <n v="176"/>
    <x v="0"/>
    <n v="86"/>
    <n v="59"/>
    <x v="405"/>
    <x v="404"/>
    <x v="406"/>
    <x v="4"/>
  </r>
  <r>
    <x v="407"/>
    <x v="57"/>
    <x v="2"/>
    <x v="0"/>
    <x v="311"/>
    <n v="94"/>
    <x v="0"/>
    <n v="84"/>
    <n v="55"/>
    <x v="406"/>
    <x v="405"/>
    <x v="407"/>
    <x v="3"/>
  </r>
  <r>
    <x v="408"/>
    <x v="75"/>
    <x v="3"/>
    <x v="4"/>
    <x v="312"/>
    <n v="139"/>
    <x v="3"/>
    <n v="199"/>
    <n v="141"/>
    <x v="407"/>
    <x v="406"/>
    <x v="408"/>
    <x v="0"/>
  </r>
  <r>
    <x v="409"/>
    <x v="29"/>
    <x v="9"/>
    <x v="1"/>
    <x v="16"/>
    <n v="197"/>
    <x v="3"/>
    <n v="115"/>
    <n v="100"/>
    <x v="408"/>
    <x v="407"/>
    <x v="409"/>
    <x v="10"/>
  </r>
  <r>
    <x v="410"/>
    <x v="41"/>
    <x v="7"/>
    <x v="9"/>
    <x v="313"/>
    <n v="68"/>
    <x v="2"/>
    <n v="77"/>
    <n v="64"/>
    <x v="409"/>
    <x v="408"/>
    <x v="410"/>
    <x v="6"/>
  </r>
  <r>
    <x v="411"/>
    <x v="44"/>
    <x v="9"/>
    <x v="2"/>
    <x v="240"/>
    <n v="102"/>
    <x v="0"/>
    <n v="138"/>
    <n v="123"/>
    <x v="410"/>
    <x v="409"/>
    <x v="411"/>
    <x v="0"/>
  </r>
  <r>
    <x v="412"/>
    <x v="71"/>
    <x v="8"/>
    <x v="8"/>
    <x v="22"/>
    <n v="210"/>
    <x v="0"/>
    <n v="72"/>
    <n v="54"/>
    <x v="411"/>
    <x v="410"/>
    <x v="412"/>
    <x v="10"/>
  </r>
  <r>
    <x v="413"/>
    <x v="18"/>
    <x v="4"/>
    <x v="3"/>
    <x v="192"/>
    <n v="134"/>
    <x v="3"/>
    <n v="134"/>
    <n v="67"/>
    <x v="412"/>
    <x v="411"/>
    <x v="413"/>
    <x v="1"/>
  </r>
  <r>
    <x v="414"/>
    <x v="10"/>
    <x v="6"/>
    <x v="1"/>
    <x v="59"/>
    <n v="71"/>
    <x v="4"/>
    <n v="200"/>
    <n v="135"/>
    <x v="413"/>
    <x v="412"/>
    <x v="414"/>
    <x v="2"/>
  </r>
  <r>
    <x v="415"/>
    <x v="51"/>
    <x v="6"/>
    <x v="2"/>
    <x v="314"/>
    <n v="220"/>
    <x v="4"/>
    <n v="193"/>
    <n v="56"/>
    <x v="414"/>
    <x v="413"/>
    <x v="415"/>
    <x v="8"/>
  </r>
  <r>
    <x v="416"/>
    <x v="3"/>
    <x v="3"/>
    <x v="2"/>
    <x v="315"/>
    <n v="212"/>
    <x v="2"/>
    <n v="118"/>
    <n v="59"/>
    <x v="415"/>
    <x v="414"/>
    <x v="416"/>
    <x v="7"/>
  </r>
  <r>
    <x v="417"/>
    <x v="10"/>
    <x v="6"/>
    <x v="1"/>
    <x v="316"/>
    <n v="126"/>
    <x v="0"/>
    <n v="76"/>
    <n v="71"/>
    <x v="416"/>
    <x v="415"/>
    <x v="417"/>
    <x v="8"/>
  </r>
  <r>
    <x v="418"/>
    <x v="46"/>
    <x v="1"/>
    <x v="3"/>
    <x v="317"/>
    <n v="194"/>
    <x v="1"/>
    <n v="118"/>
    <n v="83"/>
    <x v="417"/>
    <x v="416"/>
    <x v="418"/>
    <x v="4"/>
  </r>
  <r>
    <x v="419"/>
    <x v="61"/>
    <x v="5"/>
    <x v="9"/>
    <x v="161"/>
    <n v="121"/>
    <x v="0"/>
    <n v="212"/>
    <n v="86"/>
    <x v="418"/>
    <x v="417"/>
    <x v="419"/>
    <x v="3"/>
  </r>
  <r>
    <x v="420"/>
    <x v="41"/>
    <x v="7"/>
    <x v="9"/>
    <x v="206"/>
    <n v="240"/>
    <x v="0"/>
    <n v="155"/>
    <n v="123"/>
    <x v="419"/>
    <x v="418"/>
    <x v="420"/>
    <x v="5"/>
  </r>
  <r>
    <x v="421"/>
    <x v="76"/>
    <x v="9"/>
    <x v="9"/>
    <x v="318"/>
    <n v="129"/>
    <x v="2"/>
    <n v="136"/>
    <n v="114"/>
    <x v="420"/>
    <x v="419"/>
    <x v="421"/>
    <x v="11"/>
  </r>
  <r>
    <x v="422"/>
    <x v="47"/>
    <x v="5"/>
    <x v="0"/>
    <x v="319"/>
    <n v="194"/>
    <x v="1"/>
    <n v="88"/>
    <n v="70"/>
    <x v="421"/>
    <x v="420"/>
    <x v="422"/>
    <x v="0"/>
  </r>
  <r>
    <x v="423"/>
    <x v="31"/>
    <x v="1"/>
    <x v="6"/>
    <x v="314"/>
    <n v="150"/>
    <x v="4"/>
    <n v="108"/>
    <n v="57"/>
    <x v="422"/>
    <x v="421"/>
    <x v="423"/>
    <x v="8"/>
  </r>
  <r>
    <x v="424"/>
    <x v="89"/>
    <x v="6"/>
    <x v="3"/>
    <x v="169"/>
    <n v="125"/>
    <x v="0"/>
    <n v="90"/>
    <n v="71"/>
    <x v="423"/>
    <x v="422"/>
    <x v="424"/>
    <x v="10"/>
  </r>
  <r>
    <x v="425"/>
    <x v="36"/>
    <x v="3"/>
    <x v="0"/>
    <x v="247"/>
    <n v="160"/>
    <x v="2"/>
    <n v="123"/>
    <n v="61"/>
    <x v="424"/>
    <x v="423"/>
    <x v="425"/>
    <x v="1"/>
  </r>
  <r>
    <x v="426"/>
    <x v="6"/>
    <x v="0"/>
    <x v="4"/>
    <x v="168"/>
    <n v="156"/>
    <x v="3"/>
    <n v="173"/>
    <n v="149"/>
    <x v="425"/>
    <x v="424"/>
    <x v="426"/>
    <x v="7"/>
  </r>
  <r>
    <x v="427"/>
    <x v="23"/>
    <x v="8"/>
    <x v="6"/>
    <x v="42"/>
    <n v="232"/>
    <x v="2"/>
    <n v="73"/>
    <n v="60"/>
    <x v="426"/>
    <x v="425"/>
    <x v="427"/>
    <x v="5"/>
  </r>
  <r>
    <x v="428"/>
    <x v="19"/>
    <x v="8"/>
    <x v="2"/>
    <x v="320"/>
    <n v="222"/>
    <x v="2"/>
    <n v="149"/>
    <n v="56"/>
    <x v="427"/>
    <x v="426"/>
    <x v="428"/>
    <x v="2"/>
  </r>
  <r>
    <x v="429"/>
    <x v="51"/>
    <x v="6"/>
    <x v="2"/>
    <x v="321"/>
    <n v="61"/>
    <x v="4"/>
    <n v="146"/>
    <n v="77"/>
    <x v="428"/>
    <x v="427"/>
    <x v="429"/>
    <x v="3"/>
  </r>
  <r>
    <x v="430"/>
    <x v="85"/>
    <x v="2"/>
    <x v="9"/>
    <x v="322"/>
    <n v="220"/>
    <x v="0"/>
    <n v="157"/>
    <n v="155"/>
    <x v="429"/>
    <x v="428"/>
    <x v="430"/>
    <x v="11"/>
  </r>
  <r>
    <x v="431"/>
    <x v="32"/>
    <x v="7"/>
    <x v="3"/>
    <x v="134"/>
    <n v="103"/>
    <x v="0"/>
    <n v="103"/>
    <n v="67"/>
    <x v="430"/>
    <x v="429"/>
    <x v="431"/>
    <x v="1"/>
  </r>
  <r>
    <x v="432"/>
    <x v="81"/>
    <x v="7"/>
    <x v="7"/>
    <x v="323"/>
    <n v="227"/>
    <x v="4"/>
    <n v="166"/>
    <n v="152"/>
    <x v="431"/>
    <x v="430"/>
    <x v="432"/>
    <x v="1"/>
  </r>
  <r>
    <x v="433"/>
    <x v="67"/>
    <x v="8"/>
    <x v="7"/>
    <x v="67"/>
    <n v="72"/>
    <x v="4"/>
    <n v="82"/>
    <n v="47"/>
    <x v="432"/>
    <x v="431"/>
    <x v="433"/>
    <x v="8"/>
  </r>
  <r>
    <x v="434"/>
    <x v="59"/>
    <x v="0"/>
    <x v="6"/>
    <x v="64"/>
    <n v="166"/>
    <x v="0"/>
    <n v="122"/>
    <n v="120"/>
    <x v="433"/>
    <x v="432"/>
    <x v="434"/>
    <x v="7"/>
  </r>
  <r>
    <x v="435"/>
    <x v="59"/>
    <x v="0"/>
    <x v="6"/>
    <x v="324"/>
    <n v="204"/>
    <x v="1"/>
    <n v="105"/>
    <n v="93"/>
    <x v="434"/>
    <x v="433"/>
    <x v="435"/>
    <x v="0"/>
  </r>
  <r>
    <x v="436"/>
    <x v="43"/>
    <x v="0"/>
    <x v="9"/>
    <x v="325"/>
    <n v="72"/>
    <x v="3"/>
    <n v="120"/>
    <n v="117"/>
    <x v="435"/>
    <x v="434"/>
    <x v="436"/>
    <x v="9"/>
  </r>
  <r>
    <x v="437"/>
    <x v="29"/>
    <x v="9"/>
    <x v="1"/>
    <x v="133"/>
    <n v="149"/>
    <x v="2"/>
    <n v="111"/>
    <n v="45"/>
    <x v="436"/>
    <x v="435"/>
    <x v="437"/>
    <x v="6"/>
  </r>
  <r>
    <x v="438"/>
    <x v="61"/>
    <x v="5"/>
    <x v="9"/>
    <x v="326"/>
    <n v="45"/>
    <x v="4"/>
    <n v="92"/>
    <n v="47"/>
    <x v="437"/>
    <x v="436"/>
    <x v="438"/>
    <x v="2"/>
  </r>
  <r>
    <x v="439"/>
    <x v="81"/>
    <x v="7"/>
    <x v="7"/>
    <x v="327"/>
    <n v="64"/>
    <x v="4"/>
    <n v="135"/>
    <n v="122"/>
    <x v="438"/>
    <x v="437"/>
    <x v="439"/>
    <x v="3"/>
  </r>
  <r>
    <x v="440"/>
    <x v="27"/>
    <x v="4"/>
    <x v="8"/>
    <x v="328"/>
    <n v="70"/>
    <x v="0"/>
    <n v="80"/>
    <n v="58"/>
    <x v="439"/>
    <x v="438"/>
    <x v="440"/>
    <x v="4"/>
  </r>
  <r>
    <x v="441"/>
    <x v="25"/>
    <x v="1"/>
    <x v="7"/>
    <x v="329"/>
    <n v="239"/>
    <x v="4"/>
    <n v="72"/>
    <n v="48"/>
    <x v="440"/>
    <x v="439"/>
    <x v="441"/>
    <x v="9"/>
  </r>
  <r>
    <x v="442"/>
    <x v="22"/>
    <x v="5"/>
    <x v="2"/>
    <x v="148"/>
    <n v="140"/>
    <x v="2"/>
    <n v="116"/>
    <n v="54"/>
    <x v="441"/>
    <x v="440"/>
    <x v="442"/>
    <x v="9"/>
  </r>
  <r>
    <x v="443"/>
    <x v="18"/>
    <x v="4"/>
    <x v="3"/>
    <x v="330"/>
    <n v="167"/>
    <x v="3"/>
    <n v="112"/>
    <n v="54"/>
    <x v="442"/>
    <x v="441"/>
    <x v="443"/>
    <x v="6"/>
  </r>
  <r>
    <x v="444"/>
    <x v="81"/>
    <x v="7"/>
    <x v="7"/>
    <x v="331"/>
    <n v="196"/>
    <x v="3"/>
    <n v="215"/>
    <n v="213"/>
    <x v="443"/>
    <x v="442"/>
    <x v="444"/>
    <x v="11"/>
  </r>
  <r>
    <x v="445"/>
    <x v="37"/>
    <x v="1"/>
    <x v="9"/>
    <x v="191"/>
    <n v="52"/>
    <x v="0"/>
    <n v="193"/>
    <n v="164"/>
    <x v="444"/>
    <x v="443"/>
    <x v="445"/>
    <x v="7"/>
  </r>
  <r>
    <x v="446"/>
    <x v="54"/>
    <x v="8"/>
    <x v="5"/>
    <x v="315"/>
    <n v="212"/>
    <x v="2"/>
    <n v="73"/>
    <n v="73"/>
    <x v="445"/>
    <x v="444"/>
    <x v="446"/>
    <x v="7"/>
  </r>
  <r>
    <x v="447"/>
    <x v="58"/>
    <x v="3"/>
    <x v="6"/>
    <x v="144"/>
    <n v="221"/>
    <x v="1"/>
    <n v="94"/>
    <n v="67"/>
    <x v="446"/>
    <x v="445"/>
    <x v="447"/>
    <x v="3"/>
  </r>
  <r>
    <x v="448"/>
    <x v="13"/>
    <x v="1"/>
    <x v="5"/>
    <x v="332"/>
    <n v="201"/>
    <x v="4"/>
    <n v="72"/>
    <n v="50"/>
    <x v="447"/>
    <x v="446"/>
    <x v="448"/>
    <x v="5"/>
  </r>
  <r>
    <x v="449"/>
    <x v="81"/>
    <x v="7"/>
    <x v="7"/>
    <x v="309"/>
    <n v="127"/>
    <x v="0"/>
    <n v="154"/>
    <n v="75"/>
    <x v="448"/>
    <x v="447"/>
    <x v="449"/>
    <x v="10"/>
  </r>
  <r>
    <x v="450"/>
    <x v="2"/>
    <x v="2"/>
    <x v="1"/>
    <x v="24"/>
    <n v="105"/>
    <x v="4"/>
    <n v="187"/>
    <n v="153"/>
    <x v="449"/>
    <x v="448"/>
    <x v="450"/>
    <x v="4"/>
  </r>
  <r>
    <x v="451"/>
    <x v="21"/>
    <x v="5"/>
    <x v="8"/>
    <x v="32"/>
    <n v="75"/>
    <x v="3"/>
    <n v="74"/>
    <n v="46"/>
    <x v="450"/>
    <x v="449"/>
    <x v="451"/>
    <x v="8"/>
  </r>
  <r>
    <x v="452"/>
    <x v="77"/>
    <x v="2"/>
    <x v="6"/>
    <x v="333"/>
    <n v="68"/>
    <x v="1"/>
    <n v="147"/>
    <n v="105"/>
    <x v="451"/>
    <x v="450"/>
    <x v="452"/>
    <x v="1"/>
  </r>
  <r>
    <x v="453"/>
    <x v="61"/>
    <x v="5"/>
    <x v="9"/>
    <x v="334"/>
    <n v="58"/>
    <x v="0"/>
    <n v="186"/>
    <n v="124"/>
    <x v="452"/>
    <x v="451"/>
    <x v="453"/>
    <x v="1"/>
  </r>
  <r>
    <x v="454"/>
    <x v="61"/>
    <x v="5"/>
    <x v="9"/>
    <x v="279"/>
    <n v="74"/>
    <x v="4"/>
    <n v="126"/>
    <n v="40"/>
    <x v="453"/>
    <x v="452"/>
    <x v="454"/>
    <x v="9"/>
  </r>
  <r>
    <x v="455"/>
    <x v="14"/>
    <x v="4"/>
    <x v="6"/>
    <x v="335"/>
    <n v="140"/>
    <x v="4"/>
    <n v="81"/>
    <n v="50"/>
    <x v="454"/>
    <x v="453"/>
    <x v="455"/>
    <x v="3"/>
  </r>
  <r>
    <x v="456"/>
    <x v="43"/>
    <x v="0"/>
    <x v="9"/>
    <x v="152"/>
    <n v="95"/>
    <x v="0"/>
    <n v="100"/>
    <n v="99"/>
    <x v="455"/>
    <x v="454"/>
    <x v="456"/>
    <x v="7"/>
  </r>
  <r>
    <x v="457"/>
    <x v="29"/>
    <x v="9"/>
    <x v="1"/>
    <x v="336"/>
    <n v="238"/>
    <x v="3"/>
    <n v="81"/>
    <n v="80"/>
    <x v="456"/>
    <x v="455"/>
    <x v="457"/>
    <x v="9"/>
  </r>
  <r>
    <x v="458"/>
    <x v="26"/>
    <x v="6"/>
    <x v="8"/>
    <x v="337"/>
    <n v="172"/>
    <x v="4"/>
    <n v="205"/>
    <n v="52"/>
    <x v="457"/>
    <x v="456"/>
    <x v="458"/>
    <x v="10"/>
  </r>
  <r>
    <x v="459"/>
    <x v="17"/>
    <x v="5"/>
    <x v="6"/>
    <x v="235"/>
    <n v="222"/>
    <x v="1"/>
    <n v="114"/>
    <n v="56"/>
    <x v="458"/>
    <x v="457"/>
    <x v="459"/>
    <x v="5"/>
  </r>
  <r>
    <x v="460"/>
    <x v="42"/>
    <x v="6"/>
    <x v="9"/>
    <x v="338"/>
    <n v="143"/>
    <x v="3"/>
    <n v="133"/>
    <n v="75"/>
    <x v="459"/>
    <x v="458"/>
    <x v="460"/>
    <x v="3"/>
  </r>
  <r>
    <x v="461"/>
    <x v="9"/>
    <x v="5"/>
    <x v="5"/>
    <x v="339"/>
    <n v="150"/>
    <x v="1"/>
    <n v="201"/>
    <n v="116"/>
    <x v="460"/>
    <x v="459"/>
    <x v="461"/>
    <x v="10"/>
  </r>
  <r>
    <x v="462"/>
    <x v="44"/>
    <x v="9"/>
    <x v="2"/>
    <x v="340"/>
    <n v="204"/>
    <x v="2"/>
    <n v="158"/>
    <n v="157"/>
    <x v="461"/>
    <x v="460"/>
    <x v="462"/>
    <x v="2"/>
  </r>
  <r>
    <x v="463"/>
    <x v="77"/>
    <x v="2"/>
    <x v="6"/>
    <x v="172"/>
    <n v="208"/>
    <x v="2"/>
    <n v="99"/>
    <n v="88"/>
    <x v="462"/>
    <x v="461"/>
    <x v="463"/>
    <x v="6"/>
  </r>
  <r>
    <x v="464"/>
    <x v="10"/>
    <x v="6"/>
    <x v="1"/>
    <x v="341"/>
    <n v="236"/>
    <x v="1"/>
    <n v="143"/>
    <n v="94"/>
    <x v="463"/>
    <x v="462"/>
    <x v="464"/>
    <x v="8"/>
  </r>
  <r>
    <x v="465"/>
    <x v="48"/>
    <x v="8"/>
    <x v="3"/>
    <x v="342"/>
    <n v="58"/>
    <x v="4"/>
    <n v="121"/>
    <n v="74"/>
    <x v="464"/>
    <x v="463"/>
    <x v="465"/>
    <x v="10"/>
  </r>
  <r>
    <x v="466"/>
    <x v="24"/>
    <x v="7"/>
    <x v="0"/>
    <x v="343"/>
    <n v="120"/>
    <x v="0"/>
    <n v="208"/>
    <n v="48"/>
    <x v="465"/>
    <x v="464"/>
    <x v="466"/>
    <x v="6"/>
  </r>
  <r>
    <x v="467"/>
    <x v="26"/>
    <x v="6"/>
    <x v="8"/>
    <x v="344"/>
    <n v="235"/>
    <x v="1"/>
    <n v="169"/>
    <n v="100"/>
    <x v="466"/>
    <x v="465"/>
    <x v="467"/>
    <x v="2"/>
  </r>
  <r>
    <x v="468"/>
    <x v="48"/>
    <x v="8"/>
    <x v="3"/>
    <x v="345"/>
    <n v="151"/>
    <x v="2"/>
    <n v="211"/>
    <n v="53"/>
    <x v="467"/>
    <x v="466"/>
    <x v="468"/>
    <x v="4"/>
  </r>
  <r>
    <x v="469"/>
    <x v="89"/>
    <x v="6"/>
    <x v="3"/>
    <x v="346"/>
    <n v="207"/>
    <x v="2"/>
    <n v="220"/>
    <n v="179"/>
    <x v="468"/>
    <x v="467"/>
    <x v="469"/>
    <x v="2"/>
  </r>
  <r>
    <x v="470"/>
    <x v="9"/>
    <x v="5"/>
    <x v="5"/>
    <x v="208"/>
    <n v="64"/>
    <x v="0"/>
    <n v="114"/>
    <n v="105"/>
    <x v="469"/>
    <x v="468"/>
    <x v="470"/>
    <x v="6"/>
  </r>
  <r>
    <x v="471"/>
    <x v="30"/>
    <x v="1"/>
    <x v="2"/>
    <x v="347"/>
    <n v="112"/>
    <x v="0"/>
    <n v="111"/>
    <n v="72"/>
    <x v="470"/>
    <x v="469"/>
    <x v="471"/>
    <x v="5"/>
  </r>
  <r>
    <x v="472"/>
    <x v="24"/>
    <x v="7"/>
    <x v="0"/>
    <x v="348"/>
    <n v="127"/>
    <x v="1"/>
    <n v="83"/>
    <n v="80"/>
    <x v="471"/>
    <x v="470"/>
    <x v="472"/>
    <x v="3"/>
  </r>
  <r>
    <x v="473"/>
    <x v="85"/>
    <x v="2"/>
    <x v="9"/>
    <x v="181"/>
    <n v="226"/>
    <x v="2"/>
    <n v="204"/>
    <n v="96"/>
    <x v="472"/>
    <x v="471"/>
    <x v="473"/>
    <x v="11"/>
  </r>
  <r>
    <x v="474"/>
    <x v="50"/>
    <x v="2"/>
    <x v="5"/>
    <x v="202"/>
    <n v="184"/>
    <x v="1"/>
    <n v="173"/>
    <n v="63"/>
    <x v="473"/>
    <x v="472"/>
    <x v="474"/>
    <x v="11"/>
  </r>
  <r>
    <x v="475"/>
    <x v="60"/>
    <x v="3"/>
    <x v="1"/>
    <x v="349"/>
    <n v="120"/>
    <x v="0"/>
    <n v="205"/>
    <n v="161"/>
    <x v="474"/>
    <x v="473"/>
    <x v="475"/>
    <x v="1"/>
  </r>
  <r>
    <x v="476"/>
    <x v="39"/>
    <x v="0"/>
    <x v="1"/>
    <x v="350"/>
    <n v="106"/>
    <x v="1"/>
    <n v="132"/>
    <n v="45"/>
    <x v="475"/>
    <x v="474"/>
    <x v="476"/>
    <x v="9"/>
  </r>
  <r>
    <x v="477"/>
    <x v="30"/>
    <x v="1"/>
    <x v="2"/>
    <x v="300"/>
    <n v="230"/>
    <x v="2"/>
    <n v="76"/>
    <n v="73"/>
    <x v="476"/>
    <x v="475"/>
    <x v="477"/>
    <x v="5"/>
  </r>
  <r>
    <x v="478"/>
    <x v="21"/>
    <x v="5"/>
    <x v="8"/>
    <x v="4"/>
    <n v="120"/>
    <x v="0"/>
    <n v="152"/>
    <n v="105"/>
    <x v="477"/>
    <x v="476"/>
    <x v="478"/>
    <x v="4"/>
  </r>
  <r>
    <x v="479"/>
    <x v="77"/>
    <x v="2"/>
    <x v="6"/>
    <x v="351"/>
    <n v="205"/>
    <x v="4"/>
    <n v="123"/>
    <n v="120"/>
    <x v="478"/>
    <x v="477"/>
    <x v="479"/>
    <x v="1"/>
  </r>
  <r>
    <x v="480"/>
    <x v="8"/>
    <x v="0"/>
    <x v="2"/>
    <x v="352"/>
    <n v="224"/>
    <x v="3"/>
    <n v="88"/>
    <n v="87"/>
    <x v="479"/>
    <x v="478"/>
    <x v="480"/>
    <x v="5"/>
  </r>
  <r>
    <x v="481"/>
    <x v="36"/>
    <x v="3"/>
    <x v="0"/>
    <x v="306"/>
    <n v="63"/>
    <x v="4"/>
    <n v="115"/>
    <n v="72"/>
    <x v="480"/>
    <x v="479"/>
    <x v="481"/>
    <x v="11"/>
  </r>
  <r>
    <x v="482"/>
    <x v="76"/>
    <x v="9"/>
    <x v="9"/>
    <x v="353"/>
    <n v="144"/>
    <x v="3"/>
    <n v="173"/>
    <n v="150"/>
    <x v="481"/>
    <x v="379"/>
    <x v="482"/>
    <x v="4"/>
  </r>
  <r>
    <x v="483"/>
    <x v="59"/>
    <x v="0"/>
    <x v="6"/>
    <x v="274"/>
    <n v="209"/>
    <x v="1"/>
    <n v="86"/>
    <n v="77"/>
    <x v="482"/>
    <x v="480"/>
    <x v="483"/>
    <x v="1"/>
  </r>
  <r>
    <x v="484"/>
    <x v="58"/>
    <x v="3"/>
    <x v="6"/>
    <x v="136"/>
    <n v="119"/>
    <x v="2"/>
    <n v="92"/>
    <n v="58"/>
    <x v="483"/>
    <x v="481"/>
    <x v="484"/>
    <x v="9"/>
  </r>
  <r>
    <x v="485"/>
    <x v="71"/>
    <x v="8"/>
    <x v="8"/>
    <x v="354"/>
    <n v="181"/>
    <x v="0"/>
    <n v="104"/>
    <n v="90"/>
    <x v="484"/>
    <x v="482"/>
    <x v="485"/>
    <x v="3"/>
  </r>
  <r>
    <x v="486"/>
    <x v="41"/>
    <x v="7"/>
    <x v="9"/>
    <x v="283"/>
    <n v="231"/>
    <x v="2"/>
    <n v="72"/>
    <n v="49"/>
    <x v="485"/>
    <x v="483"/>
    <x v="486"/>
    <x v="8"/>
  </r>
  <r>
    <x v="487"/>
    <x v="10"/>
    <x v="6"/>
    <x v="1"/>
    <x v="352"/>
    <n v="185"/>
    <x v="4"/>
    <n v="148"/>
    <n v="66"/>
    <x v="486"/>
    <x v="484"/>
    <x v="487"/>
    <x v="5"/>
  </r>
  <r>
    <x v="488"/>
    <x v="50"/>
    <x v="2"/>
    <x v="5"/>
    <x v="355"/>
    <n v="92"/>
    <x v="0"/>
    <n v="134"/>
    <n v="64"/>
    <x v="487"/>
    <x v="485"/>
    <x v="488"/>
    <x v="3"/>
  </r>
  <r>
    <x v="489"/>
    <x v="23"/>
    <x v="8"/>
    <x v="6"/>
    <x v="356"/>
    <n v="210"/>
    <x v="1"/>
    <n v="88"/>
    <n v="58"/>
    <x v="488"/>
    <x v="486"/>
    <x v="489"/>
    <x v="9"/>
  </r>
  <r>
    <x v="490"/>
    <x v="74"/>
    <x v="9"/>
    <x v="8"/>
    <x v="357"/>
    <n v="136"/>
    <x v="0"/>
    <n v="130"/>
    <n v="52"/>
    <x v="489"/>
    <x v="487"/>
    <x v="490"/>
    <x v="6"/>
  </r>
  <r>
    <x v="491"/>
    <x v="29"/>
    <x v="9"/>
    <x v="1"/>
    <x v="358"/>
    <n v="160"/>
    <x v="2"/>
    <n v="148"/>
    <n v="128"/>
    <x v="490"/>
    <x v="488"/>
    <x v="491"/>
    <x v="10"/>
  </r>
  <r>
    <x v="492"/>
    <x v="60"/>
    <x v="3"/>
    <x v="1"/>
    <x v="359"/>
    <n v="88"/>
    <x v="4"/>
    <n v="150"/>
    <n v="71"/>
    <x v="491"/>
    <x v="489"/>
    <x v="492"/>
    <x v="11"/>
  </r>
  <r>
    <x v="493"/>
    <x v="4"/>
    <x v="4"/>
    <x v="1"/>
    <x v="337"/>
    <n v="218"/>
    <x v="2"/>
    <n v="192"/>
    <n v="158"/>
    <x v="492"/>
    <x v="490"/>
    <x v="493"/>
    <x v="10"/>
  </r>
  <r>
    <x v="494"/>
    <x v="17"/>
    <x v="5"/>
    <x v="6"/>
    <x v="360"/>
    <n v="89"/>
    <x v="1"/>
    <n v="90"/>
    <n v="57"/>
    <x v="493"/>
    <x v="491"/>
    <x v="494"/>
    <x v="9"/>
  </r>
  <r>
    <x v="495"/>
    <x v="83"/>
    <x v="4"/>
    <x v="7"/>
    <x v="361"/>
    <n v="49"/>
    <x v="1"/>
    <n v="77"/>
    <n v="77"/>
    <x v="494"/>
    <x v="492"/>
    <x v="495"/>
    <x v="11"/>
  </r>
  <r>
    <x v="496"/>
    <x v="82"/>
    <x v="9"/>
    <x v="0"/>
    <x v="362"/>
    <n v="111"/>
    <x v="1"/>
    <n v="208"/>
    <n v="160"/>
    <x v="495"/>
    <x v="493"/>
    <x v="496"/>
    <x v="5"/>
  </r>
  <r>
    <x v="497"/>
    <x v="76"/>
    <x v="9"/>
    <x v="9"/>
    <x v="337"/>
    <n v="163"/>
    <x v="1"/>
    <n v="200"/>
    <n v="63"/>
    <x v="496"/>
    <x v="494"/>
    <x v="497"/>
    <x v="10"/>
  </r>
  <r>
    <x v="498"/>
    <x v="19"/>
    <x v="8"/>
    <x v="2"/>
    <x v="363"/>
    <n v="220"/>
    <x v="0"/>
    <n v="201"/>
    <n v="75"/>
    <x v="497"/>
    <x v="495"/>
    <x v="498"/>
    <x v="7"/>
  </r>
  <r>
    <x v="499"/>
    <x v="80"/>
    <x v="6"/>
    <x v="5"/>
    <x v="68"/>
    <n v="136"/>
    <x v="4"/>
    <n v="126"/>
    <n v="102"/>
    <x v="498"/>
    <x v="496"/>
    <x v="499"/>
    <x v="10"/>
  </r>
  <r>
    <x v="500"/>
    <x v="75"/>
    <x v="3"/>
    <x v="4"/>
    <x v="364"/>
    <n v="216"/>
    <x v="0"/>
    <n v="202"/>
    <n v="132"/>
    <x v="499"/>
    <x v="497"/>
    <x v="500"/>
    <x v="4"/>
  </r>
  <r>
    <x v="501"/>
    <x v="67"/>
    <x v="8"/>
    <x v="7"/>
    <x v="365"/>
    <n v="127"/>
    <x v="4"/>
    <n v="203"/>
    <n v="202"/>
    <x v="500"/>
    <x v="498"/>
    <x v="501"/>
    <x v="0"/>
  </r>
  <r>
    <x v="502"/>
    <x v="50"/>
    <x v="2"/>
    <x v="5"/>
    <x v="192"/>
    <n v="212"/>
    <x v="3"/>
    <n v="163"/>
    <n v="115"/>
    <x v="501"/>
    <x v="499"/>
    <x v="502"/>
    <x v="1"/>
  </r>
  <r>
    <x v="503"/>
    <x v="88"/>
    <x v="1"/>
    <x v="4"/>
    <x v="366"/>
    <n v="148"/>
    <x v="2"/>
    <n v="158"/>
    <n v="102"/>
    <x v="502"/>
    <x v="500"/>
    <x v="503"/>
    <x v="3"/>
  </r>
  <r>
    <x v="504"/>
    <x v="50"/>
    <x v="2"/>
    <x v="5"/>
    <x v="234"/>
    <n v="87"/>
    <x v="0"/>
    <n v="89"/>
    <n v="72"/>
    <x v="503"/>
    <x v="501"/>
    <x v="504"/>
    <x v="11"/>
  </r>
  <r>
    <x v="505"/>
    <x v="11"/>
    <x v="7"/>
    <x v="4"/>
    <x v="11"/>
    <n v="199"/>
    <x v="4"/>
    <n v="128"/>
    <n v="93"/>
    <x v="504"/>
    <x v="502"/>
    <x v="505"/>
    <x v="1"/>
  </r>
  <r>
    <x v="506"/>
    <x v="21"/>
    <x v="5"/>
    <x v="8"/>
    <x v="367"/>
    <n v="196"/>
    <x v="0"/>
    <n v="175"/>
    <n v="45"/>
    <x v="505"/>
    <x v="503"/>
    <x v="506"/>
    <x v="2"/>
  </r>
  <r>
    <x v="507"/>
    <x v="80"/>
    <x v="6"/>
    <x v="5"/>
    <x v="337"/>
    <n v="206"/>
    <x v="1"/>
    <n v="80"/>
    <n v="76"/>
    <x v="506"/>
    <x v="504"/>
    <x v="507"/>
    <x v="10"/>
  </r>
  <r>
    <x v="508"/>
    <x v="28"/>
    <x v="4"/>
    <x v="5"/>
    <x v="368"/>
    <n v="148"/>
    <x v="1"/>
    <n v="214"/>
    <n v="203"/>
    <x v="507"/>
    <x v="505"/>
    <x v="508"/>
    <x v="3"/>
  </r>
  <r>
    <x v="509"/>
    <x v="8"/>
    <x v="0"/>
    <x v="2"/>
    <x v="369"/>
    <n v="200"/>
    <x v="3"/>
    <n v="193"/>
    <n v="83"/>
    <x v="508"/>
    <x v="506"/>
    <x v="509"/>
    <x v="9"/>
  </r>
  <r>
    <x v="510"/>
    <x v="11"/>
    <x v="7"/>
    <x v="4"/>
    <x v="47"/>
    <n v="213"/>
    <x v="1"/>
    <n v="137"/>
    <n v="61"/>
    <x v="509"/>
    <x v="507"/>
    <x v="510"/>
    <x v="0"/>
  </r>
  <r>
    <x v="511"/>
    <x v="66"/>
    <x v="6"/>
    <x v="7"/>
    <x v="370"/>
    <n v="141"/>
    <x v="3"/>
    <n v="103"/>
    <n v="53"/>
    <x v="510"/>
    <x v="508"/>
    <x v="511"/>
    <x v="2"/>
  </r>
  <r>
    <x v="512"/>
    <x v="2"/>
    <x v="2"/>
    <x v="1"/>
    <x v="371"/>
    <n v="200"/>
    <x v="4"/>
    <n v="115"/>
    <n v="100"/>
    <x v="511"/>
    <x v="509"/>
    <x v="512"/>
    <x v="3"/>
  </r>
  <r>
    <x v="513"/>
    <x v="52"/>
    <x v="0"/>
    <x v="5"/>
    <x v="107"/>
    <n v="213"/>
    <x v="0"/>
    <n v="208"/>
    <n v="40"/>
    <x v="512"/>
    <x v="510"/>
    <x v="513"/>
    <x v="10"/>
  </r>
  <r>
    <x v="514"/>
    <x v="36"/>
    <x v="3"/>
    <x v="0"/>
    <x v="372"/>
    <n v="180"/>
    <x v="3"/>
    <n v="128"/>
    <n v="101"/>
    <x v="513"/>
    <x v="511"/>
    <x v="514"/>
    <x v="6"/>
  </r>
  <r>
    <x v="515"/>
    <x v="66"/>
    <x v="6"/>
    <x v="7"/>
    <x v="373"/>
    <n v="79"/>
    <x v="2"/>
    <n v="192"/>
    <n v="99"/>
    <x v="514"/>
    <x v="512"/>
    <x v="515"/>
    <x v="11"/>
  </r>
  <r>
    <x v="516"/>
    <x v="2"/>
    <x v="2"/>
    <x v="1"/>
    <x v="219"/>
    <n v="93"/>
    <x v="4"/>
    <n v="71"/>
    <n v="47"/>
    <x v="515"/>
    <x v="513"/>
    <x v="516"/>
    <x v="7"/>
  </r>
  <r>
    <x v="517"/>
    <x v="29"/>
    <x v="9"/>
    <x v="1"/>
    <x v="79"/>
    <n v="137"/>
    <x v="4"/>
    <n v="109"/>
    <n v="94"/>
    <x v="516"/>
    <x v="514"/>
    <x v="517"/>
    <x v="4"/>
  </r>
  <r>
    <x v="518"/>
    <x v="37"/>
    <x v="1"/>
    <x v="9"/>
    <x v="191"/>
    <n v="115"/>
    <x v="3"/>
    <n v="122"/>
    <n v="92"/>
    <x v="517"/>
    <x v="515"/>
    <x v="518"/>
    <x v="7"/>
  </r>
  <r>
    <x v="519"/>
    <x v="79"/>
    <x v="7"/>
    <x v="1"/>
    <x v="206"/>
    <n v="187"/>
    <x v="3"/>
    <n v="134"/>
    <n v="79"/>
    <x v="518"/>
    <x v="516"/>
    <x v="519"/>
    <x v="5"/>
  </r>
  <r>
    <x v="520"/>
    <x v="81"/>
    <x v="7"/>
    <x v="7"/>
    <x v="370"/>
    <n v="159"/>
    <x v="0"/>
    <n v="95"/>
    <n v="53"/>
    <x v="519"/>
    <x v="517"/>
    <x v="520"/>
    <x v="2"/>
  </r>
  <r>
    <x v="521"/>
    <x v="57"/>
    <x v="2"/>
    <x v="0"/>
    <x v="355"/>
    <n v="144"/>
    <x v="4"/>
    <n v="93"/>
    <n v="92"/>
    <x v="520"/>
    <x v="518"/>
    <x v="521"/>
    <x v="3"/>
  </r>
  <r>
    <x v="522"/>
    <x v="25"/>
    <x v="1"/>
    <x v="7"/>
    <x v="374"/>
    <n v="112"/>
    <x v="0"/>
    <n v="164"/>
    <n v="50"/>
    <x v="521"/>
    <x v="519"/>
    <x v="522"/>
    <x v="11"/>
  </r>
  <r>
    <x v="523"/>
    <x v="26"/>
    <x v="6"/>
    <x v="8"/>
    <x v="375"/>
    <n v="227"/>
    <x v="1"/>
    <n v="84"/>
    <n v="51"/>
    <x v="522"/>
    <x v="520"/>
    <x v="523"/>
    <x v="0"/>
  </r>
  <r>
    <x v="524"/>
    <x v="20"/>
    <x v="9"/>
    <x v="6"/>
    <x v="376"/>
    <n v="94"/>
    <x v="4"/>
    <n v="200"/>
    <n v="172"/>
    <x v="523"/>
    <x v="521"/>
    <x v="524"/>
    <x v="0"/>
  </r>
  <r>
    <x v="525"/>
    <x v="15"/>
    <x v="8"/>
    <x v="1"/>
    <x v="377"/>
    <n v="212"/>
    <x v="4"/>
    <n v="110"/>
    <n v="51"/>
    <x v="524"/>
    <x v="522"/>
    <x v="525"/>
    <x v="7"/>
  </r>
  <r>
    <x v="526"/>
    <x v="46"/>
    <x v="1"/>
    <x v="3"/>
    <x v="378"/>
    <n v="96"/>
    <x v="1"/>
    <n v="73"/>
    <n v="44"/>
    <x v="525"/>
    <x v="523"/>
    <x v="526"/>
    <x v="2"/>
  </r>
  <r>
    <x v="527"/>
    <x v="85"/>
    <x v="2"/>
    <x v="9"/>
    <x v="379"/>
    <n v="115"/>
    <x v="0"/>
    <n v="119"/>
    <n v="98"/>
    <x v="526"/>
    <x v="524"/>
    <x v="527"/>
    <x v="6"/>
  </r>
  <r>
    <x v="528"/>
    <x v="28"/>
    <x v="4"/>
    <x v="5"/>
    <x v="380"/>
    <n v="174"/>
    <x v="4"/>
    <n v="213"/>
    <n v="58"/>
    <x v="527"/>
    <x v="525"/>
    <x v="528"/>
    <x v="4"/>
  </r>
  <r>
    <x v="529"/>
    <x v="59"/>
    <x v="0"/>
    <x v="6"/>
    <x v="219"/>
    <n v="182"/>
    <x v="1"/>
    <n v="134"/>
    <n v="128"/>
    <x v="528"/>
    <x v="526"/>
    <x v="529"/>
    <x v="7"/>
  </r>
  <r>
    <x v="530"/>
    <x v="34"/>
    <x v="5"/>
    <x v="4"/>
    <x v="167"/>
    <n v="162"/>
    <x v="3"/>
    <n v="220"/>
    <n v="47"/>
    <x v="529"/>
    <x v="527"/>
    <x v="530"/>
    <x v="6"/>
  </r>
  <r>
    <x v="531"/>
    <x v="5"/>
    <x v="0"/>
    <x v="3"/>
    <x v="381"/>
    <n v="101"/>
    <x v="0"/>
    <n v="150"/>
    <n v="92"/>
    <x v="530"/>
    <x v="528"/>
    <x v="531"/>
    <x v="0"/>
  </r>
  <r>
    <x v="532"/>
    <x v="63"/>
    <x v="8"/>
    <x v="9"/>
    <x v="263"/>
    <n v="118"/>
    <x v="4"/>
    <n v="172"/>
    <n v="127"/>
    <x v="531"/>
    <x v="529"/>
    <x v="532"/>
    <x v="7"/>
  </r>
  <r>
    <x v="533"/>
    <x v="61"/>
    <x v="5"/>
    <x v="9"/>
    <x v="40"/>
    <n v="100"/>
    <x v="1"/>
    <n v="138"/>
    <n v="63"/>
    <x v="532"/>
    <x v="530"/>
    <x v="533"/>
    <x v="6"/>
  </r>
  <r>
    <x v="534"/>
    <x v="44"/>
    <x v="9"/>
    <x v="2"/>
    <x v="10"/>
    <n v="97"/>
    <x v="0"/>
    <n v="121"/>
    <n v="71"/>
    <x v="533"/>
    <x v="531"/>
    <x v="534"/>
    <x v="7"/>
  </r>
  <r>
    <x v="535"/>
    <x v="52"/>
    <x v="0"/>
    <x v="5"/>
    <x v="382"/>
    <n v="214"/>
    <x v="3"/>
    <n v="71"/>
    <n v="42"/>
    <x v="534"/>
    <x v="532"/>
    <x v="535"/>
    <x v="8"/>
  </r>
  <r>
    <x v="536"/>
    <x v="87"/>
    <x v="3"/>
    <x v="8"/>
    <x v="383"/>
    <n v="115"/>
    <x v="3"/>
    <n v="116"/>
    <n v="105"/>
    <x v="535"/>
    <x v="533"/>
    <x v="536"/>
    <x v="2"/>
  </r>
  <r>
    <x v="537"/>
    <x v="80"/>
    <x v="6"/>
    <x v="5"/>
    <x v="75"/>
    <n v="179"/>
    <x v="3"/>
    <n v="192"/>
    <n v="178"/>
    <x v="536"/>
    <x v="534"/>
    <x v="537"/>
    <x v="4"/>
  </r>
  <r>
    <x v="538"/>
    <x v="13"/>
    <x v="1"/>
    <x v="5"/>
    <x v="233"/>
    <n v="75"/>
    <x v="1"/>
    <n v="187"/>
    <n v="120"/>
    <x v="537"/>
    <x v="535"/>
    <x v="538"/>
    <x v="9"/>
  </r>
  <r>
    <x v="539"/>
    <x v="25"/>
    <x v="1"/>
    <x v="7"/>
    <x v="384"/>
    <n v="137"/>
    <x v="1"/>
    <n v="136"/>
    <n v="63"/>
    <x v="538"/>
    <x v="536"/>
    <x v="539"/>
    <x v="8"/>
  </r>
  <r>
    <x v="540"/>
    <x v="27"/>
    <x v="4"/>
    <x v="8"/>
    <x v="385"/>
    <n v="132"/>
    <x v="2"/>
    <n v="117"/>
    <n v="103"/>
    <x v="539"/>
    <x v="537"/>
    <x v="540"/>
    <x v="7"/>
  </r>
  <r>
    <x v="541"/>
    <x v="60"/>
    <x v="3"/>
    <x v="1"/>
    <x v="77"/>
    <n v="116"/>
    <x v="3"/>
    <n v="116"/>
    <n v="113"/>
    <x v="540"/>
    <x v="538"/>
    <x v="541"/>
    <x v="4"/>
  </r>
  <r>
    <x v="542"/>
    <x v="43"/>
    <x v="0"/>
    <x v="9"/>
    <x v="386"/>
    <n v="187"/>
    <x v="3"/>
    <n v="167"/>
    <n v="90"/>
    <x v="541"/>
    <x v="539"/>
    <x v="542"/>
    <x v="2"/>
  </r>
  <r>
    <x v="543"/>
    <x v="33"/>
    <x v="8"/>
    <x v="4"/>
    <x v="118"/>
    <n v="172"/>
    <x v="0"/>
    <n v="202"/>
    <n v="176"/>
    <x v="542"/>
    <x v="540"/>
    <x v="543"/>
    <x v="11"/>
  </r>
  <r>
    <x v="544"/>
    <x v="14"/>
    <x v="4"/>
    <x v="6"/>
    <x v="130"/>
    <n v="57"/>
    <x v="3"/>
    <n v="95"/>
    <n v="84"/>
    <x v="543"/>
    <x v="541"/>
    <x v="544"/>
    <x v="2"/>
  </r>
  <r>
    <x v="545"/>
    <x v="27"/>
    <x v="4"/>
    <x v="8"/>
    <x v="387"/>
    <n v="69"/>
    <x v="3"/>
    <n v="155"/>
    <n v="73"/>
    <x v="544"/>
    <x v="542"/>
    <x v="545"/>
    <x v="0"/>
  </r>
  <r>
    <x v="546"/>
    <x v="12"/>
    <x v="2"/>
    <x v="2"/>
    <x v="388"/>
    <n v="50"/>
    <x v="3"/>
    <n v="101"/>
    <n v="62"/>
    <x v="545"/>
    <x v="543"/>
    <x v="546"/>
    <x v="6"/>
  </r>
  <r>
    <x v="547"/>
    <x v="50"/>
    <x v="2"/>
    <x v="5"/>
    <x v="197"/>
    <n v="135"/>
    <x v="2"/>
    <n v="200"/>
    <n v="164"/>
    <x v="546"/>
    <x v="544"/>
    <x v="547"/>
    <x v="0"/>
  </r>
  <r>
    <x v="548"/>
    <x v="51"/>
    <x v="6"/>
    <x v="2"/>
    <x v="389"/>
    <n v="206"/>
    <x v="0"/>
    <n v="112"/>
    <n v="83"/>
    <x v="547"/>
    <x v="545"/>
    <x v="548"/>
    <x v="9"/>
  </r>
  <r>
    <x v="549"/>
    <x v="10"/>
    <x v="6"/>
    <x v="1"/>
    <x v="390"/>
    <n v="65"/>
    <x v="0"/>
    <n v="157"/>
    <n v="69"/>
    <x v="548"/>
    <x v="546"/>
    <x v="549"/>
    <x v="11"/>
  </r>
  <r>
    <x v="550"/>
    <x v="70"/>
    <x v="4"/>
    <x v="9"/>
    <x v="310"/>
    <n v="210"/>
    <x v="3"/>
    <n v="139"/>
    <n v="96"/>
    <x v="549"/>
    <x v="547"/>
    <x v="550"/>
    <x v="7"/>
  </r>
  <r>
    <x v="551"/>
    <x v="78"/>
    <x v="5"/>
    <x v="1"/>
    <x v="321"/>
    <n v="92"/>
    <x v="4"/>
    <n v="102"/>
    <n v="86"/>
    <x v="550"/>
    <x v="548"/>
    <x v="551"/>
    <x v="3"/>
  </r>
  <r>
    <x v="552"/>
    <x v="8"/>
    <x v="0"/>
    <x v="2"/>
    <x v="99"/>
    <n v="146"/>
    <x v="4"/>
    <n v="94"/>
    <n v="44"/>
    <x v="551"/>
    <x v="549"/>
    <x v="552"/>
    <x v="3"/>
  </r>
  <r>
    <x v="553"/>
    <x v="48"/>
    <x v="8"/>
    <x v="3"/>
    <x v="391"/>
    <n v="240"/>
    <x v="4"/>
    <n v="96"/>
    <n v="56"/>
    <x v="552"/>
    <x v="550"/>
    <x v="553"/>
    <x v="3"/>
  </r>
  <r>
    <x v="554"/>
    <x v="30"/>
    <x v="1"/>
    <x v="2"/>
    <x v="83"/>
    <n v="108"/>
    <x v="2"/>
    <n v="183"/>
    <n v="72"/>
    <x v="553"/>
    <x v="551"/>
    <x v="554"/>
    <x v="2"/>
  </r>
  <r>
    <x v="555"/>
    <x v="67"/>
    <x v="8"/>
    <x v="7"/>
    <x v="392"/>
    <n v="136"/>
    <x v="2"/>
    <n v="191"/>
    <n v="159"/>
    <x v="554"/>
    <x v="552"/>
    <x v="555"/>
    <x v="8"/>
  </r>
  <r>
    <x v="556"/>
    <x v="9"/>
    <x v="5"/>
    <x v="5"/>
    <x v="372"/>
    <n v="183"/>
    <x v="0"/>
    <n v="186"/>
    <n v="184"/>
    <x v="555"/>
    <x v="553"/>
    <x v="556"/>
    <x v="6"/>
  </r>
  <r>
    <x v="557"/>
    <x v="12"/>
    <x v="2"/>
    <x v="2"/>
    <x v="379"/>
    <n v="168"/>
    <x v="1"/>
    <n v="128"/>
    <n v="51"/>
    <x v="556"/>
    <x v="554"/>
    <x v="557"/>
    <x v="6"/>
  </r>
  <r>
    <x v="558"/>
    <x v="30"/>
    <x v="1"/>
    <x v="2"/>
    <x v="3"/>
    <n v="122"/>
    <x v="4"/>
    <n v="70"/>
    <n v="56"/>
    <x v="557"/>
    <x v="555"/>
    <x v="558"/>
    <x v="3"/>
  </r>
  <r>
    <x v="559"/>
    <x v="17"/>
    <x v="5"/>
    <x v="6"/>
    <x v="393"/>
    <n v="221"/>
    <x v="3"/>
    <n v="192"/>
    <n v="116"/>
    <x v="558"/>
    <x v="556"/>
    <x v="559"/>
    <x v="1"/>
  </r>
  <r>
    <x v="560"/>
    <x v="45"/>
    <x v="6"/>
    <x v="4"/>
    <x v="351"/>
    <n v="185"/>
    <x v="2"/>
    <n v="118"/>
    <n v="92"/>
    <x v="559"/>
    <x v="557"/>
    <x v="560"/>
    <x v="1"/>
  </r>
  <r>
    <x v="561"/>
    <x v="65"/>
    <x v="9"/>
    <x v="5"/>
    <x v="285"/>
    <n v="144"/>
    <x v="3"/>
    <n v="126"/>
    <n v="73"/>
    <x v="560"/>
    <x v="446"/>
    <x v="561"/>
    <x v="0"/>
  </r>
  <r>
    <x v="562"/>
    <x v="20"/>
    <x v="9"/>
    <x v="6"/>
    <x v="385"/>
    <n v="222"/>
    <x v="2"/>
    <n v="142"/>
    <n v="123"/>
    <x v="561"/>
    <x v="558"/>
    <x v="562"/>
    <x v="7"/>
  </r>
  <r>
    <x v="563"/>
    <x v="16"/>
    <x v="9"/>
    <x v="7"/>
    <x v="394"/>
    <n v="79"/>
    <x v="2"/>
    <n v="98"/>
    <n v="80"/>
    <x v="562"/>
    <x v="559"/>
    <x v="563"/>
    <x v="5"/>
  </r>
  <r>
    <x v="564"/>
    <x v="27"/>
    <x v="4"/>
    <x v="8"/>
    <x v="395"/>
    <n v="127"/>
    <x v="4"/>
    <n v="108"/>
    <n v="46"/>
    <x v="563"/>
    <x v="560"/>
    <x v="564"/>
    <x v="5"/>
  </r>
  <r>
    <x v="565"/>
    <x v="43"/>
    <x v="0"/>
    <x v="9"/>
    <x v="231"/>
    <n v="77"/>
    <x v="3"/>
    <n v="72"/>
    <n v="54"/>
    <x v="564"/>
    <x v="561"/>
    <x v="565"/>
    <x v="0"/>
  </r>
  <r>
    <x v="566"/>
    <x v="34"/>
    <x v="5"/>
    <x v="4"/>
    <x v="396"/>
    <n v="152"/>
    <x v="2"/>
    <n v="197"/>
    <n v="135"/>
    <x v="565"/>
    <x v="562"/>
    <x v="566"/>
    <x v="6"/>
  </r>
  <r>
    <x v="567"/>
    <x v="86"/>
    <x v="3"/>
    <x v="7"/>
    <x v="397"/>
    <n v="59"/>
    <x v="2"/>
    <n v="170"/>
    <n v="58"/>
    <x v="566"/>
    <x v="563"/>
    <x v="567"/>
    <x v="10"/>
  </r>
  <r>
    <x v="568"/>
    <x v="76"/>
    <x v="9"/>
    <x v="9"/>
    <x v="398"/>
    <n v="48"/>
    <x v="4"/>
    <n v="133"/>
    <n v="89"/>
    <x v="567"/>
    <x v="564"/>
    <x v="568"/>
    <x v="1"/>
  </r>
  <r>
    <x v="569"/>
    <x v="74"/>
    <x v="9"/>
    <x v="8"/>
    <x v="284"/>
    <n v="178"/>
    <x v="0"/>
    <n v="191"/>
    <n v="139"/>
    <x v="568"/>
    <x v="565"/>
    <x v="569"/>
    <x v="9"/>
  </r>
  <r>
    <x v="570"/>
    <x v="23"/>
    <x v="8"/>
    <x v="6"/>
    <x v="399"/>
    <n v="76"/>
    <x v="2"/>
    <n v="193"/>
    <n v="116"/>
    <x v="569"/>
    <x v="566"/>
    <x v="570"/>
    <x v="3"/>
  </r>
  <r>
    <x v="571"/>
    <x v="16"/>
    <x v="9"/>
    <x v="7"/>
    <x v="386"/>
    <n v="207"/>
    <x v="3"/>
    <n v="153"/>
    <n v="41"/>
    <x v="570"/>
    <x v="567"/>
    <x v="571"/>
    <x v="2"/>
  </r>
  <r>
    <x v="572"/>
    <x v="5"/>
    <x v="0"/>
    <x v="3"/>
    <x v="400"/>
    <n v="47"/>
    <x v="4"/>
    <n v="218"/>
    <n v="216"/>
    <x v="571"/>
    <x v="568"/>
    <x v="572"/>
    <x v="7"/>
  </r>
  <r>
    <x v="573"/>
    <x v="79"/>
    <x v="7"/>
    <x v="1"/>
    <x v="401"/>
    <n v="108"/>
    <x v="0"/>
    <n v="197"/>
    <n v="63"/>
    <x v="572"/>
    <x v="569"/>
    <x v="573"/>
    <x v="9"/>
  </r>
  <r>
    <x v="574"/>
    <x v="15"/>
    <x v="8"/>
    <x v="1"/>
    <x v="402"/>
    <n v="84"/>
    <x v="1"/>
    <n v="97"/>
    <n v="48"/>
    <x v="573"/>
    <x v="570"/>
    <x v="574"/>
    <x v="0"/>
  </r>
  <r>
    <x v="575"/>
    <x v="85"/>
    <x v="2"/>
    <x v="9"/>
    <x v="82"/>
    <n v="232"/>
    <x v="0"/>
    <n v="75"/>
    <n v="64"/>
    <x v="574"/>
    <x v="571"/>
    <x v="575"/>
    <x v="11"/>
  </r>
  <r>
    <x v="576"/>
    <x v="71"/>
    <x v="8"/>
    <x v="8"/>
    <x v="403"/>
    <n v="157"/>
    <x v="1"/>
    <n v="145"/>
    <n v="109"/>
    <x v="575"/>
    <x v="572"/>
    <x v="576"/>
    <x v="6"/>
  </r>
  <r>
    <x v="577"/>
    <x v="72"/>
    <x v="7"/>
    <x v="6"/>
    <x v="85"/>
    <n v="127"/>
    <x v="3"/>
    <n v="140"/>
    <n v="116"/>
    <x v="576"/>
    <x v="573"/>
    <x v="577"/>
    <x v="6"/>
  </r>
  <r>
    <x v="578"/>
    <x v="50"/>
    <x v="2"/>
    <x v="5"/>
    <x v="404"/>
    <n v="120"/>
    <x v="2"/>
    <n v="208"/>
    <n v="133"/>
    <x v="577"/>
    <x v="574"/>
    <x v="578"/>
    <x v="9"/>
  </r>
  <r>
    <x v="579"/>
    <x v="2"/>
    <x v="2"/>
    <x v="1"/>
    <x v="405"/>
    <n v="49"/>
    <x v="1"/>
    <n v="163"/>
    <n v="139"/>
    <x v="578"/>
    <x v="575"/>
    <x v="579"/>
    <x v="5"/>
  </r>
  <r>
    <x v="580"/>
    <x v="2"/>
    <x v="2"/>
    <x v="1"/>
    <x v="183"/>
    <n v="179"/>
    <x v="3"/>
    <n v="211"/>
    <n v="79"/>
    <x v="579"/>
    <x v="576"/>
    <x v="580"/>
    <x v="5"/>
  </r>
  <r>
    <x v="581"/>
    <x v="86"/>
    <x v="3"/>
    <x v="7"/>
    <x v="406"/>
    <n v="178"/>
    <x v="4"/>
    <n v="81"/>
    <n v="48"/>
    <x v="580"/>
    <x v="577"/>
    <x v="581"/>
    <x v="9"/>
  </r>
  <r>
    <x v="582"/>
    <x v="55"/>
    <x v="0"/>
    <x v="8"/>
    <x v="73"/>
    <n v="70"/>
    <x v="4"/>
    <n v="216"/>
    <n v="204"/>
    <x v="581"/>
    <x v="578"/>
    <x v="582"/>
    <x v="5"/>
  </r>
  <r>
    <x v="583"/>
    <x v="12"/>
    <x v="2"/>
    <x v="2"/>
    <x v="308"/>
    <n v="138"/>
    <x v="0"/>
    <n v="88"/>
    <n v="40"/>
    <x v="582"/>
    <x v="579"/>
    <x v="583"/>
    <x v="4"/>
  </r>
  <r>
    <x v="584"/>
    <x v="55"/>
    <x v="0"/>
    <x v="8"/>
    <x v="201"/>
    <n v="60"/>
    <x v="2"/>
    <n v="212"/>
    <n v="146"/>
    <x v="583"/>
    <x v="580"/>
    <x v="584"/>
    <x v="0"/>
  </r>
  <r>
    <x v="585"/>
    <x v="14"/>
    <x v="4"/>
    <x v="6"/>
    <x v="407"/>
    <n v="232"/>
    <x v="4"/>
    <n v="147"/>
    <n v="49"/>
    <x v="584"/>
    <x v="581"/>
    <x v="585"/>
    <x v="4"/>
  </r>
  <r>
    <x v="586"/>
    <x v="8"/>
    <x v="0"/>
    <x v="2"/>
    <x v="209"/>
    <n v="143"/>
    <x v="0"/>
    <n v="119"/>
    <n v="107"/>
    <x v="585"/>
    <x v="582"/>
    <x v="586"/>
    <x v="3"/>
  </r>
  <r>
    <x v="587"/>
    <x v="72"/>
    <x v="7"/>
    <x v="6"/>
    <x v="332"/>
    <n v="151"/>
    <x v="4"/>
    <n v="217"/>
    <n v="131"/>
    <x v="586"/>
    <x v="583"/>
    <x v="587"/>
    <x v="5"/>
  </r>
  <r>
    <x v="588"/>
    <x v="25"/>
    <x v="1"/>
    <x v="7"/>
    <x v="99"/>
    <n v="91"/>
    <x v="1"/>
    <n v="172"/>
    <n v="169"/>
    <x v="587"/>
    <x v="584"/>
    <x v="588"/>
    <x v="3"/>
  </r>
  <r>
    <x v="589"/>
    <x v="53"/>
    <x v="2"/>
    <x v="3"/>
    <x v="125"/>
    <n v="125"/>
    <x v="1"/>
    <n v="153"/>
    <n v="148"/>
    <x v="588"/>
    <x v="585"/>
    <x v="589"/>
    <x v="6"/>
  </r>
  <r>
    <x v="590"/>
    <x v="37"/>
    <x v="1"/>
    <x v="9"/>
    <x v="15"/>
    <n v="106"/>
    <x v="1"/>
    <n v="209"/>
    <n v="94"/>
    <x v="589"/>
    <x v="586"/>
    <x v="590"/>
    <x v="7"/>
  </r>
  <r>
    <x v="591"/>
    <x v="87"/>
    <x v="3"/>
    <x v="8"/>
    <x v="408"/>
    <n v="146"/>
    <x v="4"/>
    <n v="78"/>
    <n v="58"/>
    <x v="590"/>
    <x v="587"/>
    <x v="591"/>
    <x v="9"/>
  </r>
  <r>
    <x v="592"/>
    <x v="38"/>
    <x v="4"/>
    <x v="0"/>
    <x v="223"/>
    <n v="101"/>
    <x v="0"/>
    <n v="150"/>
    <n v="42"/>
    <x v="591"/>
    <x v="588"/>
    <x v="592"/>
    <x v="8"/>
  </r>
  <r>
    <x v="593"/>
    <x v="50"/>
    <x v="2"/>
    <x v="5"/>
    <x v="284"/>
    <n v="54"/>
    <x v="3"/>
    <n v="161"/>
    <n v="59"/>
    <x v="592"/>
    <x v="589"/>
    <x v="593"/>
    <x v="9"/>
  </r>
  <r>
    <x v="594"/>
    <x v="45"/>
    <x v="6"/>
    <x v="4"/>
    <x v="409"/>
    <n v="110"/>
    <x v="2"/>
    <n v="93"/>
    <n v="76"/>
    <x v="593"/>
    <x v="590"/>
    <x v="594"/>
    <x v="2"/>
  </r>
  <r>
    <x v="595"/>
    <x v="39"/>
    <x v="0"/>
    <x v="1"/>
    <x v="410"/>
    <n v="89"/>
    <x v="3"/>
    <n v="217"/>
    <n v="64"/>
    <x v="594"/>
    <x v="591"/>
    <x v="595"/>
    <x v="10"/>
  </r>
  <r>
    <x v="596"/>
    <x v="25"/>
    <x v="1"/>
    <x v="7"/>
    <x v="211"/>
    <n v="130"/>
    <x v="2"/>
    <n v="181"/>
    <n v="146"/>
    <x v="595"/>
    <x v="592"/>
    <x v="596"/>
    <x v="4"/>
  </r>
  <r>
    <x v="597"/>
    <x v="84"/>
    <x v="6"/>
    <x v="0"/>
    <x v="319"/>
    <n v="206"/>
    <x v="3"/>
    <n v="83"/>
    <n v="59"/>
    <x v="596"/>
    <x v="593"/>
    <x v="597"/>
    <x v="0"/>
  </r>
  <r>
    <x v="598"/>
    <x v="50"/>
    <x v="2"/>
    <x v="5"/>
    <x v="411"/>
    <n v="173"/>
    <x v="0"/>
    <n v="109"/>
    <n v="46"/>
    <x v="597"/>
    <x v="594"/>
    <x v="598"/>
    <x v="6"/>
  </r>
  <r>
    <x v="599"/>
    <x v="26"/>
    <x v="6"/>
    <x v="8"/>
    <x v="184"/>
    <n v="101"/>
    <x v="3"/>
    <n v="144"/>
    <n v="140"/>
    <x v="598"/>
    <x v="595"/>
    <x v="599"/>
    <x v="9"/>
  </r>
  <r>
    <x v="600"/>
    <x v="86"/>
    <x v="3"/>
    <x v="7"/>
    <x v="304"/>
    <n v="191"/>
    <x v="4"/>
    <n v="210"/>
    <n v="142"/>
    <x v="599"/>
    <x v="585"/>
    <x v="600"/>
    <x v="10"/>
  </r>
  <r>
    <x v="601"/>
    <x v="2"/>
    <x v="2"/>
    <x v="1"/>
    <x v="372"/>
    <n v="78"/>
    <x v="0"/>
    <n v="193"/>
    <n v="183"/>
    <x v="600"/>
    <x v="596"/>
    <x v="601"/>
    <x v="6"/>
  </r>
  <r>
    <x v="602"/>
    <x v="45"/>
    <x v="6"/>
    <x v="4"/>
    <x v="412"/>
    <n v="202"/>
    <x v="1"/>
    <n v="133"/>
    <n v="71"/>
    <x v="601"/>
    <x v="597"/>
    <x v="602"/>
    <x v="5"/>
  </r>
  <r>
    <x v="603"/>
    <x v="86"/>
    <x v="3"/>
    <x v="7"/>
    <x v="198"/>
    <n v="216"/>
    <x v="3"/>
    <n v="178"/>
    <n v="133"/>
    <x v="602"/>
    <x v="598"/>
    <x v="603"/>
    <x v="9"/>
  </r>
  <r>
    <x v="604"/>
    <x v="36"/>
    <x v="3"/>
    <x v="0"/>
    <x v="413"/>
    <n v="88"/>
    <x v="2"/>
    <n v="183"/>
    <n v="77"/>
    <x v="603"/>
    <x v="599"/>
    <x v="604"/>
    <x v="8"/>
  </r>
  <r>
    <x v="605"/>
    <x v="29"/>
    <x v="9"/>
    <x v="1"/>
    <x v="3"/>
    <n v="238"/>
    <x v="4"/>
    <n v="98"/>
    <n v="87"/>
    <x v="604"/>
    <x v="600"/>
    <x v="605"/>
    <x v="3"/>
  </r>
  <r>
    <x v="606"/>
    <x v="41"/>
    <x v="7"/>
    <x v="9"/>
    <x v="265"/>
    <n v="132"/>
    <x v="4"/>
    <n v="148"/>
    <n v="97"/>
    <x v="605"/>
    <x v="601"/>
    <x v="606"/>
    <x v="1"/>
  </r>
  <r>
    <x v="607"/>
    <x v="20"/>
    <x v="9"/>
    <x v="6"/>
    <x v="214"/>
    <n v="97"/>
    <x v="1"/>
    <n v="203"/>
    <n v="106"/>
    <x v="606"/>
    <x v="602"/>
    <x v="607"/>
    <x v="2"/>
  </r>
  <r>
    <x v="608"/>
    <x v="24"/>
    <x v="7"/>
    <x v="0"/>
    <x v="192"/>
    <n v="194"/>
    <x v="1"/>
    <n v="81"/>
    <n v="56"/>
    <x v="607"/>
    <x v="603"/>
    <x v="608"/>
    <x v="1"/>
  </r>
  <r>
    <x v="609"/>
    <x v="76"/>
    <x v="9"/>
    <x v="9"/>
    <x v="414"/>
    <n v="164"/>
    <x v="4"/>
    <n v="87"/>
    <n v="64"/>
    <x v="608"/>
    <x v="604"/>
    <x v="609"/>
    <x v="4"/>
  </r>
  <r>
    <x v="610"/>
    <x v="86"/>
    <x v="3"/>
    <x v="7"/>
    <x v="134"/>
    <n v="119"/>
    <x v="3"/>
    <n v="129"/>
    <n v="88"/>
    <x v="609"/>
    <x v="605"/>
    <x v="610"/>
    <x v="1"/>
  </r>
  <r>
    <x v="611"/>
    <x v="17"/>
    <x v="5"/>
    <x v="6"/>
    <x v="415"/>
    <n v="92"/>
    <x v="0"/>
    <n v="198"/>
    <n v="157"/>
    <x v="610"/>
    <x v="606"/>
    <x v="611"/>
    <x v="9"/>
  </r>
  <r>
    <x v="612"/>
    <x v="20"/>
    <x v="9"/>
    <x v="6"/>
    <x v="413"/>
    <n v="130"/>
    <x v="3"/>
    <n v="170"/>
    <n v="80"/>
    <x v="611"/>
    <x v="607"/>
    <x v="612"/>
    <x v="8"/>
  </r>
  <r>
    <x v="613"/>
    <x v="3"/>
    <x v="3"/>
    <x v="2"/>
    <x v="386"/>
    <n v="173"/>
    <x v="2"/>
    <n v="85"/>
    <n v="80"/>
    <x v="612"/>
    <x v="608"/>
    <x v="613"/>
    <x v="2"/>
  </r>
  <r>
    <x v="614"/>
    <x v="12"/>
    <x v="2"/>
    <x v="2"/>
    <x v="346"/>
    <n v="83"/>
    <x v="2"/>
    <n v="170"/>
    <n v="75"/>
    <x v="613"/>
    <x v="609"/>
    <x v="614"/>
    <x v="2"/>
  </r>
  <r>
    <x v="615"/>
    <x v="45"/>
    <x v="6"/>
    <x v="4"/>
    <x v="416"/>
    <n v="106"/>
    <x v="1"/>
    <n v="109"/>
    <n v="94"/>
    <x v="614"/>
    <x v="610"/>
    <x v="615"/>
    <x v="11"/>
  </r>
  <r>
    <x v="616"/>
    <x v="17"/>
    <x v="5"/>
    <x v="6"/>
    <x v="417"/>
    <n v="97"/>
    <x v="0"/>
    <n v="218"/>
    <n v="178"/>
    <x v="615"/>
    <x v="611"/>
    <x v="616"/>
    <x v="10"/>
  </r>
  <r>
    <x v="617"/>
    <x v="50"/>
    <x v="2"/>
    <x v="5"/>
    <x v="122"/>
    <n v="82"/>
    <x v="1"/>
    <n v="110"/>
    <n v="80"/>
    <x v="616"/>
    <x v="612"/>
    <x v="617"/>
    <x v="11"/>
  </r>
  <r>
    <x v="618"/>
    <x v="6"/>
    <x v="0"/>
    <x v="4"/>
    <x v="418"/>
    <n v="82"/>
    <x v="4"/>
    <n v="151"/>
    <n v="92"/>
    <x v="617"/>
    <x v="613"/>
    <x v="618"/>
    <x v="8"/>
  </r>
  <r>
    <x v="619"/>
    <x v="28"/>
    <x v="4"/>
    <x v="5"/>
    <x v="395"/>
    <n v="72"/>
    <x v="0"/>
    <n v="117"/>
    <n v="43"/>
    <x v="618"/>
    <x v="614"/>
    <x v="619"/>
    <x v="5"/>
  </r>
  <r>
    <x v="620"/>
    <x v="45"/>
    <x v="6"/>
    <x v="4"/>
    <x v="419"/>
    <n v="104"/>
    <x v="0"/>
    <n v="76"/>
    <n v="62"/>
    <x v="619"/>
    <x v="615"/>
    <x v="620"/>
    <x v="7"/>
  </r>
  <r>
    <x v="621"/>
    <x v="72"/>
    <x v="7"/>
    <x v="6"/>
    <x v="310"/>
    <n v="165"/>
    <x v="2"/>
    <n v="117"/>
    <n v="89"/>
    <x v="620"/>
    <x v="616"/>
    <x v="621"/>
    <x v="7"/>
  </r>
  <r>
    <x v="622"/>
    <x v="73"/>
    <x v="7"/>
    <x v="2"/>
    <x v="320"/>
    <n v="53"/>
    <x v="3"/>
    <n v="73"/>
    <n v="57"/>
    <x v="621"/>
    <x v="617"/>
    <x v="622"/>
    <x v="2"/>
  </r>
  <r>
    <x v="623"/>
    <x v="16"/>
    <x v="9"/>
    <x v="7"/>
    <x v="235"/>
    <n v="157"/>
    <x v="1"/>
    <n v="195"/>
    <n v="123"/>
    <x v="622"/>
    <x v="618"/>
    <x v="623"/>
    <x v="5"/>
  </r>
  <r>
    <x v="624"/>
    <x v="1"/>
    <x v="1"/>
    <x v="0"/>
    <x v="420"/>
    <n v="233"/>
    <x v="3"/>
    <n v="150"/>
    <n v="90"/>
    <x v="623"/>
    <x v="619"/>
    <x v="624"/>
    <x v="7"/>
  </r>
  <r>
    <x v="625"/>
    <x v="57"/>
    <x v="2"/>
    <x v="0"/>
    <x v="399"/>
    <n v="72"/>
    <x v="3"/>
    <n v="186"/>
    <n v="50"/>
    <x v="624"/>
    <x v="620"/>
    <x v="625"/>
    <x v="3"/>
  </r>
  <r>
    <x v="626"/>
    <x v="1"/>
    <x v="1"/>
    <x v="0"/>
    <x v="332"/>
    <n v="144"/>
    <x v="1"/>
    <n v="82"/>
    <n v="52"/>
    <x v="625"/>
    <x v="621"/>
    <x v="626"/>
    <x v="5"/>
  </r>
  <r>
    <x v="627"/>
    <x v="70"/>
    <x v="4"/>
    <x v="9"/>
    <x v="356"/>
    <n v="87"/>
    <x v="3"/>
    <n v="145"/>
    <n v="118"/>
    <x v="626"/>
    <x v="622"/>
    <x v="627"/>
    <x v="9"/>
  </r>
  <r>
    <x v="628"/>
    <x v="49"/>
    <x v="7"/>
    <x v="8"/>
    <x v="285"/>
    <n v="160"/>
    <x v="4"/>
    <n v="198"/>
    <n v="68"/>
    <x v="627"/>
    <x v="623"/>
    <x v="628"/>
    <x v="0"/>
  </r>
  <r>
    <x v="629"/>
    <x v="32"/>
    <x v="7"/>
    <x v="3"/>
    <x v="421"/>
    <n v="127"/>
    <x v="3"/>
    <n v="76"/>
    <n v="51"/>
    <x v="628"/>
    <x v="624"/>
    <x v="629"/>
    <x v="4"/>
  </r>
  <r>
    <x v="630"/>
    <x v="62"/>
    <x v="5"/>
    <x v="7"/>
    <x v="422"/>
    <n v="127"/>
    <x v="0"/>
    <n v="101"/>
    <n v="45"/>
    <x v="629"/>
    <x v="625"/>
    <x v="630"/>
    <x v="7"/>
  </r>
  <r>
    <x v="631"/>
    <x v="86"/>
    <x v="3"/>
    <x v="7"/>
    <x v="391"/>
    <n v="226"/>
    <x v="3"/>
    <n v="200"/>
    <n v="196"/>
    <x v="630"/>
    <x v="626"/>
    <x v="631"/>
    <x v="3"/>
  </r>
  <r>
    <x v="632"/>
    <x v="1"/>
    <x v="1"/>
    <x v="0"/>
    <x v="190"/>
    <n v="130"/>
    <x v="1"/>
    <n v="108"/>
    <n v="60"/>
    <x v="505"/>
    <x v="627"/>
    <x v="632"/>
    <x v="3"/>
  </r>
  <r>
    <x v="633"/>
    <x v="30"/>
    <x v="1"/>
    <x v="2"/>
    <x v="290"/>
    <n v="231"/>
    <x v="3"/>
    <n v="143"/>
    <n v="120"/>
    <x v="631"/>
    <x v="628"/>
    <x v="633"/>
    <x v="8"/>
  </r>
  <r>
    <x v="634"/>
    <x v="82"/>
    <x v="9"/>
    <x v="0"/>
    <x v="273"/>
    <n v="240"/>
    <x v="2"/>
    <n v="73"/>
    <n v="69"/>
    <x v="632"/>
    <x v="629"/>
    <x v="634"/>
    <x v="7"/>
  </r>
  <r>
    <x v="635"/>
    <x v="71"/>
    <x v="8"/>
    <x v="8"/>
    <x v="423"/>
    <n v="100"/>
    <x v="1"/>
    <n v="191"/>
    <n v="156"/>
    <x v="633"/>
    <x v="630"/>
    <x v="635"/>
    <x v="7"/>
  </r>
  <r>
    <x v="636"/>
    <x v="84"/>
    <x v="6"/>
    <x v="0"/>
    <x v="424"/>
    <n v="185"/>
    <x v="2"/>
    <n v="212"/>
    <n v="93"/>
    <x v="634"/>
    <x v="631"/>
    <x v="636"/>
    <x v="7"/>
  </r>
  <r>
    <x v="637"/>
    <x v="15"/>
    <x v="8"/>
    <x v="1"/>
    <x v="425"/>
    <n v="82"/>
    <x v="4"/>
    <n v="217"/>
    <n v="194"/>
    <x v="635"/>
    <x v="632"/>
    <x v="637"/>
    <x v="4"/>
  </r>
  <r>
    <x v="638"/>
    <x v="54"/>
    <x v="8"/>
    <x v="5"/>
    <x v="331"/>
    <n v="90"/>
    <x v="0"/>
    <n v="142"/>
    <n v="118"/>
    <x v="636"/>
    <x v="633"/>
    <x v="638"/>
    <x v="11"/>
  </r>
  <r>
    <x v="639"/>
    <x v="61"/>
    <x v="5"/>
    <x v="9"/>
    <x v="317"/>
    <n v="68"/>
    <x v="2"/>
    <n v="152"/>
    <n v="87"/>
    <x v="637"/>
    <x v="634"/>
    <x v="639"/>
    <x v="4"/>
  </r>
  <r>
    <x v="640"/>
    <x v="69"/>
    <x v="2"/>
    <x v="7"/>
    <x v="426"/>
    <n v="165"/>
    <x v="0"/>
    <n v="101"/>
    <n v="84"/>
    <x v="638"/>
    <x v="635"/>
    <x v="640"/>
    <x v="0"/>
  </r>
  <r>
    <x v="641"/>
    <x v="31"/>
    <x v="1"/>
    <x v="6"/>
    <x v="340"/>
    <n v="223"/>
    <x v="0"/>
    <n v="84"/>
    <n v="46"/>
    <x v="639"/>
    <x v="636"/>
    <x v="641"/>
    <x v="2"/>
  </r>
  <r>
    <x v="642"/>
    <x v="55"/>
    <x v="0"/>
    <x v="8"/>
    <x v="313"/>
    <n v="199"/>
    <x v="2"/>
    <n v="179"/>
    <n v="121"/>
    <x v="640"/>
    <x v="637"/>
    <x v="642"/>
    <x v="6"/>
  </r>
  <r>
    <x v="643"/>
    <x v="42"/>
    <x v="6"/>
    <x v="9"/>
    <x v="177"/>
    <n v="202"/>
    <x v="1"/>
    <n v="197"/>
    <n v="173"/>
    <x v="641"/>
    <x v="638"/>
    <x v="643"/>
    <x v="10"/>
  </r>
  <r>
    <x v="644"/>
    <x v="45"/>
    <x v="6"/>
    <x v="4"/>
    <x v="46"/>
    <n v="119"/>
    <x v="0"/>
    <n v="70"/>
    <n v="43"/>
    <x v="642"/>
    <x v="639"/>
    <x v="644"/>
    <x v="6"/>
  </r>
  <r>
    <x v="645"/>
    <x v="8"/>
    <x v="0"/>
    <x v="2"/>
    <x v="112"/>
    <n v="151"/>
    <x v="3"/>
    <n v="81"/>
    <n v="61"/>
    <x v="643"/>
    <x v="640"/>
    <x v="645"/>
    <x v="7"/>
  </r>
  <r>
    <x v="646"/>
    <x v="82"/>
    <x v="9"/>
    <x v="0"/>
    <x v="427"/>
    <n v="96"/>
    <x v="2"/>
    <n v="135"/>
    <n v="48"/>
    <x v="644"/>
    <x v="641"/>
    <x v="646"/>
    <x v="0"/>
  </r>
  <r>
    <x v="647"/>
    <x v="85"/>
    <x v="2"/>
    <x v="9"/>
    <x v="274"/>
    <n v="74"/>
    <x v="2"/>
    <n v="157"/>
    <n v="90"/>
    <x v="645"/>
    <x v="642"/>
    <x v="647"/>
    <x v="1"/>
  </r>
  <r>
    <x v="648"/>
    <x v="73"/>
    <x v="7"/>
    <x v="2"/>
    <x v="357"/>
    <n v="131"/>
    <x v="3"/>
    <n v="191"/>
    <n v="49"/>
    <x v="646"/>
    <x v="643"/>
    <x v="648"/>
    <x v="6"/>
  </r>
  <r>
    <x v="649"/>
    <x v="17"/>
    <x v="5"/>
    <x v="6"/>
    <x v="428"/>
    <n v="163"/>
    <x v="3"/>
    <n v="84"/>
    <n v="73"/>
    <x v="647"/>
    <x v="644"/>
    <x v="649"/>
    <x v="6"/>
  </r>
  <r>
    <x v="650"/>
    <x v="77"/>
    <x v="2"/>
    <x v="6"/>
    <x v="134"/>
    <n v="98"/>
    <x v="1"/>
    <n v="154"/>
    <n v="142"/>
    <x v="648"/>
    <x v="645"/>
    <x v="650"/>
    <x v="1"/>
  </r>
  <r>
    <x v="651"/>
    <x v="38"/>
    <x v="4"/>
    <x v="0"/>
    <x v="167"/>
    <n v="141"/>
    <x v="1"/>
    <n v="112"/>
    <n v="89"/>
    <x v="649"/>
    <x v="646"/>
    <x v="651"/>
    <x v="6"/>
  </r>
  <r>
    <x v="652"/>
    <x v="4"/>
    <x v="4"/>
    <x v="1"/>
    <x v="429"/>
    <n v="53"/>
    <x v="2"/>
    <n v="175"/>
    <n v="62"/>
    <x v="650"/>
    <x v="647"/>
    <x v="652"/>
    <x v="6"/>
  </r>
  <r>
    <x v="653"/>
    <x v="22"/>
    <x v="5"/>
    <x v="2"/>
    <x v="430"/>
    <n v="179"/>
    <x v="2"/>
    <n v="114"/>
    <n v="54"/>
    <x v="651"/>
    <x v="648"/>
    <x v="653"/>
    <x v="2"/>
  </r>
  <r>
    <x v="654"/>
    <x v="55"/>
    <x v="0"/>
    <x v="8"/>
    <x v="33"/>
    <n v="51"/>
    <x v="3"/>
    <n v="198"/>
    <n v="79"/>
    <x v="652"/>
    <x v="649"/>
    <x v="654"/>
    <x v="3"/>
  </r>
  <r>
    <x v="655"/>
    <x v="12"/>
    <x v="2"/>
    <x v="2"/>
    <x v="109"/>
    <n v="81"/>
    <x v="4"/>
    <n v="202"/>
    <n v="73"/>
    <x v="653"/>
    <x v="650"/>
    <x v="655"/>
    <x v="6"/>
  </r>
  <r>
    <x v="656"/>
    <x v="31"/>
    <x v="1"/>
    <x v="6"/>
    <x v="44"/>
    <n v="46"/>
    <x v="2"/>
    <n v="81"/>
    <n v="78"/>
    <x v="654"/>
    <x v="651"/>
    <x v="656"/>
    <x v="9"/>
  </r>
  <r>
    <x v="657"/>
    <x v="54"/>
    <x v="8"/>
    <x v="5"/>
    <x v="399"/>
    <n v="213"/>
    <x v="2"/>
    <n v="75"/>
    <n v="59"/>
    <x v="655"/>
    <x v="652"/>
    <x v="657"/>
    <x v="3"/>
  </r>
  <r>
    <x v="658"/>
    <x v="76"/>
    <x v="9"/>
    <x v="9"/>
    <x v="116"/>
    <n v="181"/>
    <x v="2"/>
    <n v="182"/>
    <n v="70"/>
    <x v="656"/>
    <x v="653"/>
    <x v="658"/>
    <x v="0"/>
  </r>
  <r>
    <x v="659"/>
    <x v="83"/>
    <x v="4"/>
    <x v="7"/>
    <x v="117"/>
    <n v="204"/>
    <x v="1"/>
    <n v="201"/>
    <n v="66"/>
    <x v="657"/>
    <x v="654"/>
    <x v="659"/>
    <x v="1"/>
  </r>
  <r>
    <x v="660"/>
    <x v="85"/>
    <x v="2"/>
    <x v="9"/>
    <x v="431"/>
    <n v="81"/>
    <x v="2"/>
    <n v="216"/>
    <n v="102"/>
    <x v="658"/>
    <x v="655"/>
    <x v="660"/>
    <x v="0"/>
  </r>
  <r>
    <x v="661"/>
    <x v="42"/>
    <x v="6"/>
    <x v="9"/>
    <x v="300"/>
    <n v="158"/>
    <x v="4"/>
    <n v="103"/>
    <n v="43"/>
    <x v="659"/>
    <x v="656"/>
    <x v="661"/>
    <x v="5"/>
  </r>
  <r>
    <x v="662"/>
    <x v="5"/>
    <x v="0"/>
    <x v="3"/>
    <x v="75"/>
    <n v="67"/>
    <x v="3"/>
    <n v="170"/>
    <n v="85"/>
    <x v="660"/>
    <x v="657"/>
    <x v="662"/>
    <x v="4"/>
  </r>
  <r>
    <x v="663"/>
    <x v="4"/>
    <x v="4"/>
    <x v="1"/>
    <x v="432"/>
    <n v="227"/>
    <x v="1"/>
    <n v="90"/>
    <n v="88"/>
    <x v="661"/>
    <x v="658"/>
    <x v="663"/>
    <x v="5"/>
  </r>
  <r>
    <x v="664"/>
    <x v="55"/>
    <x v="0"/>
    <x v="8"/>
    <x v="23"/>
    <n v="161"/>
    <x v="2"/>
    <n v="189"/>
    <n v="160"/>
    <x v="662"/>
    <x v="659"/>
    <x v="664"/>
    <x v="9"/>
  </r>
  <r>
    <x v="665"/>
    <x v="51"/>
    <x v="6"/>
    <x v="2"/>
    <x v="334"/>
    <n v="145"/>
    <x v="0"/>
    <n v="154"/>
    <n v="140"/>
    <x v="663"/>
    <x v="660"/>
    <x v="665"/>
    <x v="1"/>
  </r>
  <r>
    <x v="666"/>
    <x v="54"/>
    <x v="8"/>
    <x v="5"/>
    <x v="433"/>
    <n v="73"/>
    <x v="2"/>
    <n v="192"/>
    <n v="158"/>
    <x v="664"/>
    <x v="661"/>
    <x v="666"/>
    <x v="10"/>
  </r>
  <r>
    <x v="667"/>
    <x v="80"/>
    <x v="6"/>
    <x v="5"/>
    <x v="30"/>
    <n v="71"/>
    <x v="3"/>
    <n v="97"/>
    <n v="60"/>
    <x v="665"/>
    <x v="662"/>
    <x v="667"/>
    <x v="3"/>
  </r>
  <r>
    <x v="668"/>
    <x v="14"/>
    <x v="4"/>
    <x v="6"/>
    <x v="356"/>
    <n v="147"/>
    <x v="1"/>
    <n v="175"/>
    <n v="101"/>
    <x v="666"/>
    <x v="663"/>
    <x v="668"/>
    <x v="9"/>
  </r>
  <r>
    <x v="669"/>
    <x v="78"/>
    <x v="5"/>
    <x v="1"/>
    <x v="121"/>
    <n v="132"/>
    <x v="0"/>
    <n v="180"/>
    <n v="151"/>
    <x v="667"/>
    <x v="87"/>
    <x v="669"/>
    <x v="11"/>
  </r>
  <r>
    <x v="670"/>
    <x v="65"/>
    <x v="9"/>
    <x v="5"/>
    <x v="434"/>
    <n v="216"/>
    <x v="4"/>
    <n v="216"/>
    <n v="164"/>
    <x v="668"/>
    <x v="664"/>
    <x v="670"/>
    <x v="8"/>
  </r>
  <r>
    <x v="671"/>
    <x v="61"/>
    <x v="5"/>
    <x v="9"/>
    <x v="435"/>
    <n v="69"/>
    <x v="3"/>
    <n v="115"/>
    <n v="79"/>
    <x v="669"/>
    <x v="665"/>
    <x v="671"/>
    <x v="5"/>
  </r>
  <r>
    <x v="672"/>
    <x v="5"/>
    <x v="0"/>
    <x v="3"/>
    <x v="109"/>
    <n v="171"/>
    <x v="4"/>
    <n v="93"/>
    <n v="53"/>
    <x v="670"/>
    <x v="666"/>
    <x v="672"/>
    <x v="6"/>
  </r>
  <r>
    <x v="673"/>
    <x v="33"/>
    <x v="8"/>
    <x v="4"/>
    <x v="316"/>
    <n v="83"/>
    <x v="3"/>
    <n v="206"/>
    <n v="114"/>
    <x v="671"/>
    <x v="667"/>
    <x v="673"/>
    <x v="8"/>
  </r>
  <r>
    <x v="674"/>
    <x v="34"/>
    <x v="5"/>
    <x v="4"/>
    <x v="436"/>
    <n v="219"/>
    <x v="2"/>
    <n v="146"/>
    <n v="112"/>
    <x v="672"/>
    <x v="668"/>
    <x v="674"/>
    <x v="5"/>
  </r>
  <r>
    <x v="675"/>
    <x v="0"/>
    <x v="0"/>
    <x v="0"/>
    <x v="191"/>
    <n v="175"/>
    <x v="3"/>
    <n v="102"/>
    <n v="94"/>
    <x v="673"/>
    <x v="669"/>
    <x v="675"/>
    <x v="7"/>
  </r>
  <r>
    <x v="676"/>
    <x v="57"/>
    <x v="2"/>
    <x v="0"/>
    <x v="333"/>
    <n v="225"/>
    <x v="1"/>
    <n v="161"/>
    <n v="54"/>
    <x v="674"/>
    <x v="670"/>
    <x v="676"/>
    <x v="1"/>
  </r>
  <r>
    <x v="677"/>
    <x v="46"/>
    <x v="1"/>
    <x v="3"/>
    <x v="437"/>
    <n v="126"/>
    <x v="3"/>
    <n v="173"/>
    <n v="137"/>
    <x v="675"/>
    <x v="671"/>
    <x v="677"/>
    <x v="0"/>
  </r>
  <r>
    <x v="678"/>
    <x v="49"/>
    <x v="7"/>
    <x v="8"/>
    <x v="237"/>
    <n v="93"/>
    <x v="1"/>
    <n v="168"/>
    <n v="132"/>
    <x v="676"/>
    <x v="672"/>
    <x v="678"/>
    <x v="10"/>
  </r>
  <r>
    <x v="679"/>
    <x v="11"/>
    <x v="7"/>
    <x v="4"/>
    <x v="438"/>
    <n v="63"/>
    <x v="4"/>
    <n v="106"/>
    <n v="102"/>
    <x v="677"/>
    <x v="673"/>
    <x v="679"/>
    <x v="1"/>
  </r>
  <r>
    <x v="680"/>
    <x v="32"/>
    <x v="7"/>
    <x v="3"/>
    <x v="439"/>
    <n v="223"/>
    <x v="1"/>
    <n v="178"/>
    <n v="86"/>
    <x v="678"/>
    <x v="674"/>
    <x v="680"/>
    <x v="9"/>
  </r>
  <r>
    <x v="681"/>
    <x v="53"/>
    <x v="2"/>
    <x v="3"/>
    <x v="251"/>
    <n v="135"/>
    <x v="0"/>
    <n v="117"/>
    <n v="94"/>
    <x v="679"/>
    <x v="675"/>
    <x v="681"/>
    <x v="1"/>
  </r>
  <r>
    <x v="682"/>
    <x v="20"/>
    <x v="9"/>
    <x v="6"/>
    <x v="231"/>
    <n v="150"/>
    <x v="1"/>
    <n v="217"/>
    <n v="133"/>
    <x v="680"/>
    <x v="676"/>
    <x v="682"/>
    <x v="0"/>
  </r>
  <r>
    <x v="683"/>
    <x v="61"/>
    <x v="5"/>
    <x v="9"/>
    <x v="198"/>
    <n v="193"/>
    <x v="3"/>
    <n v="90"/>
    <n v="49"/>
    <x v="681"/>
    <x v="677"/>
    <x v="683"/>
    <x v="9"/>
  </r>
  <r>
    <x v="684"/>
    <x v="69"/>
    <x v="2"/>
    <x v="7"/>
    <x v="144"/>
    <n v="201"/>
    <x v="4"/>
    <n v="132"/>
    <n v="100"/>
    <x v="682"/>
    <x v="678"/>
    <x v="684"/>
    <x v="3"/>
  </r>
  <r>
    <x v="685"/>
    <x v="12"/>
    <x v="2"/>
    <x v="2"/>
    <x v="385"/>
    <n v="58"/>
    <x v="2"/>
    <n v="206"/>
    <n v="42"/>
    <x v="683"/>
    <x v="679"/>
    <x v="685"/>
    <x v="7"/>
  </r>
  <r>
    <x v="686"/>
    <x v="61"/>
    <x v="5"/>
    <x v="9"/>
    <x v="118"/>
    <n v="135"/>
    <x v="2"/>
    <n v="144"/>
    <n v="61"/>
    <x v="684"/>
    <x v="680"/>
    <x v="686"/>
    <x v="11"/>
  </r>
  <r>
    <x v="687"/>
    <x v="70"/>
    <x v="4"/>
    <x v="9"/>
    <x v="29"/>
    <n v="206"/>
    <x v="3"/>
    <n v="218"/>
    <n v="83"/>
    <x v="685"/>
    <x v="681"/>
    <x v="687"/>
    <x v="11"/>
  </r>
  <r>
    <x v="688"/>
    <x v="38"/>
    <x v="4"/>
    <x v="0"/>
    <x v="375"/>
    <n v="169"/>
    <x v="4"/>
    <n v="102"/>
    <n v="72"/>
    <x v="686"/>
    <x v="682"/>
    <x v="688"/>
    <x v="0"/>
  </r>
  <r>
    <x v="689"/>
    <x v="41"/>
    <x v="7"/>
    <x v="9"/>
    <x v="0"/>
    <n v="110"/>
    <x v="4"/>
    <n v="98"/>
    <n v="78"/>
    <x v="687"/>
    <x v="683"/>
    <x v="689"/>
    <x v="0"/>
  </r>
  <r>
    <x v="690"/>
    <x v="61"/>
    <x v="5"/>
    <x v="9"/>
    <x v="106"/>
    <n v="111"/>
    <x v="0"/>
    <n v="194"/>
    <n v="86"/>
    <x v="688"/>
    <x v="684"/>
    <x v="690"/>
    <x v="3"/>
  </r>
  <r>
    <x v="691"/>
    <x v="6"/>
    <x v="0"/>
    <x v="4"/>
    <x v="147"/>
    <n v="84"/>
    <x v="3"/>
    <n v="175"/>
    <n v="138"/>
    <x v="689"/>
    <x v="685"/>
    <x v="691"/>
    <x v="7"/>
  </r>
  <r>
    <x v="692"/>
    <x v="73"/>
    <x v="7"/>
    <x v="2"/>
    <x v="5"/>
    <n v="232"/>
    <x v="2"/>
    <n v="83"/>
    <n v="81"/>
    <x v="690"/>
    <x v="686"/>
    <x v="692"/>
    <x v="2"/>
  </r>
  <r>
    <x v="693"/>
    <x v="49"/>
    <x v="7"/>
    <x v="8"/>
    <x v="440"/>
    <n v="166"/>
    <x v="2"/>
    <n v="191"/>
    <n v="176"/>
    <x v="691"/>
    <x v="687"/>
    <x v="693"/>
    <x v="4"/>
  </r>
  <r>
    <x v="694"/>
    <x v="22"/>
    <x v="5"/>
    <x v="2"/>
    <x v="342"/>
    <n v="180"/>
    <x v="3"/>
    <n v="73"/>
    <n v="58"/>
    <x v="692"/>
    <x v="688"/>
    <x v="694"/>
    <x v="10"/>
  </r>
  <r>
    <x v="695"/>
    <x v="57"/>
    <x v="2"/>
    <x v="0"/>
    <x v="23"/>
    <n v="181"/>
    <x v="2"/>
    <n v="180"/>
    <n v="109"/>
    <x v="693"/>
    <x v="689"/>
    <x v="695"/>
    <x v="9"/>
  </r>
  <r>
    <x v="696"/>
    <x v="43"/>
    <x v="0"/>
    <x v="9"/>
    <x v="441"/>
    <n v="194"/>
    <x v="3"/>
    <n v="188"/>
    <n v="101"/>
    <x v="694"/>
    <x v="690"/>
    <x v="696"/>
    <x v="8"/>
  </r>
  <r>
    <x v="697"/>
    <x v="79"/>
    <x v="7"/>
    <x v="1"/>
    <x v="259"/>
    <n v="47"/>
    <x v="4"/>
    <n v="87"/>
    <n v="40"/>
    <x v="695"/>
    <x v="691"/>
    <x v="697"/>
    <x v="5"/>
  </r>
  <r>
    <x v="698"/>
    <x v="55"/>
    <x v="0"/>
    <x v="8"/>
    <x v="128"/>
    <n v="101"/>
    <x v="2"/>
    <n v="134"/>
    <n v="64"/>
    <x v="696"/>
    <x v="692"/>
    <x v="698"/>
    <x v="6"/>
  </r>
  <r>
    <x v="699"/>
    <x v="0"/>
    <x v="0"/>
    <x v="0"/>
    <x v="239"/>
    <n v="213"/>
    <x v="0"/>
    <n v="101"/>
    <n v="85"/>
    <x v="697"/>
    <x v="693"/>
    <x v="699"/>
    <x v="7"/>
  </r>
  <r>
    <x v="700"/>
    <x v="32"/>
    <x v="7"/>
    <x v="3"/>
    <x v="146"/>
    <n v="240"/>
    <x v="1"/>
    <n v="117"/>
    <n v="54"/>
    <x v="698"/>
    <x v="694"/>
    <x v="700"/>
    <x v="8"/>
  </r>
  <r>
    <x v="701"/>
    <x v="62"/>
    <x v="5"/>
    <x v="7"/>
    <x v="201"/>
    <n v="161"/>
    <x v="2"/>
    <n v="179"/>
    <n v="122"/>
    <x v="699"/>
    <x v="695"/>
    <x v="701"/>
    <x v="0"/>
  </r>
  <r>
    <x v="702"/>
    <x v="38"/>
    <x v="4"/>
    <x v="0"/>
    <x v="442"/>
    <n v="144"/>
    <x v="2"/>
    <n v="85"/>
    <n v="56"/>
    <x v="700"/>
    <x v="696"/>
    <x v="702"/>
    <x v="1"/>
  </r>
  <r>
    <x v="703"/>
    <x v="55"/>
    <x v="0"/>
    <x v="8"/>
    <x v="443"/>
    <n v="201"/>
    <x v="3"/>
    <n v="115"/>
    <n v="102"/>
    <x v="701"/>
    <x v="697"/>
    <x v="703"/>
    <x v="5"/>
  </r>
  <r>
    <x v="704"/>
    <x v="88"/>
    <x v="1"/>
    <x v="4"/>
    <x v="363"/>
    <n v="209"/>
    <x v="4"/>
    <n v="183"/>
    <n v="106"/>
    <x v="702"/>
    <x v="698"/>
    <x v="704"/>
    <x v="7"/>
  </r>
  <r>
    <x v="705"/>
    <x v="43"/>
    <x v="0"/>
    <x v="9"/>
    <x v="350"/>
    <n v="49"/>
    <x v="3"/>
    <n v="108"/>
    <n v="40"/>
    <x v="703"/>
    <x v="699"/>
    <x v="705"/>
    <x v="9"/>
  </r>
  <r>
    <x v="706"/>
    <x v="28"/>
    <x v="4"/>
    <x v="5"/>
    <x v="444"/>
    <n v="129"/>
    <x v="3"/>
    <n v="217"/>
    <n v="40"/>
    <x v="704"/>
    <x v="700"/>
    <x v="706"/>
    <x v="6"/>
  </r>
  <r>
    <x v="707"/>
    <x v="46"/>
    <x v="1"/>
    <x v="3"/>
    <x v="445"/>
    <n v="183"/>
    <x v="0"/>
    <n v="70"/>
    <n v="52"/>
    <x v="705"/>
    <x v="701"/>
    <x v="707"/>
    <x v="11"/>
  </r>
  <r>
    <x v="708"/>
    <x v="85"/>
    <x v="2"/>
    <x v="9"/>
    <x v="446"/>
    <n v="219"/>
    <x v="2"/>
    <n v="172"/>
    <n v="54"/>
    <x v="706"/>
    <x v="702"/>
    <x v="708"/>
    <x v="6"/>
  </r>
  <r>
    <x v="709"/>
    <x v="86"/>
    <x v="3"/>
    <x v="7"/>
    <x v="447"/>
    <n v="239"/>
    <x v="2"/>
    <n v="121"/>
    <n v="62"/>
    <x v="707"/>
    <x v="703"/>
    <x v="709"/>
    <x v="9"/>
  </r>
  <r>
    <x v="710"/>
    <x v="76"/>
    <x v="9"/>
    <x v="9"/>
    <x v="448"/>
    <n v="144"/>
    <x v="4"/>
    <n v="161"/>
    <n v="102"/>
    <x v="708"/>
    <x v="704"/>
    <x v="710"/>
    <x v="6"/>
  </r>
  <r>
    <x v="711"/>
    <x v="65"/>
    <x v="9"/>
    <x v="5"/>
    <x v="317"/>
    <n v="94"/>
    <x v="4"/>
    <n v="131"/>
    <n v="102"/>
    <x v="709"/>
    <x v="705"/>
    <x v="711"/>
    <x v="4"/>
  </r>
  <r>
    <x v="712"/>
    <x v="27"/>
    <x v="4"/>
    <x v="8"/>
    <x v="7"/>
    <n v="160"/>
    <x v="4"/>
    <n v="79"/>
    <n v="61"/>
    <x v="710"/>
    <x v="706"/>
    <x v="712"/>
    <x v="5"/>
  </r>
  <r>
    <x v="713"/>
    <x v="25"/>
    <x v="1"/>
    <x v="7"/>
    <x v="214"/>
    <n v="212"/>
    <x v="1"/>
    <n v="187"/>
    <n v="177"/>
    <x v="711"/>
    <x v="707"/>
    <x v="713"/>
    <x v="2"/>
  </r>
  <r>
    <x v="714"/>
    <x v="0"/>
    <x v="0"/>
    <x v="0"/>
    <x v="295"/>
    <n v="170"/>
    <x v="4"/>
    <n v="190"/>
    <n v="51"/>
    <x v="712"/>
    <x v="708"/>
    <x v="714"/>
    <x v="10"/>
  </r>
  <r>
    <x v="715"/>
    <x v="24"/>
    <x v="7"/>
    <x v="0"/>
    <x v="449"/>
    <n v="206"/>
    <x v="4"/>
    <n v="148"/>
    <n v="145"/>
    <x v="713"/>
    <x v="709"/>
    <x v="715"/>
    <x v="3"/>
  </r>
  <r>
    <x v="716"/>
    <x v="81"/>
    <x v="7"/>
    <x v="7"/>
    <x v="136"/>
    <n v="74"/>
    <x v="3"/>
    <n v="126"/>
    <n v="48"/>
    <x v="714"/>
    <x v="710"/>
    <x v="716"/>
    <x v="9"/>
  </r>
  <r>
    <x v="717"/>
    <x v="37"/>
    <x v="1"/>
    <x v="9"/>
    <x v="305"/>
    <n v="220"/>
    <x v="1"/>
    <n v="209"/>
    <n v="75"/>
    <x v="715"/>
    <x v="711"/>
    <x v="717"/>
    <x v="10"/>
  </r>
  <r>
    <x v="718"/>
    <x v="80"/>
    <x v="6"/>
    <x v="5"/>
    <x v="428"/>
    <n v="61"/>
    <x v="4"/>
    <n v="140"/>
    <n v="58"/>
    <x v="716"/>
    <x v="712"/>
    <x v="718"/>
    <x v="6"/>
  </r>
  <r>
    <x v="719"/>
    <x v="50"/>
    <x v="2"/>
    <x v="5"/>
    <x v="82"/>
    <n v="107"/>
    <x v="1"/>
    <n v="80"/>
    <n v="48"/>
    <x v="717"/>
    <x v="713"/>
    <x v="719"/>
    <x v="11"/>
  </r>
  <r>
    <x v="720"/>
    <x v="13"/>
    <x v="1"/>
    <x v="5"/>
    <x v="159"/>
    <n v="169"/>
    <x v="4"/>
    <n v="71"/>
    <n v="40"/>
    <x v="718"/>
    <x v="714"/>
    <x v="720"/>
    <x v="1"/>
  </r>
  <r>
    <x v="721"/>
    <x v="51"/>
    <x v="6"/>
    <x v="2"/>
    <x v="331"/>
    <n v="222"/>
    <x v="3"/>
    <n v="102"/>
    <n v="53"/>
    <x v="719"/>
    <x v="715"/>
    <x v="721"/>
    <x v="11"/>
  </r>
  <r>
    <x v="722"/>
    <x v="53"/>
    <x v="2"/>
    <x v="3"/>
    <x v="450"/>
    <n v="106"/>
    <x v="0"/>
    <n v="79"/>
    <n v="78"/>
    <x v="720"/>
    <x v="716"/>
    <x v="722"/>
    <x v="4"/>
  </r>
  <r>
    <x v="723"/>
    <x v="43"/>
    <x v="0"/>
    <x v="9"/>
    <x v="85"/>
    <n v="152"/>
    <x v="4"/>
    <n v="212"/>
    <n v="100"/>
    <x v="721"/>
    <x v="717"/>
    <x v="723"/>
    <x v="6"/>
  </r>
  <r>
    <x v="724"/>
    <x v="39"/>
    <x v="0"/>
    <x v="1"/>
    <x v="150"/>
    <n v="174"/>
    <x v="0"/>
    <n v="188"/>
    <n v="93"/>
    <x v="722"/>
    <x v="718"/>
    <x v="724"/>
    <x v="5"/>
  </r>
  <r>
    <x v="725"/>
    <x v="6"/>
    <x v="0"/>
    <x v="4"/>
    <x v="8"/>
    <n v="166"/>
    <x v="3"/>
    <n v="115"/>
    <n v="60"/>
    <x v="723"/>
    <x v="719"/>
    <x v="725"/>
    <x v="6"/>
  </r>
  <r>
    <x v="726"/>
    <x v="3"/>
    <x v="3"/>
    <x v="2"/>
    <x v="340"/>
    <n v="156"/>
    <x v="2"/>
    <n v="155"/>
    <n v="118"/>
    <x v="724"/>
    <x v="720"/>
    <x v="726"/>
    <x v="2"/>
  </r>
  <r>
    <x v="727"/>
    <x v="23"/>
    <x v="8"/>
    <x v="6"/>
    <x v="451"/>
    <n v="85"/>
    <x v="4"/>
    <n v="194"/>
    <n v="171"/>
    <x v="725"/>
    <x v="721"/>
    <x v="727"/>
    <x v="3"/>
  </r>
  <r>
    <x v="728"/>
    <x v="61"/>
    <x v="5"/>
    <x v="9"/>
    <x v="60"/>
    <n v="95"/>
    <x v="2"/>
    <n v="128"/>
    <n v="54"/>
    <x v="726"/>
    <x v="722"/>
    <x v="728"/>
    <x v="11"/>
  </r>
  <r>
    <x v="729"/>
    <x v="35"/>
    <x v="9"/>
    <x v="3"/>
    <x v="42"/>
    <n v="141"/>
    <x v="0"/>
    <n v="88"/>
    <n v="70"/>
    <x v="727"/>
    <x v="723"/>
    <x v="729"/>
    <x v="5"/>
  </r>
  <r>
    <x v="730"/>
    <x v="73"/>
    <x v="7"/>
    <x v="2"/>
    <x v="452"/>
    <n v="161"/>
    <x v="0"/>
    <n v="169"/>
    <n v="135"/>
    <x v="728"/>
    <x v="724"/>
    <x v="730"/>
    <x v="7"/>
  </r>
  <r>
    <x v="731"/>
    <x v="3"/>
    <x v="3"/>
    <x v="2"/>
    <x v="261"/>
    <n v="130"/>
    <x v="0"/>
    <n v="78"/>
    <n v="76"/>
    <x v="729"/>
    <x v="725"/>
    <x v="731"/>
    <x v="5"/>
  </r>
  <r>
    <x v="732"/>
    <x v="55"/>
    <x v="0"/>
    <x v="8"/>
    <x v="453"/>
    <n v="152"/>
    <x v="0"/>
    <n v="157"/>
    <n v="68"/>
    <x v="730"/>
    <x v="726"/>
    <x v="732"/>
    <x v="9"/>
  </r>
  <r>
    <x v="733"/>
    <x v="80"/>
    <x v="6"/>
    <x v="5"/>
    <x v="5"/>
    <n v="186"/>
    <x v="0"/>
    <n v="92"/>
    <n v="66"/>
    <x v="731"/>
    <x v="727"/>
    <x v="733"/>
    <x v="2"/>
  </r>
  <r>
    <x v="734"/>
    <x v="89"/>
    <x v="6"/>
    <x v="3"/>
    <x v="454"/>
    <n v="116"/>
    <x v="4"/>
    <n v="179"/>
    <n v="103"/>
    <x v="732"/>
    <x v="728"/>
    <x v="734"/>
    <x v="9"/>
  </r>
  <r>
    <x v="735"/>
    <x v="45"/>
    <x v="6"/>
    <x v="4"/>
    <x v="140"/>
    <n v="83"/>
    <x v="1"/>
    <n v="71"/>
    <n v="66"/>
    <x v="733"/>
    <x v="729"/>
    <x v="735"/>
    <x v="2"/>
  </r>
  <r>
    <x v="736"/>
    <x v="57"/>
    <x v="2"/>
    <x v="0"/>
    <x v="373"/>
    <n v="180"/>
    <x v="3"/>
    <n v="192"/>
    <n v="65"/>
    <x v="734"/>
    <x v="730"/>
    <x v="736"/>
    <x v="11"/>
  </r>
  <r>
    <x v="737"/>
    <x v="59"/>
    <x v="0"/>
    <x v="6"/>
    <x v="221"/>
    <n v="222"/>
    <x v="3"/>
    <n v="125"/>
    <n v="56"/>
    <x v="735"/>
    <x v="731"/>
    <x v="737"/>
    <x v="1"/>
  </r>
  <r>
    <x v="738"/>
    <x v="0"/>
    <x v="0"/>
    <x v="0"/>
    <x v="455"/>
    <n v="216"/>
    <x v="2"/>
    <n v="111"/>
    <n v="98"/>
    <x v="736"/>
    <x v="732"/>
    <x v="738"/>
    <x v="10"/>
  </r>
  <r>
    <x v="739"/>
    <x v="21"/>
    <x v="5"/>
    <x v="8"/>
    <x v="339"/>
    <n v="225"/>
    <x v="3"/>
    <n v="117"/>
    <n v="87"/>
    <x v="737"/>
    <x v="733"/>
    <x v="739"/>
    <x v="10"/>
  </r>
  <r>
    <x v="740"/>
    <x v="54"/>
    <x v="8"/>
    <x v="5"/>
    <x v="456"/>
    <n v="221"/>
    <x v="2"/>
    <n v="205"/>
    <n v="48"/>
    <x v="738"/>
    <x v="734"/>
    <x v="740"/>
    <x v="1"/>
  </r>
  <r>
    <x v="741"/>
    <x v="26"/>
    <x v="6"/>
    <x v="8"/>
    <x v="457"/>
    <n v="98"/>
    <x v="4"/>
    <n v="155"/>
    <n v="134"/>
    <x v="739"/>
    <x v="735"/>
    <x v="741"/>
    <x v="2"/>
  </r>
  <r>
    <x v="742"/>
    <x v="54"/>
    <x v="8"/>
    <x v="5"/>
    <x v="91"/>
    <n v="138"/>
    <x v="3"/>
    <n v="80"/>
    <n v="63"/>
    <x v="740"/>
    <x v="736"/>
    <x v="742"/>
    <x v="1"/>
  </r>
  <r>
    <x v="743"/>
    <x v="69"/>
    <x v="2"/>
    <x v="7"/>
    <x v="412"/>
    <n v="226"/>
    <x v="0"/>
    <n v="105"/>
    <n v="82"/>
    <x v="741"/>
    <x v="667"/>
    <x v="743"/>
    <x v="5"/>
  </r>
  <r>
    <x v="744"/>
    <x v="34"/>
    <x v="5"/>
    <x v="4"/>
    <x v="346"/>
    <n v="127"/>
    <x v="2"/>
    <n v="138"/>
    <n v="104"/>
    <x v="742"/>
    <x v="737"/>
    <x v="744"/>
    <x v="2"/>
  </r>
  <r>
    <x v="745"/>
    <x v="39"/>
    <x v="0"/>
    <x v="1"/>
    <x v="93"/>
    <n v="160"/>
    <x v="3"/>
    <n v="198"/>
    <n v="174"/>
    <x v="743"/>
    <x v="738"/>
    <x v="745"/>
    <x v="6"/>
  </r>
  <r>
    <x v="746"/>
    <x v="12"/>
    <x v="2"/>
    <x v="2"/>
    <x v="119"/>
    <n v="203"/>
    <x v="2"/>
    <n v="86"/>
    <n v="52"/>
    <x v="744"/>
    <x v="739"/>
    <x v="746"/>
    <x v="9"/>
  </r>
  <r>
    <x v="747"/>
    <x v="13"/>
    <x v="1"/>
    <x v="5"/>
    <x v="86"/>
    <n v="64"/>
    <x v="4"/>
    <n v="112"/>
    <n v="75"/>
    <x v="745"/>
    <x v="740"/>
    <x v="747"/>
    <x v="0"/>
  </r>
  <r>
    <x v="748"/>
    <x v="9"/>
    <x v="5"/>
    <x v="5"/>
    <x v="458"/>
    <n v="178"/>
    <x v="4"/>
    <n v="145"/>
    <n v="93"/>
    <x v="746"/>
    <x v="741"/>
    <x v="748"/>
    <x v="5"/>
  </r>
  <r>
    <x v="749"/>
    <x v="40"/>
    <x v="3"/>
    <x v="3"/>
    <x v="459"/>
    <n v="233"/>
    <x v="4"/>
    <n v="144"/>
    <n v="64"/>
    <x v="747"/>
    <x v="742"/>
    <x v="749"/>
    <x v="11"/>
  </r>
  <r>
    <x v="750"/>
    <x v="85"/>
    <x v="2"/>
    <x v="9"/>
    <x v="450"/>
    <n v="193"/>
    <x v="2"/>
    <n v="153"/>
    <n v="102"/>
    <x v="748"/>
    <x v="743"/>
    <x v="750"/>
    <x v="4"/>
  </r>
  <r>
    <x v="751"/>
    <x v="22"/>
    <x v="5"/>
    <x v="2"/>
    <x v="9"/>
    <n v="78"/>
    <x v="2"/>
    <n v="113"/>
    <n v="73"/>
    <x v="749"/>
    <x v="744"/>
    <x v="751"/>
    <x v="2"/>
  </r>
  <r>
    <x v="752"/>
    <x v="38"/>
    <x v="4"/>
    <x v="0"/>
    <x v="460"/>
    <n v="135"/>
    <x v="2"/>
    <n v="186"/>
    <n v="82"/>
    <x v="750"/>
    <x v="745"/>
    <x v="752"/>
    <x v="3"/>
  </r>
  <r>
    <x v="753"/>
    <x v="11"/>
    <x v="7"/>
    <x v="4"/>
    <x v="46"/>
    <n v="222"/>
    <x v="0"/>
    <n v="111"/>
    <n v="70"/>
    <x v="751"/>
    <x v="746"/>
    <x v="753"/>
    <x v="6"/>
  </r>
  <r>
    <x v="754"/>
    <x v="80"/>
    <x v="6"/>
    <x v="5"/>
    <x v="105"/>
    <n v="111"/>
    <x v="2"/>
    <n v="117"/>
    <n v="66"/>
    <x v="752"/>
    <x v="747"/>
    <x v="754"/>
    <x v="11"/>
  </r>
  <r>
    <x v="755"/>
    <x v="60"/>
    <x v="3"/>
    <x v="1"/>
    <x v="460"/>
    <n v="140"/>
    <x v="3"/>
    <n v="208"/>
    <n v="81"/>
    <x v="753"/>
    <x v="748"/>
    <x v="755"/>
    <x v="3"/>
  </r>
  <r>
    <x v="756"/>
    <x v="48"/>
    <x v="8"/>
    <x v="3"/>
    <x v="171"/>
    <n v="82"/>
    <x v="3"/>
    <n v="151"/>
    <n v="59"/>
    <x v="754"/>
    <x v="749"/>
    <x v="756"/>
    <x v="10"/>
  </r>
  <r>
    <x v="757"/>
    <x v="3"/>
    <x v="3"/>
    <x v="2"/>
    <x v="461"/>
    <n v="119"/>
    <x v="1"/>
    <n v="107"/>
    <n v="96"/>
    <x v="755"/>
    <x v="750"/>
    <x v="757"/>
    <x v="10"/>
  </r>
  <r>
    <x v="758"/>
    <x v="47"/>
    <x v="5"/>
    <x v="0"/>
    <x v="237"/>
    <n v="218"/>
    <x v="1"/>
    <n v="99"/>
    <n v="59"/>
    <x v="756"/>
    <x v="751"/>
    <x v="758"/>
    <x v="10"/>
  </r>
  <r>
    <x v="759"/>
    <x v="74"/>
    <x v="9"/>
    <x v="8"/>
    <x v="166"/>
    <n v="68"/>
    <x v="2"/>
    <n v="84"/>
    <n v="78"/>
    <x v="757"/>
    <x v="752"/>
    <x v="759"/>
    <x v="1"/>
  </r>
  <r>
    <x v="760"/>
    <x v="76"/>
    <x v="9"/>
    <x v="9"/>
    <x v="462"/>
    <n v="50"/>
    <x v="4"/>
    <n v="207"/>
    <n v="154"/>
    <x v="758"/>
    <x v="753"/>
    <x v="760"/>
    <x v="5"/>
  </r>
  <r>
    <x v="761"/>
    <x v="74"/>
    <x v="9"/>
    <x v="8"/>
    <x v="418"/>
    <n v="199"/>
    <x v="1"/>
    <n v="200"/>
    <n v="54"/>
    <x v="759"/>
    <x v="754"/>
    <x v="761"/>
    <x v="8"/>
  </r>
  <r>
    <x v="762"/>
    <x v="37"/>
    <x v="1"/>
    <x v="9"/>
    <x v="156"/>
    <n v="140"/>
    <x v="4"/>
    <n v="142"/>
    <n v="84"/>
    <x v="760"/>
    <x v="755"/>
    <x v="762"/>
    <x v="1"/>
  </r>
  <r>
    <x v="763"/>
    <x v="69"/>
    <x v="2"/>
    <x v="7"/>
    <x v="282"/>
    <n v="231"/>
    <x v="3"/>
    <n v="176"/>
    <n v="153"/>
    <x v="761"/>
    <x v="756"/>
    <x v="763"/>
    <x v="2"/>
  </r>
  <r>
    <x v="764"/>
    <x v="13"/>
    <x v="1"/>
    <x v="5"/>
    <x v="103"/>
    <n v="198"/>
    <x v="4"/>
    <n v="106"/>
    <n v="66"/>
    <x v="762"/>
    <x v="757"/>
    <x v="764"/>
    <x v="2"/>
  </r>
  <r>
    <x v="765"/>
    <x v="86"/>
    <x v="3"/>
    <x v="7"/>
    <x v="463"/>
    <n v="238"/>
    <x v="3"/>
    <n v="92"/>
    <n v="40"/>
    <x v="763"/>
    <x v="758"/>
    <x v="765"/>
    <x v="2"/>
  </r>
  <r>
    <x v="766"/>
    <x v="13"/>
    <x v="1"/>
    <x v="5"/>
    <x v="347"/>
    <n v="163"/>
    <x v="1"/>
    <n v="105"/>
    <n v="65"/>
    <x v="764"/>
    <x v="759"/>
    <x v="766"/>
    <x v="5"/>
  </r>
  <r>
    <x v="767"/>
    <x v="53"/>
    <x v="2"/>
    <x v="3"/>
    <x v="364"/>
    <n v="122"/>
    <x v="1"/>
    <n v="147"/>
    <n v="103"/>
    <x v="765"/>
    <x v="760"/>
    <x v="767"/>
    <x v="4"/>
  </r>
  <r>
    <x v="768"/>
    <x v="67"/>
    <x v="8"/>
    <x v="7"/>
    <x v="348"/>
    <n v="112"/>
    <x v="2"/>
    <n v="190"/>
    <n v="71"/>
    <x v="766"/>
    <x v="761"/>
    <x v="768"/>
    <x v="3"/>
  </r>
  <r>
    <x v="769"/>
    <x v="34"/>
    <x v="5"/>
    <x v="4"/>
    <x v="464"/>
    <n v="75"/>
    <x v="2"/>
    <n v="196"/>
    <n v="57"/>
    <x v="767"/>
    <x v="762"/>
    <x v="769"/>
    <x v="1"/>
  </r>
  <r>
    <x v="770"/>
    <x v="10"/>
    <x v="6"/>
    <x v="1"/>
    <x v="465"/>
    <n v="205"/>
    <x v="3"/>
    <n v="100"/>
    <n v="63"/>
    <x v="768"/>
    <x v="763"/>
    <x v="770"/>
    <x v="7"/>
  </r>
  <r>
    <x v="771"/>
    <x v="28"/>
    <x v="4"/>
    <x v="5"/>
    <x v="466"/>
    <n v="59"/>
    <x v="0"/>
    <n v="151"/>
    <n v="99"/>
    <x v="769"/>
    <x v="764"/>
    <x v="771"/>
    <x v="2"/>
  </r>
  <r>
    <x v="772"/>
    <x v="63"/>
    <x v="8"/>
    <x v="9"/>
    <x v="349"/>
    <n v="152"/>
    <x v="2"/>
    <n v="82"/>
    <n v="58"/>
    <x v="770"/>
    <x v="765"/>
    <x v="772"/>
    <x v="1"/>
  </r>
  <r>
    <x v="773"/>
    <x v="59"/>
    <x v="0"/>
    <x v="6"/>
    <x v="467"/>
    <n v="205"/>
    <x v="0"/>
    <n v="94"/>
    <n v="78"/>
    <x v="771"/>
    <x v="766"/>
    <x v="773"/>
    <x v="5"/>
  </r>
  <r>
    <x v="774"/>
    <x v="3"/>
    <x v="3"/>
    <x v="2"/>
    <x v="431"/>
    <n v="220"/>
    <x v="2"/>
    <n v="94"/>
    <n v="74"/>
    <x v="772"/>
    <x v="767"/>
    <x v="774"/>
    <x v="0"/>
  </r>
  <r>
    <x v="775"/>
    <x v="72"/>
    <x v="7"/>
    <x v="6"/>
    <x v="185"/>
    <n v="140"/>
    <x v="3"/>
    <n v="175"/>
    <n v="127"/>
    <x v="773"/>
    <x v="768"/>
    <x v="775"/>
    <x v="0"/>
  </r>
  <r>
    <x v="776"/>
    <x v="72"/>
    <x v="7"/>
    <x v="6"/>
    <x v="137"/>
    <n v="93"/>
    <x v="1"/>
    <n v="204"/>
    <n v="176"/>
    <x v="774"/>
    <x v="769"/>
    <x v="776"/>
    <x v="2"/>
  </r>
  <r>
    <x v="777"/>
    <x v="56"/>
    <x v="1"/>
    <x v="8"/>
    <x v="226"/>
    <n v="74"/>
    <x v="0"/>
    <n v="74"/>
    <n v="70"/>
    <x v="775"/>
    <x v="770"/>
    <x v="777"/>
    <x v="11"/>
  </r>
  <r>
    <x v="778"/>
    <x v="49"/>
    <x v="7"/>
    <x v="8"/>
    <x v="248"/>
    <n v="178"/>
    <x v="2"/>
    <n v="114"/>
    <n v="78"/>
    <x v="776"/>
    <x v="771"/>
    <x v="778"/>
    <x v="7"/>
  </r>
  <r>
    <x v="779"/>
    <x v="11"/>
    <x v="7"/>
    <x v="4"/>
    <x v="468"/>
    <n v="103"/>
    <x v="2"/>
    <n v="102"/>
    <n v="53"/>
    <x v="777"/>
    <x v="772"/>
    <x v="779"/>
    <x v="6"/>
  </r>
  <r>
    <x v="780"/>
    <x v="52"/>
    <x v="0"/>
    <x v="5"/>
    <x v="134"/>
    <n v="168"/>
    <x v="3"/>
    <n v="80"/>
    <n v="52"/>
    <x v="778"/>
    <x v="773"/>
    <x v="780"/>
    <x v="1"/>
  </r>
  <r>
    <x v="781"/>
    <x v="57"/>
    <x v="2"/>
    <x v="0"/>
    <x v="76"/>
    <n v="75"/>
    <x v="2"/>
    <n v="81"/>
    <n v="44"/>
    <x v="779"/>
    <x v="774"/>
    <x v="781"/>
    <x v="9"/>
  </r>
  <r>
    <x v="782"/>
    <x v="52"/>
    <x v="0"/>
    <x v="5"/>
    <x v="469"/>
    <n v="97"/>
    <x v="1"/>
    <n v="121"/>
    <n v="63"/>
    <x v="780"/>
    <x v="775"/>
    <x v="782"/>
    <x v="7"/>
  </r>
  <r>
    <x v="783"/>
    <x v="41"/>
    <x v="7"/>
    <x v="9"/>
    <x v="470"/>
    <n v="134"/>
    <x v="2"/>
    <n v="111"/>
    <n v="104"/>
    <x v="781"/>
    <x v="776"/>
    <x v="783"/>
    <x v="2"/>
  </r>
  <r>
    <x v="784"/>
    <x v="52"/>
    <x v="0"/>
    <x v="5"/>
    <x v="471"/>
    <n v="240"/>
    <x v="4"/>
    <n v="205"/>
    <n v="95"/>
    <x v="782"/>
    <x v="777"/>
    <x v="784"/>
    <x v="2"/>
  </r>
  <r>
    <x v="785"/>
    <x v="57"/>
    <x v="2"/>
    <x v="0"/>
    <x v="113"/>
    <n v="99"/>
    <x v="1"/>
    <n v="191"/>
    <n v="133"/>
    <x v="783"/>
    <x v="778"/>
    <x v="785"/>
    <x v="9"/>
  </r>
  <r>
    <x v="786"/>
    <x v="79"/>
    <x v="7"/>
    <x v="1"/>
    <x v="472"/>
    <n v="153"/>
    <x v="0"/>
    <n v="201"/>
    <n v="98"/>
    <x v="784"/>
    <x v="779"/>
    <x v="786"/>
    <x v="1"/>
  </r>
  <r>
    <x v="787"/>
    <x v="55"/>
    <x v="0"/>
    <x v="8"/>
    <x v="473"/>
    <n v="178"/>
    <x v="0"/>
    <n v="196"/>
    <n v="132"/>
    <x v="785"/>
    <x v="780"/>
    <x v="787"/>
    <x v="9"/>
  </r>
  <r>
    <x v="788"/>
    <x v="39"/>
    <x v="0"/>
    <x v="1"/>
    <x v="474"/>
    <n v="74"/>
    <x v="3"/>
    <n v="142"/>
    <n v="98"/>
    <x v="786"/>
    <x v="781"/>
    <x v="788"/>
    <x v="10"/>
  </r>
  <r>
    <x v="789"/>
    <x v="20"/>
    <x v="9"/>
    <x v="6"/>
    <x v="353"/>
    <n v="119"/>
    <x v="3"/>
    <n v="118"/>
    <n v="48"/>
    <x v="787"/>
    <x v="782"/>
    <x v="789"/>
    <x v="4"/>
  </r>
  <r>
    <x v="790"/>
    <x v="24"/>
    <x v="7"/>
    <x v="0"/>
    <x v="341"/>
    <n v="170"/>
    <x v="4"/>
    <n v="171"/>
    <n v="152"/>
    <x v="788"/>
    <x v="783"/>
    <x v="790"/>
    <x v="8"/>
  </r>
  <r>
    <x v="791"/>
    <x v="6"/>
    <x v="0"/>
    <x v="4"/>
    <x v="194"/>
    <n v="147"/>
    <x v="1"/>
    <n v="96"/>
    <n v="87"/>
    <x v="789"/>
    <x v="784"/>
    <x v="791"/>
    <x v="4"/>
  </r>
  <r>
    <x v="792"/>
    <x v="29"/>
    <x v="9"/>
    <x v="1"/>
    <x v="443"/>
    <n v="197"/>
    <x v="3"/>
    <n v="101"/>
    <n v="54"/>
    <x v="790"/>
    <x v="785"/>
    <x v="792"/>
    <x v="5"/>
  </r>
  <r>
    <x v="793"/>
    <x v="51"/>
    <x v="6"/>
    <x v="2"/>
    <x v="475"/>
    <n v="147"/>
    <x v="2"/>
    <n v="191"/>
    <n v="143"/>
    <x v="791"/>
    <x v="786"/>
    <x v="793"/>
    <x v="0"/>
  </r>
  <r>
    <x v="794"/>
    <x v="49"/>
    <x v="7"/>
    <x v="8"/>
    <x v="336"/>
    <n v="76"/>
    <x v="2"/>
    <n v="195"/>
    <n v="167"/>
    <x v="792"/>
    <x v="787"/>
    <x v="794"/>
    <x v="9"/>
  </r>
  <r>
    <x v="795"/>
    <x v="54"/>
    <x v="8"/>
    <x v="5"/>
    <x v="414"/>
    <n v="62"/>
    <x v="3"/>
    <n v="76"/>
    <n v="51"/>
    <x v="793"/>
    <x v="788"/>
    <x v="795"/>
    <x v="4"/>
  </r>
  <r>
    <x v="796"/>
    <x v="41"/>
    <x v="7"/>
    <x v="9"/>
    <x v="127"/>
    <n v="204"/>
    <x v="4"/>
    <n v="89"/>
    <n v="82"/>
    <x v="794"/>
    <x v="789"/>
    <x v="796"/>
    <x v="7"/>
  </r>
  <r>
    <x v="797"/>
    <x v="76"/>
    <x v="9"/>
    <x v="9"/>
    <x v="67"/>
    <n v="172"/>
    <x v="3"/>
    <n v="199"/>
    <n v="106"/>
    <x v="795"/>
    <x v="790"/>
    <x v="797"/>
    <x v="8"/>
  </r>
  <r>
    <x v="798"/>
    <x v="57"/>
    <x v="2"/>
    <x v="0"/>
    <x v="210"/>
    <n v="155"/>
    <x v="4"/>
    <n v="168"/>
    <n v="155"/>
    <x v="796"/>
    <x v="791"/>
    <x v="798"/>
    <x v="4"/>
  </r>
  <r>
    <x v="799"/>
    <x v="47"/>
    <x v="5"/>
    <x v="0"/>
    <x v="476"/>
    <n v="90"/>
    <x v="1"/>
    <n v="147"/>
    <n v="130"/>
    <x v="797"/>
    <x v="792"/>
    <x v="799"/>
    <x v="4"/>
  </r>
  <r>
    <x v="800"/>
    <x v="41"/>
    <x v="7"/>
    <x v="9"/>
    <x v="61"/>
    <n v="169"/>
    <x v="4"/>
    <n v="215"/>
    <n v="212"/>
    <x v="798"/>
    <x v="793"/>
    <x v="800"/>
    <x v="4"/>
  </r>
  <r>
    <x v="801"/>
    <x v="53"/>
    <x v="2"/>
    <x v="3"/>
    <x v="304"/>
    <n v="188"/>
    <x v="0"/>
    <n v="199"/>
    <n v="54"/>
    <x v="799"/>
    <x v="794"/>
    <x v="801"/>
    <x v="10"/>
  </r>
  <r>
    <x v="802"/>
    <x v="10"/>
    <x v="6"/>
    <x v="1"/>
    <x v="477"/>
    <n v="218"/>
    <x v="2"/>
    <n v="142"/>
    <n v="81"/>
    <x v="800"/>
    <x v="726"/>
    <x v="802"/>
    <x v="7"/>
  </r>
  <r>
    <x v="803"/>
    <x v="33"/>
    <x v="8"/>
    <x v="4"/>
    <x v="323"/>
    <n v="134"/>
    <x v="1"/>
    <n v="76"/>
    <n v="61"/>
    <x v="801"/>
    <x v="795"/>
    <x v="803"/>
    <x v="1"/>
  </r>
  <r>
    <x v="804"/>
    <x v="60"/>
    <x v="3"/>
    <x v="1"/>
    <x v="450"/>
    <n v="134"/>
    <x v="4"/>
    <n v="132"/>
    <n v="71"/>
    <x v="802"/>
    <x v="796"/>
    <x v="804"/>
    <x v="4"/>
  </r>
  <r>
    <x v="805"/>
    <x v="66"/>
    <x v="6"/>
    <x v="7"/>
    <x v="468"/>
    <n v="61"/>
    <x v="2"/>
    <n v="99"/>
    <n v="61"/>
    <x v="803"/>
    <x v="797"/>
    <x v="805"/>
    <x v="6"/>
  </r>
  <r>
    <x v="806"/>
    <x v="36"/>
    <x v="3"/>
    <x v="0"/>
    <x v="478"/>
    <n v="213"/>
    <x v="3"/>
    <n v="215"/>
    <n v="171"/>
    <x v="804"/>
    <x v="798"/>
    <x v="806"/>
    <x v="9"/>
  </r>
  <r>
    <x v="807"/>
    <x v="47"/>
    <x v="5"/>
    <x v="0"/>
    <x v="193"/>
    <n v="141"/>
    <x v="1"/>
    <n v="169"/>
    <n v="122"/>
    <x v="805"/>
    <x v="799"/>
    <x v="807"/>
    <x v="8"/>
  </r>
  <r>
    <x v="808"/>
    <x v="8"/>
    <x v="0"/>
    <x v="2"/>
    <x v="479"/>
    <n v="172"/>
    <x v="1"/>
    <n v="156"/>
    <n v="61"/>
    <x v="806"/>
    <x v="800"/>
    <x v="808"/>
    <x v="6"/>
  </r>
  <r>
    <x v="809"/>
    <x v="74"/>
    <x v="9"/>
    <x v="8"/>
    <x v="480"/>
    <n v="64"/>
    <x v="1"/>
    <n v="124"/>
    <n v="76"/>
    <x v="807"/>
    <x v="801"/>
    <x v="809"/>
    <x v="0"/>
  </r>
  <r>
    <x v="810"/>
    <x v="10"/>
    <x v="6"/>
    <x v="1"/>
    <x v="320"/>
    <n v="204"/>
    <x v="4"/>
    <n v="218"/>
    <n v="64"/>
    <x v="808"/>
    <x v="802"/>
    <x v="810"/>
    <x v="2"/>
  </r>
  <r>
    <x v="811"/>
    <x v="26"/>
    <x v="6"/>
    <x v="8"/>
    <x v="433"/>
    <n v="154"/>
    <x v="0"/>
    <n v="158"/>
    <n v="141"/>
    <x v="809"/>
    <x v="803"/>
    <x v="811"/>
    <x v="10"/>
  </r>
  <r>
    <x v="812"/>
    <x v="12"/>
    <x v="2"/>
    <x v="2"/>
    <x v="481"/>
    <n v="214"/>
    <x v="1"/>
    <n v="150"/>
    <n v="65"/>
    <x v="810"/>
    <x v="804"/>
    <x v="812"/>
    <x v="11"/>
  </r>
  <r>
    <x v="813"/>
    <x v="26"/>
    <x v="6"/>
    <x v="8"/>
    <x v="14"/>
    <n v="216"/>
    <x v="1"/>
    <n v="116"/>
    <n v="42"/>
    <x v="811"/>
    <x v="805"/>
    <x v="813"/>
    <x v="9"/>
  </r>
  <r>
    <x v="814"/>
    <x v="34"/>
    <x v="5"/>
    <x v="4"/>
    <x v="316"/>
    <n v="235"/>
    <x v="3"/>
    <n v="138"/>
    <n v="121"/>
    <x v="812"/>
    <x v="806"/>
    <x v="814"/>
    <x v="8"/>
  </r>
  <r>
    <x v="815"/>
    <x v="84"/>
    <x v="6"/>
    <x v="0"/>
    <x v="335"/>
    <n v="96"/>
    <x v="2"/>
    <n v="188"/>
    <n v="77"/>
    <x v="813"/>
    <x v="807"/>
    <x v="815"/>
    <x v="3"/>
  </r>
  <r>
    <x v="816"/>
    <x v="46"/>
    <x v="1"/>
    <x v="3"/>
    <x v="212"/>
    <n v="61"/>
    <x v="0"/>
    <n v="175"/>
    <n v="108"/>
    <x v="814"/>
    <x v="808"/>
    <x v="816"/>
    <x v="8"/>
  </r>
  <r>
    <x v="817"/>
    <x v="64"/>
    <x v="4"/>
    <x v="4"/>
    <x v="49"/>
    <n v="106"/>
    <x v="4"/>
    <n v="108"/>
    <n v="64"/>
    <x v="815"/>
    <x v="809"/>
    <x v="817"/>
    <x v="4"/>
  </r>
  <r>
    <x v="818"/>
    <x v="21"/>
    <x v="5"/>
    <x v="8"/>
    <x v="482"/>
    <n v="156"/>
    <x v="3"/>
    <n v="79"/>
    <n v="52"/>
    <x v="816"/>
    <x v="810"/>
    <x v="818"/>
    <x v="5"/>
  </r>
  <r>
    <x v="819"/>
    <x v="63"/>
    <x v="8"/>
    <x v="9"/>
    <x v="6"/>
    <n v="213"/>
    <x v="1"/>
    <n v="115"/>
    <n v="45"/>
    <x v="817"/>
    <x v="811"/>
    <x v="819"/>
    <x v="0"/>
  </r>
  <r>
    <x v="820"/>
    <x v="39"/>
    <x v="0"/>
    <x v="1"/>
    <x v="469"/>
    <n v="121"/>
    <x v="4"/>
    <n v="174"/>
    <n v="133"/>
    <x v="818"/>
    <x v="812"/>
    <x v="820"/>
    <x v="7"/>
  </r>
  <r>
    <x v="821"/>
    <x v="16"/>
    <x v="9"/>
    <x v="7"/>
    <x v="483"/>
    <n v="233"/>
    <x v="1"/>
    <n v="100"/>
    <n v="73"/>
    <x v="819"/>
    <x v="813"/>
    <x v="821"/>
    <x v="2"/>
  </r>
  <r>
    <x v="822"/>
    <x v="8"/>
    <x v="0"/>
    <x v="2"/>
    <x v="484"/>
    <n v="76"/>
    <x v="2"/>
    <n v="154"/>
    <n v="146"/>
    <x v="820"/>
    <x v="814"/>
    <x v="822"/>
    <x v="7"/>
  </r>
  <r>
    <x v="823"/>
    <x v="65"/>
    <x v="9"/>
    <x v="5"/>
    <x v="222"/>
    <n v="89"/>
    <x v="0"/>
    <n v="140"/>
    <n v="96"/>
    <x v="821"/>
    <x v="815"/>
    <x v="823"/>
    <x v="9"/>
  </r>
  <r>
    <x v="824"/>
    <x v="71"/>
    <x v="8"/>
    <x v="8"/>
    <x v="7"/>
    <n v="140"/>
    <x v="4"/>
    <n v="151"/>
    <n v="109"/>
    <x v="822"/>
    <x v="816"/>
    <x v="824"/>
    <x v="5"/>
  </r>
  <r>
    <x v="825"/>
    <x v="28"/>
    <x v="4"/>
    <x v="5"/>
    <x v="485"/>
    <n v="166"/>
    <x v="2"/>
    <n v="148"/>
    <n v="42"/>
    <x v="823"/>
    <x v="817"/>
    <x v="825"/>
    <x v="1"/>
  </r>
  <r>
    <x v="826"/>
    <x v="76"/>
    <x v="9"/>
    <x v="9"/>
    <x v="89"/>
    <n v="143"/>
    <x v="2"/>
    <n v="162"/>
    <n v="155"/>
    <x v="824"/>
    <x v="818"/>
    <x v="826"/>
    <x v="5"/>
  </r>
  <r>
    <x v="827"/>
    <x v="78"/>
    <x v="5"/>
    <x v="1"/>
    <x v="393"/>
    <n v="145"/>
    <x v="2"/>
    <n v="147"/>
    <n v="51"/>
    <x v="825"/>
    <x v="819"/>
    <x v="827"/>
    <x v="1"/>
  </r>
  <r>
    <x v="828"/>
    <x v="49"/>
    <x v="7"/>
    <x v="8"/>
    <x v="145"/>
    <n v="126"/>
    <x v="3"/>
    <n v="78"/>
    <n v="57"/>
    <x v="826"/>
    <x v="820"/>
    <x v="828"/>
    <x v="0"/>
  </r>
  <r>
    <x v="829"/>
    <x v="37"/>
    <x v="1"/>
    <x v="9"/>
    <x v="25"/>
    <n v="70"/>
    <x v="0"/>
    <n v="136"/>
    <n v="104"/>
    <x v="827"/>
    <x v="821"/>
    <x v="829"/>
    <x v="11"/>
  </r>
  <r>
    <x v="830"/>
    <x v="26"/>
    <x v="6"/>
    <x v="8"/>
    <x v="411"/>
    <n v="161"/>
    <x v="4"/>
    <n v="83"/>
    <n v="81"/>
    <x v="828"/>
    <x v="822"/>
    <x v="830"/>
    <x v="6"/>
  </r>
  <r>
    <x v="831"/>
    <x v="24"/>
    <x v="7"/>
    <x v="0"/>
    <x v="77"/>
    <n v="96"/>
    <x v="2"/>
    <n v="150"/>
    <n v="113"/>
    <x v="829"/>
    <x v="823"/>
    <x v="831"/>
    <x v="4"/>
  </r>
  <r>
    <x v="832"/>
    <x v="20"/>
    <x v="9"/>
    <x v="6"/>
    <x v="486"/>
    <n v="211"/>
    <x v="0"/>
    <n v="175"/>
    <n v="121"/>
    <x v="830"/>
    <x v="824"/>
    <x v="832"/>
    <x v="1"/>
  </r>
  <r>
    <x v="833"/>
    <x v="28"/>
    <x v="4"/>
    <x v="5"/>
    <x v="487"/>
    <n v="196"/>
    <x v="2"/>
    <n v="142"/>
    <n v="65"/>
    <x v="831"/>
    <x v="825"/>
    <x v="833"/>
    <x v="6"/>
  </r>
  <r>
    <x v="834"/>
    <x v="32"/>
    <x v="7"/>
    <x v="3"/>
    <x v="488"/>
    <n v="191"/>
    <x v="0"/>
    <n v="75"/>
    <n v="41"/>
    <x v="832"/>
    <x v="826"/>
    <x v="834"/>
    <x v="1"/>
  </r>
  <r>
    <x v="835"/>
    <x v="16"/>
    <x v="9"/>
    <x v="7"/>
    <x v="454"/>
    <n v="95"/>
    <x v="2"/>
    <n v="113"/>
    <n v="46"/>
    <x v="833"/>
    <x v="827"/>
    <x v="835"/>
    <x v="9"/>
  </r>
  <r>
    <x v="836"/>
    <x v="51"/>
    <x v="6"/>
    <x v="2"/>
    <x v="489"/>
    <n v="67"/>
    <x v="2"/>
    <n v="113"/>
    <n v="112"/>
    <x v="834"/>
    <x v="828"/>
    <x v="836"/>
    <x v="3"/>
  </r>
  <r>
    <x v="837"/>
    <x v="56"/>
    <x v="1"/>
    <x v="8"/>
    <x v="249"/>
    <n v="171"/>
    <x v="4"/>
    <n v="127"/>
    <n v="66"/>
    <x v="835"/>
    <x v="829"/>
    <x v="837"/>
    <x v="8"/>
  </r>
  <r>
    <x v="838"/>
    <x v="78"/>
    <x v="5"/>
    <x v="1"/>
    <x v="490"/>
    <n v="155"/>
    <x v="0"/>
    <n v="125"/>
    <n v="76"/>
    <x v="836"/>
    <x v="830"/>
    <x v="838"/>
    <x v="10"/>
  </r>
  <r>
    <x v="839"/>
    <x v="13"/>
    <x v="1"/>
    <x v="5"/>
    <x v="464"/>
    <n v="119"/>
    <x v="2"/>
    <n v="130"/>
    <n v="119"/>
    <x v="837"/>
    <x v="831"/>
    <x v="839"/>
    <x v="1"/>
  </r>
  <r>
    <x v="840"/>
    <x v="89"/>
    <x v="6"/>
    <x v="3"/>
    <x v="17"/>
    <n v="47"/>
    <x v="3"/>
    <n v="104"/>
    <n v="81"/>
    <x v="838"/>
    <x v="832"/>
    <x v="840"/>
    <x v="11"/>
  </r>
  <r>
    <x v="841"/>
    <x v="46"/>
    <x v="1"/>
    <x v="3"/>
    <x v="248"/>
    <n v="110"/>
    <x v="4"/>
    <n v="94"/>
    <n v="75"/>
    <x v="839"/>
    <x v="833"/>
    <x v="841"/>
    <x v="7"/>
  </r>
  <r>
    <x v="842"/>
    <x v="74"/>
    <x v="9"/>
    <x v="8"/>
    <x v="40"/>
    <n v="200"/>
    <x v="1"/>
    <n v="81"/>
    <n v="40"/>
    <x v="840"/>
    <x v="834"/>
    <x v="842"/>
    <x v="6"/>
  </r>
  <r>
    <x v="843"/>
    <x v="30"/>
    <x v="1"/>
    <x v="2"/>
    <x v="194"/>
    <n v="216"/>
    <x v="2"/>
    <n v="103"/>
    <n v="45"/>
    <x v="841"/>
    <x v="835"/>
    <x v="843"/>
    <x v="4"/>
  </r>
  <r>
    <x v="844"/>
    <x v="53"/>
    <x v="2"/>
    <x v="3"/>
    <x v="167"/>
    <n v="164"/>
    <x v="0"/>
    <n v="92"/>
    <n v="60"/>
    <x v="842"/>
    <x v="836"/>
    <x v="844"/>
    <x v="6"/>
  </r>
  <r>
    <x v="845"/>
    <x v="83"/>
    <x v="4"/>
    <x v="7"/>
    <x v="491"/>
    <n v="56"/>
    <x v="0"/>
    <n v="197"/>
    <n v="111"/>
    <x v="843"/>
    <x v="837"/>
    <x v="845"/>
    <x v="8"/>
  </r>
  <r>
    <x v="846"/>
    <x v="70"/>
    <x v="4"/>
    <x v="9"/>
    <x v="368"/>
    <n v="125"/>
    <x v="3"/>
    <n v="112"/>
    <n v="80"/>
    <x v="844"/>
    <x v="838"/>
    <x v="846"/>
    <x v="3"/>
  </r>
  <r>
    <x v="847"/>
    <x v="47"/>
    <x v="5"/>
    <x v="0"/>
    <x v="492"/>
    <n v="83"/>
    <x v="4"/>
    <n v="128"/>
    <n v="63"/>
    <x v="845"/>
    <x v="839"/>
    <x v="847"/>
    <x v="5"/>
  </r>
  <r>
    <x v="848"/>
    <x v="49"/>
    <x v="7"/>
    <x v="8"/>
    <x v="493"/>
    <n v="74"/>
    <x v="3"/>
    <n v="80"/>
    <n v="68"/>
    <x v="846"/>
    <x v="840"/>
    <x v="848"/>
    <x v="11"/>
  </r>
  <r>
    <x v="849"/>
    <x v="21"/>
    <x v="5"/>
    <x v="8"/>
    <x v="198"/>
    <n v="229"/>
    <x v="0"/>
    <n v="101"/>
    <n v="62"/>
    <x v="847"/>
    <x v="841"/>
    <x v="849"/>
    <x v="9"/>
  </r>
  <r>
    <x v="850"/>
    <x v="11"/>
    <x v="7"/>
    <x v="4"/>
    <x v="30"/>
    <n v="114"/>
    <x v="1"/>
    <n v="219"/>
    <n v="94"/>
    <x v="848"/>
    <x v="842"/>
    <x v="850"/>
    <x v="3"/>
  </r>
  <r>
    <x v="851"/>
    <x v="32"/>
    <x v="7"/>
    <x v="3"/>
    <x v="226"/>
    <n v="108"/>
    <x v="3"/>
    <n v="94"/>
    <n v="61"/>
    <x v="849"/>
    <x v="843"/>
    <x v="851"/>
    <x v="11"/>
  </r>
  <r>
    <x v="852"/>
    <x v="37"/>
    <x v="1"/>
    <x v="9"/>
    <x v="463"/>
    <n v="72"/>
    <x v="2"/>
    <n v="109"/>
    <n v="43"/>
    <x v="850"/>
    <x v="844"/>
    <x v="852"/>
    <x v="2"/>
  </r>
  <r>
    <x v="853"/>
    <x v="21"/>
    <x v="5"/>
    <x v="8"/>
    <x v="494"/>
    <n v="113"/>
    <x v="1"/>
    <n v="71"/>
    <n v="61"/>
    <x v="851"/>
    <x v="845"/>
    <x v="853"/>
    <x v="0"/>
  </r>
  <r>
    <x v="854"/>
    <x v="61"/>
    <x v="5"/>
    <x v="9"/>
    <x v="264"/>
    <n v="78"/>
    <x v="0"/>
    <n v="82"/>
    <n v="81"/>
    <x v="852"/>
    <x v="846"/>
    <x v="854"/>
    <x v="2"/>
  </r>
  <r>
    <x v="855"/>
    <x v="59"/>
    <x v="0"/>
    <x v="6"/>
    <x v="469"/>
    <n v="142"/>
    <x v="4"/>
    <n v="172"/>
    <n v="105"/>
    <x v="853"/>
    <x v="847"/>
    <x v="855"/>
    <x v="7"/>
  </r>
  <r>
    <x v="856"/>
    <x v="0"/>
    <x v="0"/>
    <x v="0"/>
    <x v="495"/>
    <n v="86"/>
    <x v="3"/>
    <n v="173"/>
    <n v="112"/>
    <x v="854"/>
    <x v="848"/>
    <x v="856"/>
    <x v="2"/>
  </r>
  <r>
    <x v="857"/>
    <x v="78"/>
    <x v="5"/>
    <x v="1"/>
    <x v="165"/>
    <n v="220"/>
    <x v="1"/>
    <n v="103"/>
    <n v="85"/>
    <x v="855"/>
    <x v="849"/>
    <x v="857"/>
    <x v="8"/>
  </r>
  <r>
    <x v="858"/>
    <x v="74"/>
    <x v="9"/>
    <x v="8"/>
    <x v="350"/>
    <n v="144"/>
    <x v="3"/>
    <n v="138"/>
    <n v="112"/>
    <x v="856"/>
    <x v="850"/>
    <x v="858"/>
    <x v="9"/>
  </r>
  <r>
    <x v="859"/>
    <x v="68"/>
    <x v="3"/>
    <x v="5"/>
    <x v="322"/>
    <n v="206"/>
    <x v="3"/>
    <n v="93"/>
    <n v="42"/>
    <x v="857"/>
    <x v="851"/>
    <x v="859"/>
    <x v="11"/>
  </r>
  <r>
    <x v="860"/>
    <x v="65"/>
    <x v="9"/>
    <x v="5"/>
    <x v="95"/>
    <n v="179"/>
    <x v="1"/>
    <n v="91"/>
    <n v="58"/>
    <x v="858"/>
    <x v="852"/>
    <x v="860"/>
    <x v="10"/>
  </r>
  <r>
    <x v="861"/>
    <x v="22"/>
    <x v="5"/>
    <x v="2"/>
    <x v="489"/>
    <n v="77"/>
    <x v="2"/>
    <n v="133"/>
    <n v="106"/>
    <x v="859"/>
    <x v="91"/>
    <x v="861"/>
    <x v="3"/>
  </r>
  <r>
    <x v="862"/>
    <x v="23"/>
    <x v="8"/>
    <x v="6"/>
    <x v="226"/>
    <n v="56"/>
    <x v="1"/>
    <n v="97"/>
    <n v="72"/>
    <x v="860"/>
    <x v="853"/>
    <x v="862"/>
    <x v="11"/>
  </r>
  <r>
    <x v="863"/>
    <x v="22"/>
    <x v="5"/>
    <x v="2"/>
    <x v="289"/>
    <n v="110"/>
    <x v="1"/>
    <n v="90"/>
    <n v="89"/>
    <x v="861"/>
    <x v="854"/>
    <x v="863"/>
    <x v="6"/>
  </r>
  <r>
    <x v="864"/>
    <x v="9"/>
    <x v="5"/>
    <x v="5"/>
    <x v="394"/>
    <n v="145"/>
    <x v="4"/>
    <n v="91"/>
    <n v="66"/>
    <x v="862"/>
    <x v="855"/>
    <x v="864"/>
    <x v="5"/>
  </r>
  <r>
    <x v="865"/>
    <x v="21"/>
    <x v="5"/>
    <x v="8"/>
    <x v="47"/>
    <n v="112"/>
    <x v="2"/>
    <n v="117"/>
    <n v="67"/>
    <x v="863"/>
    <x v="856"/>
    <x v="865"/>
    <x v="0"/>
  </r>
  <r>
    <x v="866"/>
    <x v="83"/>
    <x v="4"/>
    <x v="7"/>
    <x v="322"/>
    <n v="181"/>
    <x v="4"/>
    <n v="71"/>
    <n v="65"/>
    <x v="864"/>
    <x v="857"/>
    <x v="866"/>
    <x v="11"/>
  </r>
  <r>
    <x v="867"/>
    <x v="21"/>
    <x v="5"/>
    <x v="8"/>
    <x v="496"/>
    <n v="148"/>
    <x v="1"/>
    <n v="194"/>
    <n v="117"/>
    <x v="865"/>
    <x v="858"/>
    <x v="867"/>
    <x v="6"/>
  </r>
  <r>
    <x v="868"/>
    <x v="83"/>
    <x v="4"/>
    <x v="7"/>
    <x v="497"/>
    <n v="79"/>
    <x v="4"/>
    <n v="118"/>
    <n v="54"/>
    <x v="866"/>
    <x v="859"/>
    <x v="868"/>
    <x v="10"/>
  </r>
  <r>
    <x v="869"/>
    <x v="19"/>
    <x v="8"/>
    <x v="2"/>
    <x v="498"/>
    <n v="211"/>
    <x v="0"/>
    <n v="131"/>
    <n v="95"/>
    <x v="867"/>
    <x v="860"/>
    <x v="869"/>
    <x v="10"/>
  </r>
  <r>
    <x v="870"/>
    <x v="27"/>
    <x v="4"/>
    <x v="8"/>
    <x v="460"/>
    <n v="166"/>
    <x v="3"/>
    <n v="75"/>
    <n v="47"/>
    <x v="868"/>
    <x v="861"/>
    <x v="870"/>
    <x v="3"/>
  </r>
  <r>
    <x v="871"/>
    <x v="21"/>
    <x v="5"/>
    <x v="8"/>
    <x v="499"/>
    <n v="160"/>
    <x v="1"/>
    <n v="132"/>
    <n v="65"/>
    <x v="869"/>
    <x v="862"/>
    <x v="871"/>
    <x v="1"/>
  </r>
  <r>
    <x v="872"/>
    <x v="15"/>
    <x v="8"/>
    <x v="1"/>
    <x v="393"/>
    <n v="71"/>
    <x v="3"/>
    <n v="176"/>
    <n v="166"/>
    <x v="870"/>
    <x v="863"/>
    <x v="872"/>
    <x v="1"/>
  </r>
  <r>
    <x v="873"/>
    <x v="38"/>
    <x v="4"/>
    <x v="0"/>
    <x v="500"/>
    <n v="147"/>
    <x v="3"/>
    <n v="201"/>
    <n v="191"/>
    <x v="871"/>
    <x v="864"/>
    <x v="873"/>
    <x v="10"/>
  </r>
  <r>
    <x v="874"/>
    <x v="57"/>
    <x v="2"/>
    <x v="0"/>
    <x v="25"/>
    <n v="192"/>
    <x v="2"/>
    <n v="211"/>
    <n v="56"/>
    <x v="872"/>
    <x v="865"/>
    <x v="874"/>
    <x v="11"/>
  </r>
  <r>
    <x v="875"/>
    <x v="62"/>
    <x v="5"/>
    <x v="7"/>
    <x v="501"/>
    <n v="204"/>
    <x v="2"/>
    <n v="184"/>
    <n v="151"/>
    <x v="873"/>
    <x v="866"/>
    <x v="875"/>
    <x v="10"/>
  </r>
  <r>
    <x v="876"/>
    <x v="74"/>
    <x v="9"/>
    <x v="8"/>
    <x v="388"/>
    <n v="157"/>
    <x v="0"/>
    <n v="199"/>
    <n v="96"/>
    <x v="874"/>
    <x v="867"/>
    <x v="876"/>
    <x v="6"/>
  </r>
  <r>
    <x v="877"/>
    <x v="9"/>
    <x v="5"/>
    <x v="5"/>
    <x v="502"/>
    <n v="230"/>
    <x v="3"/>
    <n v="176"/>
    <n v="132"/>
    <x v="875"/>
    <x v="868"/>
    <x v="877"/>
    <x v="0"/>
  </r>
  <r>
    <x v="878"/>
    <x v="76"/>
    <x v="9"/>
    <x v="9"/>
    <x v="343"/>
    <n v="236"/>
    <x v="4"/>
    <n v="193"/>
    <n v="73"/>
    <x v="876"/>
    <x v="869"/>
    <x v="878"/>
    <x v="6"/>
  </r>
  <r>
    <x v="879"/>
    <x v="89"/>
    <x v="6"/>
    <x v="3"/>
    <x v="503"/>
    <n v="151"/>
    <x v="3"/>
    <n v="147"/>
    <n v="70"/>
    <x v="877"/>
    <x v="870"/>
    <x v="879"/>
    <x v="9"/>
  </r>
  <r>
    <x v="880"/>
    <x v="15"/>
    <x v="8"/>
    <x v="1"/>
    <x v="315"/>
    <n v="136"/>
    <x v="0"/>
    <n v="114"/>
    <n v="104"/>
    <x v="878"/>
    <x v="871"/>
    <x v="880"/>
    <x v="7"/>
  </r>
  <r>
    <x v="881"/>
    <x v="25"/>
    <x v="1"/>
    <x v="7"/>
    <x v="98"/>
    <n v="103"/>
    <x v="4"/>
    <n v="213"/>
    <n v="97"/>
    <x v="879"/>
    <x v="872"/>
    <x v="881"/>
    <x v="7"/>
  </r>
  <r>
    <x v="882"/>
    <x v="36"/>
    <x v="3"/>
    <x v="0"/>
    <x v="504"/>
    <n v="113"/>
    <x v="0"/>
    <n v="201"/>
    <n v="194"/>
    <x v="880"/>
    <x v="873"/>
    <x v="882"/>
    <x v="5"/>
  </r>
  <r>
    <x v="883"/>
    <x v="21"/>
    <x v="5"/>
    <x v="8"/>
    <x v="505"/>
    <n v="72"/>
    <x v="1"/>
    <n v="96"/>
    <n v="92"/>
    <x v="881"/>
    <x v="874"/>
    <x v="883"/>
    <x v="9"/>
  </r>
  <r>
    <x v="884"/>
    <x v="6"/>
    <x v="0"/>
    <x v="4"/>
    <x v="506"/>
    <n v="75"/>
    <x v="0"/>
    <n v="162"/>
    <n v="60"/>
    <x v="882"/>
    <x v="875"/>
    <x v="884"/>
    <x v="0"/>
  </r>
  <r>
    <x v="885"/>
    <x v="62"/>
    <x v="5"/>
    <x v="7"/>
    <x v="348"/>
    <n v="210"/>
    <x v="2"/>
    <n v="155"/>
    <n v="144"/>
    <x v="883"/>
    <x v="876"/>
    <x v="885"/>
    <x v="3"/>
  </r>
  <r>
    <x v="886"/>
    <x v="78"/>
    <x v="5"/>
    <x v="1"/>
    <x v="274"/>
    <n v="107"/>
    <x v="3"/>
    <n v="157"/>
    <n v="76"/>
    <x v="884"/>
    <x v="877"/>
    <x v="886"/>
    <x v="1"/>
  </r>
  <r>
    <x v="887"/>
    <x v="4"/>
    <x v="4"/>
    <x v="1"/>
    <x v="58"/>
    <n v="137"/>
    <x v="0"/>
    <n v="108"/>
    <n v="107"/>
    <x v="885"/>
    <x v="878"/>
    <x v="887"/>
    <x v="11"/>
  </r>
  <r>
    <x v="888"/>
    <x v="46"/>
    <x v="1"/>
    <x v="3"/>
    <x v="507"/>
    <n v="162"/>
    <x v="1"/>
    <n v="162"/>
    <n v="160"/>
    <x v="886"/>
    <x v="879"/>
    <x v="888"/>
    <x v="4"/>
  </r>
  <r>
    <x v="889"/>
    <x v="23"/>
    <x v="8"/>
    <x v="6"/>
    <x v="445"/>
    <n v="66"/>
    <x v="2"/>
    <n v="150"/>
    <n v="91"/>
    <x v="887"/>
    <x v="880"/>
    <x v="889"/>
    <x v="11"/>
  </r>
  <r>
    <x v="890"/>
    <x v="1"/>
    <x v="1"/>
    <x v="0"/>
    <x v="316"/>
    <n v="209"/>
    <x v="0"/>
    <n v="217"/>
    <n v="54"/>
    <x v="888"/>
    <x v="881"/>
    <x v="890"/>
    <x v="8"/>
  </r>
  <r>
    <x v="891"/>
    <x v="31"/>
    <x v="1"/>
    <x v="6"/>
    <x v="508"/>
    <n v="229"/>
    <x v="2"/>
    <n v="158"/>
    <n v="41"/>
    <x v="889"/>
    <x v="882"/>
    <x v="891"/>
    <x v="8"/>
  </r>
  <r>
    <x v="892"/>
    <x v="32"/>
    <x v="7"/>
    <x v="3"/>
    <x v="350"/>
    <n v="209"/>
    <x v="0"/>
    <n v="209"/>
    <n v="199"/>
    <x v="890"/>
    <x v="883"/>
    <x v="892"/>
    <x v="9"/>
  </r>
  <r>
    <x v="893"/>
    <x v="88"/>
    <x v="1"/>
    <x v="4"/>
    <x v="509"/>
    <n v="66"/>
    <x v="4"/>
    <n v="207"/>
    <n v="125"/>
    <x v="891"/>
    <x v="884"/>
    <x v="893"/>
    <x v="8"/>
  </r>
  <r>
    <x v="894"/>
    <x v="12"/>
    <x v="2"/>
    <x v="2"/>
    <x v="27"/>
    <n v="68"/>
    <x v="1"/>
    <n v="211"/>
    <n v="119"/>
    <x v="892"/>
    <x v="885"/>
    <x v="894"/>
    <x v="2"/>
  </r>
  <r>
    <x v="895"/>
    <x v="24"/>
    <x v="7"/>
    <x v="0"/>
    <x v="510"/>
    <n v="183"/>
    <x v="1"/>
    <n v="136"/>
    <n v="70"/>
    <x v="893"/>
    <x v="886"/>
    <x v="895"/>
    <x v="1"/>
  </r>
  <r>
    <x v="896"/>
    <x v="0"/>
    <x v="0"/>
    <x v="0"/>
    <x v="511"/>
    <n v="111"/>
    <x v="1"/>
    <n v="160"/>
    <n v="55"/>
    <x v="894"/>
    <x v="887"/>
    <x v="896"/>
    <x v="1"/>
  </r>
  <r>
    <x v="897"/>
    <x v="22"/>
    <x v="5"/>
    <x v="2"/>
    <x v="204"/>
    <n v="233"/>
    <x v="4"/>
    <n v="186"/>
    <n v="126"/>
    <x v="895"/>
    <x v="888"/>
    <x v="897"/>
    <x v="2"/>
  </r>
  <r>
    <x v="898"/>
    <x v="7"/>
    <x v="2"/>
    <x v="4"/>
    <x v="126"/>
    <n v="121"/>
    <x v="2"/>
    <n v="216"/>
    <n v="212"/>
    <x v="896"/>
    <x v="889"/>
    <x v="898"/>
    <x v="6"/>
  </r>
  <r>
    <x v="899"/>
    <x v="16"/>
    <x v="9"/>
    <x v="7"/>
    <x v="109"/>
    <n v="177"/>
    <x v="1"/>
    <n v="119"/>
    <n v="86"/>
    <x v="897"/>
    <x v="890"/>
    <x v="899"/>
    <x v="6"/>
  </r>
  <r>
    <x v="900"/>
    <x v="46"/>
    <x v="1"/>
    <x v="3"/>
    <x v="512"/>
    <n v="68"/>
    <x v="4"/>
    <n v="178"/>
    <n v="73"/>
    <x v="898"/>
    <x v="891"/>
    <x v="900"/>
    <x v="11"/>
  </r>
  <r>
    <x v="901"/>
    <x v="39"/>
    <x v="0"/>
    <x v="1"/>
    <x v="283"/>
    <n v="179"/>
    <x v="3"/>
    <n v="220"/>
    <n v="183"/>
    <x v="899"/>
    <x v="892"/>
    <x v="901"/>
    <x v="8"/>
  </r>
  <r>
    <x v="902"/>
    <x v="89"/>
    <x v="6"/>
    <x v="3"/>
    <x v="513"/>
    <n v="153"/>
    <x v="3"/>
    <n v="195"/>
    <n v="146"/>
    <x v="900"/>
    <x v="893"/>
    <x v="902"/>
    <x v="0"/>
  </r>
  <r>
    <x v="903"/>
    <x v="49"/>
    <x v="7"/>
    <x v="8"/>
    <x v="514"/>
    <n v="162"/>
    <x v="0"/>
    <n v="201"/>
    <n v="175"/>
    <x v="901"/>
    <x v="894"/>
    <x v="903"/>
    <x v="6"/>
  </r>
  <r>
    <x v="904"/>
    <x v="21"/>
    <x v="5"/>
    <x v="8"/>
    <x v="476"/>
    <n v="236"/>
    <x v="0"/>
    <n v="213"/>
    <n v="134"/>
    <x v="902"/>
    <x v="895"/>
    <x v="904"/>
    <x v="4"/>
  </r>
  <r>
    <x v="905"/>
    <x v="52"/>
    <x v="0"/>
    <x v="5"/>
    <x v="302"/>
    <n v="191"/>
    <x v="2"/>
    <n v="80"/>
    <n v="73"/>
    <x v="903"/>
    <x v="896"/>
    <x v="905"/>
    <x v="1"/>
  </r>
  <r>
    <x v="906"/>
    <x v="4"/>
    <x v="4"/>
    <x v="1"/>
    <x v="515"/>
    <n v="120"/>
    <x v="3"/>
    <n v="77"/>
    <n v="49"/>
    <x v="904"/>
    <x v="897"/>
    <x v="906"/>
    <x v="8"/>
  </r>
  <r>
    <x v="907"/>
    <x v="63"/>
    <x v="8"/>
    <x v="9"/>
    <x v="516"/>
    <n v="100"/>
    <x v="0"/>
    <n v="195"/>
    <n v="40"/>
    <x v="905"/>
    <x v="898"/>
    <x v="907"/>
    <x v="0"/>
  </r>
  <r>
    <x v="908"/>
    <x v="0"/>
    <x v="0"/>
    <x v="0"/>
    <x v="416"/>
    <n v="168"/>
    <x v="1"/>
    <n v="149"/>
    <n v="112"/>
    <x v="906"/>
    <x v="899"/>
    <x v="908"/>
    <x v="11"/>
  </r>
  <r>
    <x v="909"/>
    <x v="9"/>
    <x v="5"/>
    <x v="5"/>
    <x v="339"/>
    <n v="174"/>
    <x v="3"/>
    <n v="185"/>
    <n v="154"/>
    <x v="907"/>
    <x v="900"/>
    <x v="909"/>
    <x v="10"/>
  </r>
  <r>
    <x v="910"/>
    <x v="10"/>
    <x v="6"/>
    <x v="1"/>
    <x v="345"/>
    <n v="104"/>
    <x v="3"/>
    <n v="156"/>
    <n v="109"/>
    <x v="908"/>
    <x v="901"/>
    <x v="910"/>
    <x v="4"/>
  </r>
  <r>
    <x v="911"/>
    <x v="83"/>
    <x v="4"/>
    <x v="7"/>
    <x v="18"/>
    <n v="226"/>
    <x v="4"/>
    <n v="216"/>
    <n v="201"/>
    <x v="909"/>
    <x v="902"/>
    <x v="911"/>
    <x v="3"/>
  </r>
  <r>
    <x v="912"/>
    <x v="59"/>
    <x v="0"/>
    <x v="6"/>
    <x v="17"/>
    <n v="94"/>
    <x v="1"/>
    <n v="208"/>
    <n v="187"/>
    <x v="910"/>
    <x v="903"/>
    <x v="912"/>
    <x v="11"/>
  </r>
  <r>
    <x v="913"/>
    <x v="74"/>
    <x v="9"/>
    <x v="8"/>
    <x v="517"/>
    <n v="49"/>
    <x v="4"/>
    <n v="206"/>
    <n v="86"/>
    <x v="911"/>
    <x v="904"/>
    <x v="913"/>
    <x v="10"/>
  </r>
  <r>
    <x v="914"/>
    <x v="74"/>
    <x v="9"/>
    <x v="8"/>
    <x v="277"/>
    <n v="181"/>
    <x v="1"/>
    <n v="152"/>
    <n v="91"/>
    <x v="912"/>
    <x v="905"/>
    <x v="914"/>
    <x v="11"/>
  </r>
  <r>
    <x v="915"/>
    <x v="40"/>
    <x v="3"/>
    <x v="3"/>
    <x v="518"/>
    <n v="151"/>
    <x v="4"/>
    <n v="205"/>
    <n v="121"/>
    <x v="913"/>
    <x v="906"/>
    <x v="915"/>
    <x v="5"/>
  </r>
  <r>
    <x v="916"/>
    <x v="52"/>
    <x v="0"/>
    <x v="5"/>
    <x v="519"/>
    <n v="88"/>
    <x v="2"/>
    <n v="106"/>
    <n v="63"/>
    <x v="914"/>
    <x v="907"/>
    <x v="916"/>
    <x v="5"/>
  </r>
  <r>
    <x v="917"/>
    <x v="18"/>
    <x v="4"/>
    <x v="3"/>
    <x v="153"/>
    <n v="88"/>
    <x v="4"/>
    <n v="153"/>
    <n v="63"/>
    <x v="915"/>
    <x v="908"/>
    <x v="917"/>
    <x v="8"/>
  </r>
  <r>
    <x v="918"/>
    <x v="25"/>
    <x v="1"/>
    <x v="7"/>
    <x v="57"/>
    <n v="81"/>
    <x v="3"/>
    <n v="152"/>
    <n v="73"/>
    <x v="916"/>
    <x v="909"/>
    <x v="918"/>
    <x v="8"/>
  </r>
  <r>
    <x v="919"/>
    <x v="44"/>
    <x v="9"/>
    <x v="2"/>
    <x v="248"/>
    <n v="195"/>
    <x v="0"/>
    <n v="196"/>
    <n v="170"/>
    <x v="917"/>
    <x v="910"/>
    <x v="919"/>
    <x v="7"/>
  </r>
  <r>
    <x v="920"/>
    <x v="38"/>
    <x v="4"/>
    <x v="0"/>
    <x v="418"/>
    <n v="163"/>
    <x v="1"/>
    <n v="174"/>
    <n v="56"/>
    <x v="918"/>
    <x v="911"/>
    <x v="920"/>
    <x v="8"/>
  </r>
  <r>
    <x v="921"/>
    <x v="82"/>
    <x v="9"/>
    <x v="0"/>
    <x v="231"/>
    <n v="186"/>
    <x v="1"/>
    <n v="95"/>
    <n v="55"/>
    <x v="919"/>
    <x v="912"/>
    <x v="921"/>
    <x v="0"/>
  </r>
  <r>
    <x v="922"/>
    <x v="18"/>
    <x v="4"/>
    <x v="3"/>
    <x v="350"/>
    <n v="66"/>
    <x v="1"/>
    <n v="122"/>
    <n v="58"/>
    <x v="920"/>
    <x v="913"/>
    <x v="922"/>
    <x v="9"/>
  </r>
  <r>
    <x v="923"/>
    <x v="20"/>
    <x v="9"/>
    <x v="6"/>
    <x v="28"/>
    <n v="187"/>
    <x v="3"/>
    <n v="80"/>
    <n v="40"/>
    <x v="921"/>
    <x v="914"/>
    <x v="923"/>
    <x v="11"/>
  </r>
  <r>
    <x v="924"/>
    <x v="24"/>
    <x v="7"/>
    <x v="0"/>
    <x v="520"/>
    <n v="168"/>
    <x v="2"/>
    <n v="134"/>
    <n v="127"/>
    <x v="922"/>
    <x v="915"/>
    <x v="924"/>
    <x v="11"/>
  </r>
  <r>
    <x v="925"/>
    <x v="20"/>
    <x v="9"/>
    <x v="6"/>
    <x v="185"/>
    <n v="56"/>
    <x v="0"/>
    <n v="206"/>
    <n v="184"/>
    <x v="923"/>
    <x v="916"/>
    <x v="925"/>
    <x v="0"/>
  </r>
  <r>
    <x v="926"/>
    <x v="25"/>
    <x v="1"/>
    <x v="7"/>
    <x v="110"/>
    <n v="230"/>
    <x v="1"/>
    <n v="141"/>
    <n v="95"/>
    <x v="924"/>
    <x v="917"/>
    <x v="926"/>
    <x v="10"/>
  </r>
  <r>
    <x v="927"/>
    <x v="60"/>
    <x v="3"/>
    <x v="1"/>
    <x v="480"/>
    <n v="111"/>
    <x v="3"/>
    <n v="139"/>
    <n v="71"/>
    <x v="925"/>
    <x v="714"/>
    <x v="927"/>
    <x v="0"/>
  </r>
  <r>
    <x v="928"/>
    <x v="61"/>
    <x v="5"/>
    <x v="9"/>
    <x v="159"/>
    <n v="222"/>
    <x v="0"/>
    <n v="70"/>
    <n v="59"/>
    <x v="926"/>
    <x v="918"/>
    <x v="928"/>
    <x v="1"/>
  </r>
  <r>
    <x v="929"/>
    <x v="32"/>
    <x v="7"/>
    <x v="3"/>
    <x v="347"/>
    <n v="223"/>
    <x v="3"/>
    <n v="170"/>
    <n v="60"/>
    <x v="927"/>
    <x v="919"/>
    <x v="929"/>
    <x v="5"/>
  </r>
  <r>
    <x v="930"/>
    <x v="62"/>
    <x v="5"/>
    <x v="7"/>
    <x v="521"/>
    <n v="141"/>
    <x v="1"/>
    <n v="161"/>
    <n v="89"/>
    <x v="928"/>
    <x v="920"/>
    <x v="930"/>
    <x v="6"/>
  </r>
  <r>
    <x v="931"/>
    <x v="55"/>
    <x v="0"/>
    <x v="8"/>
    <x v="213"/>
    <n v="94"/>
    <x v="3"/>
    <n v="72"/>
    <n v="54"/>
    <x v="929"/>
    <x v="921"/>
    <x v="931"/>
    <x v="1"/>
  </r>
  <r>
    <x v="932"/>
    <x v="16"/>
    <x v="9"/>
    <x v="7"/>
    <x v="363"/>
    <n v="205"/>
    <x v="2"/>
    <n v="126"/>
    <n v="69"/>
    <x v="930"/>
    <x v="922"/>
    <x v="932"/>
    <x v="7"/>
  </r>
  <r>
    <x v="933"/>
    <x v="27"/>
    <x v="4"/>
    <x v="8"/>
    <x v="133"/>
    <n v="225"/>
    <x v="1"/>
    <n v="123"/>
    <n v="40"/>
    <x v="931"/>
    <x v="923"/>
    <x v="933"/>
    <x v="6"/>
  </r>
  <r>
    <x v="934"/>
    <x v="43"/>
    <x v="0"/>
    <x v="9"/>
    <x v="264"/>
    <n v="173"/>
    <x v="3"/>
    <n v="113"/>
    <n v="110"/>
    <x v="932"/>
    <x v="924"/>
    <x v="934"/>
    <x v="2"/>
  </r>
  <r>
    <x v="935"/>
    <x v="80"/>
    <x v="6"/>
    <x v="5"/>
    <x v="522"/>
    <n v="195"/>
    <x v="0"/>
    <n v="86"/>
    <n v="48"/>
    <x v="933"/>
    <x v="925"/>
    <x v="935"/>
    <x v="11"/>
  </r>
  <r>
    <x v="936"/>
    <x v="12"/>
    <x v="2"/>
    <x v="2"/>
    <x v="73"/>
    <n v="218"/>
    <x v="4"/>
    <n v="206"/>
    <n v="197"/>
    <x v="934"/>
    <x v="926"/>
    <x v="936"/>
    <x v="5"/>
  </r>
  <r>
    <x v="937"/>
    <x v="47"/>
    <x v="5"/>
    <x v="0"/>
    <x v="123"/>
    <n v="209"/>
    <x v="4"/>
    <n v="152"/>
    <n v="95"/>
    <x v="935"/>
    <x v="927"/>
    <x v="937"/>
    <x v="11"/>
  </r>
  <r>
    <x v="938"/>
    <x v="53"/>
    <x v="2"/>
    <x v="3"/>
    <x v="95"/>
    <n v="137"/>
    <x v="1"/>
    <n v="81"/>
    <n v="54"/>
    <x v="936"/>
    <x v="928"/>
    <x v="938"/>
    <x v="10"/>
  </r>
  <r>
    <x v="939"/>
    <x v="53"/>
    <x v="2"/>
    <x v="3"/>
    <x v="32"/>
    <n v="46"/>
    <x v="3"/>
    <n v="119"/>
    <n v="82"/>
    <x v="937"/>
    <x v="929"/>
    <x v="939"/>
    <x v="8"/>
  </r>
  <r>
    <x v="940"/>
    <x v="35"/>
    <x v="9"/>
    <x v="3"/>
    <x v="299"/>
    <n v="108"/>
    <x v="0"/>
    <n v="112"/>
    <n v="82"/>
    <x v="938"/>
    <x v="930"/>
    <x v="940"/>
    <x v="11"/>
  </r>
  <r>
    <x v="941"/>
    <x v="0"/>
    <x v="0"/>
    <x v="0"/>
    <x v="455"/>
    <n v="155"/>
    <x v="4"/>
    <n v="155"/>
    <n v="147"/>
    <x v="939"/>
    <x v="931"/>
    <x v="941"/>
    <x v="10"/>
  </r>
  <r>
    <x v="942"/>
    <x v="34"/>
    <x v="5"/>
    <x v="4"/>
    <x v="227"/>
    <n v="58"/>
    <x v="2"/>
    <n v="203"/>
    <n v="100"/>
    <x v="940"/>
    <x v="932"/>
    <x v="942"/>
    <x v="6"/>
  </r>
  <r>
    <x v="943"/>
    <x v="62"/>
    <x v="5"/>
    <x v="7"/>
    <x v="437"/>
    <n v="159"/>
    <x v="1"/>
    <n v="101"/>
    <n v="45"/>
    <x v="941"/>
    <x v="933"/>
    <x v="943"/>
    <x v="0"/>
  </r>
  <r>
    <x v="944"/>
    <x v="86"/>
    <x v="3"/>
    <x v="7"/>
    <x v="39"/>
    <n v="60"/>
    <x v="3"/>
    <n v="84"/>
    <n v="59"/>
    <x v="942"/>
    <x v="934"/>
    <x v="944"/>
    <x v="10"/>
  </r>
  <r>
    <x v="945"/>
    <x v="23"/>
    <x v="8"/>
    <x v="6"/>
    <x v="195"/>
    <n v="120"/>
    <x v="3"/>
    <n v="172"/>
    <n v="64"/>
    <x v="943"/>
    <x v="935"/>
    <x v="945"/>
    <x v="4"/>
  </r>
  <r>
    <x v="946"/>
    <x v="84"/>
    <x v="6"/>
    <x v="0"/>
    <x v="14"/>
    <n v="143"/>
    <x v="3"/>
    <n v="179"/>
    <n v="65"/>
    <x v="944"/>
    <x v="936"/>
    <x v="946"/>
    <x v="9"/>
  </r>
  <r>
    <x v="947"/>
    <x v="17"/>
    <x v="5"/>
    <x v="6"/>
    <x v="43"/>
    <n v="195"/>
    <x v="0"/>
    <n v="97"/>
    <n v="46"/>
    <x v="945"/>
    <x v="937"/>
    <x v="947"/>
    <x v="6"/>
  </r>
  <r>
    <x v="948"/>
    <x v="45"/>
    <x v="6"/>
    <x v="4"/>
    <x v="204"/>
    <n v="77"/>
    <x v="1"/>
    <n v="135"/>
    <n v="85"/>
    <x v="946"/>
    <x v="938"/>
    <x v="948"/>
    <x v="2"/>
  </r>
  <r>
    <x v="949"/>
    <x v="9"/>
    <x v="5"/>
    <x v="5"/>
    <x v="400"/>
    <n v="80"/>
    <x v="4"/>
    <n v="85"/>
    <n v="48"/>
    <x v="947"/>
    <x v="939"/>
    <x v="949"/>
    <x v="7"/>
  </r>
  <r>
    <x v="950"/>
    <x v="85"/>
    <x v="2"/>
    <x v="9"/>
    <x v="272"/>
    <n v="194"/>
    <x v="1"/>
    <n v="107"/>
    <n v="58"/>
    <x v="948"/>
    <x v="940"/>
    <x v="950"/>
    <x v="8"/>
  </r>
  <r>
    <x v="951"/>
    <x v="3"/>
    <x v="3"/>
    <x v="2"/>
    <x v="141"/>
    <n v="47"/>
    <x v="1"/>
    <n v="220"/>
    <n v="208"/>
    <x v="949"/>
    <x v="107"/>
    <x v="951"/>
    <x v="1"/>
  </r>
  <r>
    <x v="952"/>
    <x v="77"/>
    <x v="2"/>
    <x v="6"/>
    <x v="75"/>
    <n v="153"/>
    <x v="2"/>
    <n v="120"/>
    <n v="65"/>
    <x v="950"/>
    <x v="941"/>
    <x v="952"/>
    <x v="4"/>
  </r>
  <r>
    <x v="953"/>
    <x v="74"/>
    <x v="9"/>
    <x v="8"/>
    <x v="523"/>
    <n v="222"/>
    <x v="3"/>
    <n v="154"/>
    <n v="149"/>
    <x v="951"/>
    <x v="942"/>
    <x v="953"/>
    <x v="6"/>
  </r>
  <r>
    <x v="954"/>
    <x v="51"/>
    <x v="6"/>
    <x v="2"/>
    <x v="524"/>
    <n v="129"/>
    <x v="0"/>
    <n v="96"/>
    <n v="69"/>
    <x v="952"/>
    <x v="943"/>
    <x v="954"/>
    <x v="11"/>
  </r>
  <r>
    <x v="955"/>
    <x v="19"/>
    <x v="8"/>
    <x v="2"/>
    <x v="525"/>
    <n v="103"/>
    <x v="3"/>
    <n v="124"/>
    <n v="70"/>
    <x v="953"/>
    <x v="944"/>
    <x v="955"/>
    <x v="6"/>
  </r>
  <r>
    <x v="956"/>
    <x v="35"/>
    <x v="9"/>
    <x v="3"/>
    <x v="526"/>
    <n v="46"/>
    <x v="2"/>
    <n v="72"/>
    <n v="44"/>
    <x v="954"/>
    <x v="945"/>
    <x v="956"/>
    <x v="5"/>
  </r>
  <r>
    <x v="957"/>
    <x v="6"/>
    <x v="0"/>
    <x v="4"/>
    <x v="527"/>
    <n v="157"/>
    <x v="0"/>
    <n v="219"/>
    <n v="132"/>
    <x v="955"/>
    <x v="946"/>
    <x v="957"/>
    <x v="0"/>
  </r>
  <r>
    <x v="958"/>
    <x v="76"/>
    <x v="9"/>
    <x v="9"/>
    <x v="245"/>
    <n v="101"/>
    <x v="2"/>
    <n v="114"/>
    <n v="83"/>
    <x v="956"/>
    <x v="947"/>
    <x v="958"/>
    <x v="3"/>
  </r>
  <r>
    <x v="959"/>
    <x v="82"/>
    <x v="9"/>
    <x v="0"/>
    <x v="451"/>
    <n v="112"/>
    <x v="4"/>
    <n v="75"/>
    <n v="48"/>
    <x v="957"/>
    <x v="948"/>
    <x v="959"/>
    <x v="3"/>
  </r>
  <r>
    <x v="960"/>
    <x v="75"/>
    <x v="3"/>
    <x v="4"/>
    <x v="413"/>
    <n v="161"/>
    <x v="0"/>
    <n v="164"/>
    <n v="143"/>
    <x v="958"/>
    <x v="949"/>
    <x v="960"/>
    <x v="8"/>
  </r>
  <r>
    <x v="961"/>
    <x v="2"/>
    <x v="2"/>
    <x v="1"/>
    <x v="514"/>
    <n v="61"/>
    <x v="4"/>
    <n v="106"/>
    <n v="56"/>
    <x v="67"/>
    <x v="950"/>
    <x v="961"/>
    <x v="6"/>
  </r>
  <r>
    <x v="962"/>
    <x v="37"/>
    <x v="1"/>
    <x v="9"/>
    <x v="418"/>
    <n v="198"/>
    <x v="3"/>
    <n v="132"/>
    <n v="45"/>
    <x v="959"/>
    <x v="951"/>
    <x v="962"/>
    <x v="8"/>
  </r>
  <r>
    <x v="963"/>
    <x v="79"/>
    <x v="7"/>
    <x v="1"/>
    <x v="528"/>
    <n v="58"/>
    <x v="2"/>
    <n v="102"/>
    <n v="94"/>
    <x v="960"/>
    <x v="952"/>
    <x v="963"/>
    <x v="7"/>
  </r>
  <r>
    <x v="964"/>
    <x v="16"/>
    <x v="9"/>
    <x v="7"/>
    <x v="529"/>
    <n v="214"/>
    <x v="1"/>
    <n v="86"/>
    <n v="50"/>
    <x v="961"/>
    <x v="953"/>
    <x v="964"/>
    <x v="9"/>
  </r>
  <r>
    <x v="965"/>
    <x v="85"/>
    <x v="2"/>
    <x v="9"/>
    <x v="530"/>
    <n v="177"/>
    <x v="3"/>
    <n v="115"/>
    <n v="81"/>
    <x v="962"/>
    <x v="954"/>
    <x v="965"/>
    <x v="10"/>
  </r>
  <r>
    <x v="966"/>
    <x v="21"/>
    <x v="5"/>
    <x v="8"/>
    <x v="531"/>
    <n v="193"/>
    <x v="3"/>
    <n v="219"/>
    <n v="206"/>
    <x v="963"/>
    <x v="955"/>
    <x v="966"/>
    <x v="0"/>
  </r>
  <r>
    <x v="967"/>
    <x v="74"/>
    <x v="9"/>
    <x v="8"/>
    <x v="326"/>
    <n v="146"/>
    <x v="0"/>
    <n v="148"/>
    <n v="94"/>
    <x v="964"/>
    <x v="956"/>
    <x v="967"/>
    <x v="2"/>
  </r>
  <r>
    <x v="968"/>
    <x v="3"/>
    <x v="3"/>
    <x v="2"/>
    <x v="532"/>
    <n v="66"/>
    <x v="0"/>
    <n v="91"/>
    <n v="58"/>
    <x v="965"/>
    <x v="957"/>
    <x v="968"/>
    <x v="5"/>
  </r>
  <r>
    <x v="969"/>
    <x v="82"/>
    <x v="9"/>
    <x v="0"/>
    <x v="50"/>
    <n v="176"/>
    <x v="1"/>
    <n v="156"/>
    <n v="94"/>
    <x v="966"/>
    <x v="958"/>
    <x v="969"/>
    <x v="9"/>
  </r>
  <r>
    <x v="970"/>
    <x v="37"/>
    <x v="1"/>
    <x v="9"/>
    <x v="216"/>
    <n v="126"/>
    <x v="2"/>
    <n v="167"/>
    <n v="46"/>
    <x v="967"/>
    <x v="959"/>
    <x v="970"/>
    <x v="10"/>
  </r>
  <r>
    <x v="971"/>
    <x v="83"/>
    <x v="4"/>
    <x v="7"/>
    <x v="533"/>
    <n v="66"/>
    <x v="2"/>
    <n v="198"/>
    <n v="171"/>
    <x v="968"/>
    <x v="960"/>
    <x v="971"/>
    <x v="1"/>
  </r>
  <r>
    <x v="972"/>
    <x v="64"/>
    <x v="4"/>
    <x v="4"/>
    <x v="241"/>
    <n v="75"/>
    <x v="4"/>
    <n v="162"/>
    <n v="44"/>
    <x v="969"/>
    <x v="961"/>
    <x v="972"/>
    <x v="9"/>
  </r>
  <r>
    <x v="973"/>
    <x v="29"/>
    <x v="9"/>
    <x v="1"/>
    <x v="422"/>
    <n v="122"/>
    <x v="2"/>
    <n v="118"/>
    <n v="117"/>
    <x v="970"/>
    <x v="962"/>
    <x v="973"/>
    <x v="7"/>
  </r>
  <r>
    <x v="974"/>
    <x v="63"/>
    <x v="8"/>
    <x v="9"/>
    <x v="185"/>
    <n v="133"/>
    <x v="3"/>
    <n v="173"/>
    <n v="43"/>
    <x v="971"/>
    <x v="963"/>
    <x v="974"/>
    <x v="0"/>
  </r>
  <r>
    <x v="975"/>
    <x v="32"/>
    <x v="7"/>
    <x v="3"/>
    <x v="228"/>
    <n v="103"/>
    <x v="0"/>
    <n v="191"/>
    <n v="99"/>
    <x v="972"/>
    <x v="964"/>
    <x v="975"/>
    <x v="2"/>
  </r>
  <r>
    <x v="976"/>
    <x v="21"/>
    <x v="5"/>
    <x v="8"/>
    <x v="227"/>
    <n v="66"/>
    <x v="2"/>
    <n v="118"/>
    <n v="94"/>
    <x v="973"/>
    <x v="965"/>
    <x v="976"/>
    <x v="6"/>
  </r>
  <r>
    <x v="977"/>
    <x v="17"/>
    <x v="5"/>
    <x v="6"/>
    <x v="1"/>
    <n v="140"/>
    <x v="0"/>
    <n v="217"/>
    <n v="72"/>
    <x v="974"/>
    <x v="966"/>
    <x v="977"/>
    <x v="1"/>
  </r>
  <r>
    <x v="978"/>
    <x v="60"/>
    <x v="3"/>
    <x v="1"/>
    <x v="346"/>
    <n v="152"/>
    <x v="3"/>
    <n v="173"/>
    <n v="116"/>
    <x v="975"/>
    <x v="967"/>
    <x v="978"/>
    <x v="2"/>
  </r>
  <r>
    <x v="979"/>
    <x v="84"/>
    <x v="6"/>
    <x v="0"/>
    <x v="237"/>
    <n v="84"/>
    <x v="2"/>
    <n v="215"/>
    <n v="201"/>
    <x v="976"/>
    <x v="968"/>
    <x v="979"/>
    <x v="10"/>
  </r>
  <r>
    <x v="980"/>
    <x v="35"/>
    <x v="9"/>
    <x v="3"/>
    <x v="374"/>
    <n v="181"/>
    <x v="3"/>
    <n v="118"/>
    <n v="100"/>
    <x v="977"/>
    <x v="969"/>
    <x v="980"/>
    <x v="11"/>
  </r>
  <r>
    <x v="981"/>
    <x v="22"/>
    <x v="5"/>
    <x v="2"/>
    <x v="148"/>
    <n v="88"/>
    <x v="4"/>
    <n v="211"/>
    <n v="85"/>
    <x v="978"/>
    <x v="970"/>
    <x v="981"/>
    <x v="9"/>
  </r>
  <r>
    <x v="982"/>
    <x v="47"/>
    <x v="5"/>
    <x v="0"/>
    <x v="534"/>
    <n v="95"/>
    <x v="4"/>
    <n v="168"/>
    <n v="112"/>
    <x v="979"/>
    <x v="971"/>
    <x v="982"/>
    <x v="5"/>
  </r>
  <r>
    <x v="983"/>
    <x v="69"/>
    <x v="2"/>
    <x v="7"/>
    <x v="257"/>
    <n v="59"/>
    <x v="2"/>
    <n v="202"/>
    <n v="42"/>
    <x v="980"/>
    <x v="972"/>
    <x v="983"/>
    <x v="9"/>
  </r>
  <r>
    <x v="984"/>
    <x v="13"/>
    <x v="1"/>
    <x v="5"/>
    <x v="505"/>
    <n v="78"/>
    <x v="1"/>
    <n v="177"/>
    <n v="162"/>
    <x v="981"/>
    <x v="973"/>
    <x v="984"/>
    <x v="9"/>
  </r>
  <r>
    <x v="985"/>
    <x v="73"/>
    <x v="7"/>
    <x v="2"/>
    <x v="165"/>
    <n v="155"/>
    <x v="3"/>
    <n v="110"/>
    <n v="79"/>
    <x v="982"/>
    <x v="974"/>
    <x v="985"/>
    <x v="8"/>
  </r>
  <r>
    <x v="986"/>
    <x v="64"/>
    <x v="4"/>
    <x v="4"/>
    <x v="351"/>
    <n v="81"/>
    <x v="3"/>
    <n v="86"/>
    <n v="65"/>
    <x v="983"/>
    <x v="975"/>
    <x v="986"/>
    <x v="1"/>
  </r>
  <r>
    <x v="987"/>
    <x v="89"/>
    <x v="6"/>
    <x v="3"/>
    <x v="478"/>
    <n v="163"/>
    <x v="1"/>
    <n v="80"/>
    <n v="45"/>
    <x v="984"/>
    <x v="976"/>
    <x v="987"/>
    <x v="9"/>
  </r>
  <r>
    <x v="988"/>
    <x v="3"/>
    <x v="3"/>
    <x v="2"/>
    <x v="535"/>
    <n v="201"/>
    <x v="0"/>
    <n v="176"/>
    <n v="103"/>
    <x v="985"/>
    <x v="977"/>
    <x v="988"/>
    <x v="4"/>
  </r>
  <r>
    <x v="989"/>
    <x v="78"/>
    <x v="5"/>
    <x v="1"/>
    <x v="536"/>
    <n v="91"/>
    <x v="1"/>
    <n v="94"/>
    <n v="65"/>
    <x v="986"/>
    <x v="978"/>
    <x v="989"/>
    <x v="8"/>
  </r>
  <r>
    <x v="990"/>
    <x v="14"/>
    <x v="4"/>
    <x v="6"/>
    <x v="90"/>
    <n v="215"/>
    <x v="4"/>
    <n v="125"/>
    <n v="103"/>
    <x v="987"/>
    <x v="979"/>
    <x v="990"/>
    <x v="0"/>
  </r>
  <r>
    <x v="991"/>
    <x v="86"/>
    <x v="3"/>
    <x v="7"/>
    <x v="243"/>
    <n v="174"/>
    <x v="2"/>
    <n v="174"/>
    <n v="155"/>
    <x v="988"/>
    <x v="980"/>
    <x v="991"/>
    <x v="9"/>
  </r>
  <r>
    <x v="992"/>
    <x v="57"/>
    <x v="2"/>
    <x v="0"/>
    <x v="454"/>
    <n v="51"/>
    <x v="4"/>
    <n v="188"/>
    <n v="137"/>
    <x v="989"/>
    <x v="981"/>
    <x v="992"/>
    <x v="9"/>
  </r>
  <r>
    <x v="993"/>
    <x v="1"/>
    <x v="1"/>
    <x v="0"/>
    <x v="537"/>
    <n v="109"/>
    <x v="4"/>
    <n v="104"/>
    <n v="81"/>
    <x v="990"/>
    <x v="982"/>
    <x v="993"/>
    <x v="1"/>
  </r>
  <r>
    <x v="994"/>
    <x v="52"/>
    <x v="0"/>
    <x v="5"/>
    <x v="55"/>
    <n v="213"/>
    <x v="0"/>
    <n v="182"/>
    <n v="75"/>
    <x v="991"/>
    <x v="983"/>
    <x v="994"/>
    <x v="5"/>
  </r>
  <r>
    <x v="995"/>
    <x v="24"/>
    <x v="7"/>
    <x v="0"/>
    <x v="182"/>
    <n v="70"/>
    <x v="0"/>
    <n v="145"/>
    <n v="55"/>
    <x v="992"/>
    <x v="984"/>
    <x v="995"/>
    <x v="7"/>
  </r>
  <r>
    <x v="996"/>
    <x v="0"/>
    <x v="0"/>
    <x v="0"/>
    <x v="283"/>
    <n v="114"/>
    <x v="0"/>
    <n v="182"/>
    <n v="131"/>
    <x v="993"/>
    <x v="985"/>
    <x v="996"/>
    <x v="8"/>
  </r>
  <r>
    <x v="997"/>
    <x v="7"/>
    <x v="2"/>
    <x v="4"/>
    <x v="538"/>
    <n v="223"/>
    <x v="4"/>
    <n v="203"/>
    <n v="66"/>
    <x v="994"/>
    <x v="986"/>
    <x v="997"/>
    <x v="11"/>
  </r>
  <r>
    <x v="998"/>
    <x v="47"/>
    <x v="5"/>
    <x v="0"/>
    <x v="238"/>
    <n v="46"/>
    <x v="4"/>
    <n v="166"/>
    <n v="138"/>
    <x v="995"/>
    <x v="987"/>
    <x v="998"/>
    <x v="7"/>
  </r>
  <r>
    <x v="999"/>
    <x v="44"/>
    <x v="9"/>
    <x v="2"/>
    <x v="205"/>
    <n v="49"/>
    <x v="3"/>
    <n v="77"/>
    <n v="40"/>
    <x v="996"/>
    <x v="988"/>
    <x v="999"/>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HYD"/>
    <x v="0"/>
    <x v="0"/>
    <n v="68"/>
    <x v="0"/>
    <x v="0"/>
    <x v="0"/>
    <x v="0"/>
    <x v="0"/>
    <x v="0"/>
    <x v="0"/>
    <x v="0"/>
  </r>
  <r>
    <x v="1"/>
    <x v="1"/>
    <s v="GOI"/>
    <x v="1"/>
    <x v="1"/>
    <n v="159"/>
    <x v="1"/>
    <x v="1"/>
    <x v="1"/>
    <x v="1"/>
    <x v="1"/>
    <x v="1"/>
    <x v="1"/>
    <x v="1"/>
  </r>
  <r>
    <x v="2"/>
    <x v="2"/>
    <s v="CCU"/>
    <x v="2"/>
    <x v="2"/>
    <n v="100"/>
    <x v="2"/>
    <x v="2"/>
    <x v="2"/>
    <x v="2"/>
    <x v="2"/>
    <x v="2"/>
    <x v="2"/>
    <x v="2"/>
  </r>
  <r>
    <x v="3"/>
    <x v="2"/>
    <s v="CCU"/>
    <x v="2"/>
    <x v="3"/>
    <n v="231"/>
    <x v="3"/>
    <x v="3"/>
    <x v="3"/>
    <x v="3"/>
    <x v="3"/>
    <x v="3"/>
    <x v="3"/>
    <x v="3"/>
  </r>
  <r>
    <x v="4"/>
    <x v="3"/>
    <s v="MAA"/>
    <x v="1"/>
    <x v="4"/>
    <n v="94"/>
    <x v="4"/>
    <x v="4"/>
    <x v="4"/>
    <x v="4"/>
    <x v="4"/>
    <x v="4"/>
    <x v="1"/>
    <x v="4"/>
  </r>
  <r>
    <x v="5"/>
    <x v="4"/>
    <s v="DEL"/>
    <x v="3"/>
    <x v="5"/>
    <n v="161"/>
    <x v="2"/>
    <x v="5"/>
    <x v="5"/>
    <x v="5"/>
    <x v="5"/>
    <x v="5"/>
    <x v="4"/>
    <x v="5"/>
  </r>
  <r>
    <x v="6"/>
    <x v="5"/>
    <s v="DEL"/>
    <x v="4"/>
    <x v="6"/>
    <n v="231"/>
    <x v="0"/>
    <x v="5"/>
    <x v="6"/>
    <x v="6"/>
    <x v="6"/>
    <x v="6"/>
    <x v="5"/>
    <x v="6"/>
  </r>
  <r>
    <x v="7"/>
    <x v="6"/>
    <s v="GOI"/>
    <x v="4"/>
    <x v="7"/>
    <n v="128"/>
    <x v="4"/>
    <x v="6"/>
    <x v="7"/>
    <x v="7"/>
    <x v="7"/>
    <x v="7"/>
    <x v="6"/>
    <x v="7"/>
  </r>
  <r>
    <x v="8"/>
    <x v="7"/>
    <s v="DEL"/>
    <x v="2"/>
    <x v="8"/>
    <n v="228"/>
    <x v="2"/>
    <x v="7"/>
    <x v="8"/>
    <x v="8"/>
    <x v="8"/>
    <x v="8"/>
    <x v="1"/>
    <x v="8"/>
  </r>
  <r>
    <x v="9"/>
    <x v="8"/>
    <s v="PNQ"/>
    <x v="5"/>
    <x v="9"/>
    <n v="80"/>
    <x v="0"/>
    <x v="8"/>
    <x v="9"/>
    <x v="9"/>
    <x v="9"/>
    <x v="9"/>
    <x v="7"/>
    <x v="9"/>
  </r>
  <r>
    <x v="10"/>
    <x v="9"/>
    <s v="JAI"/>
    <x v="1"/>
    <x v="10"/>
    <n v="101"/>
    <x v="0"/>
    <x v="9"/>
    <x v="10"/>
    <x v="10"/>
    <x v="10"/>
    <x v="10"/>
    <x v="0"/>
    <x v="10"/>
  </r>
  <r>
    <x v="11"/>
    <x v="10"/>
    <s v="AMD"/>
    <x v="4"/>
    <x v="11"/>
    <n v="153"/>
    <x v="1"/>
    <x v="10"/>
    <x v="11"/>
    <x v="11"/>
    <x v="11"/>
    <x v="11"/>
    <x v="8"/>
    <x v="11"/>
  </r>
  <r>
    <x v="12"/>
    <x v="11"/>
    <s v="GOI"/>
    <x v="2"/>
    <x v="12"/>
    <n v="47"/>
    <x v="4"/>
    <x v="3"/>
    <x v="12"/>
    <x v="12"/>
    <x v="12"/>
    <x v="12"/>
    <x v="5"/>
    <x v="12"/>
  </r>
  <r>
    <x v="13"/>
    <x v="12"/>
    <s v="HYD"/>
    <x v="5"/>
    <x v="13"/>
    <n v="45"/>
    <x v="2"/>
    <x v="11"/>
    <x v="13"/>
    <x v="13"/>
    <x v="13"/>
    <x v="13"/>
    <x v="9"/>
    <x v="13"/>
  </r>
  <r>
    <x v="14"/>
    <x v="13"/>
    <s v="MAA"/>
    <x v="6"/>
    <x v="14"/>
    <n v="95"/>
    <x v="0"/>
    <x v="12"/>
    <x v="14"/>
    <x v="14"/>
    <x v="14"/>
    <x v="14"/>
    <x v="7"/>
    <x v="14"/>
  </r>
  <r>
    <x v="15"/>
    <x v="14"/>
    <s v="BOM"/>
    <x v="1"/>
    <x v="15"/>
    <n v="49"/>
    <x v="4"/>
    <x v="13"/>
    <x v="15"/>
    <x v="15"/>
    <x v="15"/>
    <x v="15"/>
    <x v="10"/>
    <x v="15"/>
  </r>
  <r>
    <x v="16"/>
    <x v="15"/>
    <s v="BLR"/>
    <x v="7"/>
    <x v="16"/>
    <n v="232"/>
    <x v="3"/>
    <x v="14"/>
    <x v="16"/>
    <x v="16"/>
    <x v="16"/>
    <x v="16"/>
    <x v="11"/>
    <x v="16"/>
  </r>
  <r>
    <x v="17"/>
    <x v="16"/>
    <s v="PNQ"/>
    <x v="6"/>
    <x v="17"/>
    <n v="112"/>
    <x v="1"/>
    <x v="15"/>
    <x v="17"/>
    <x v="17"/>
    <x v="17"/>
    <x v="17"/>
    <x v="2"/>
    <x v="17"/>
  </r>
  <r>
    <x v="18"/>
    <x v="17"/>
    <s v="MAA"/>
    <x v="3"/>
    <x v="18"/>
    <n v="211"/>
    <x v="2"/>
    <x v="16"/>
    <x v="18"/>
    <x v="18"/>
    <x v="18"/>
    <x v="18"/>
    <x v="8"/>
    <x v="18"/>
  </r>
  <r>
    <x v="19"/>
    <x v="15"/>
    <s v="BLR"/>
    <x v="7"/>
    <x v="19"/>
    <n v="50"/>
    <x v="1"/>
    <x v="17"/>
    <x v="19"/>
    <x v="19"/>
    <x v="19"/>
    <x v="19"/>
    <x v="6"/>
    <x v="19"/>
  </r>
  <r>
    <x v="20"/>
    <x v="18"/>
    <s v="BOM"/>
    <x v="2"/>
    <x v="20"/>
    <n v="53"/>
    <x v="2"/>
    <x v="18"/>
    <x v="20"/>
    <x v="20"/>
    <x v="20"/>
    <x v="20"/>
    <x v="11"/>
    <x v="20"/>
  </r>
  <r>
    <x v="21"/>
    <x v="19"/>
    <s v="BLR"/>
    <x v="6"/>
    <x v="21"/>
    <n v="230"/>
    <x v="1"/>
    <x v="19"/>
    <x v="21"/>
    <x v="21"/>
    <x v="21"/>
    <x v="21"/>
    <x v="10"/>
    <x v="21"/>
  </r>
  <r>
    <x v="22"/>
    <x v="15"/>
    <s v="BLR"/>
    <x v="7"/>
    <x v="22"/>
    <n v="213"/>
    <x v="3"/>
    <x v="20"/>
    <x v="17"/>
    <x v="22"/>
    <x v="22"/>
    <x v="22"/>
    <x v="9"/>
    <x v="22"/>
  </r>
  <r>
    <x v="23"/>
    <x v="20"/>
    <s v="DEL"/>
    <x v="0"/>
    <x v="23"/>
    <n v="231"/>
    <x v="2"/>
    <x v="21"/>
    <x v="22"/>
    <x v="23"/>
    <x v="23"/>
    <x v="23"/>
    <x v="3"/>
    <x v="23"/>
  </r>
  <r>
    <x v="24"/>
    <x v="8"/>
    <s v="PNQ"/>
    <x v="5"/>
    <x v="24"/>
    <n v="91"/>
    <x v="2"/>
    <x v="22"/>
    <x v="23"/>
    <x v="24"/>
    <x v="24"/>
    <x v="24"/>
    <x v="11"/>
    <x v="24"/>
  </r>
  <r>
    <x v="25"/>
    <x v="20"/>
    <s v="DEL"/>
    <x v="0"/>
    <x v="25"/>
    <n v="183"/>
    <x v="4"/>
    <x v="23"/>
    <x v="24"/>
    <x v="25"/>
    <x v="25"/>
    <x v="25"/>
    <x v="4"/>
    <x v="25"/>
  </r>
  <r>
    <x v="26"/>
    <x v="21"/>
    <s v="PNQ"/>
    <x v="8"/>
    <x v="26"/>
    <n v="147"/>
    <x v="4"/>
    <x v="24"/>
    <x v="24"/>
    <x v="26"/>
    <x v="26"/>
    <x v="26"/>
    <x v="1"/>
    <x v="26"/>
  </r>
  <r>
    <x v="27"/>
    <x v="22"/>
    <s v="PNQ"/>
    <x v="2"/>
    <x v="27"/>
    <n v="223"/>
    <x v="1"/>
    <x v="25"/>
    <x v="25"/>
    <x v="27"/>
    <x v="27"/>
    <x v="27"/>
    <x v="11"/>
    <x v="27"/>
  </r>
  <r>
    <x v="28"/>
    <x v="23"/>
    <s v="BOM"/>
    <x v="6"/>
    <x v="28"/>
    <n v="236"/>
    <x v="2"/>
    <x v="26"/>
    <x v="26"/>
    <x v="28"/>
    <x v="28"/>
    <x v="28"/>
    <x v="11"/>
    <x v="28"/>
  </r>
  <r>
    <x v="29"/>
    <x v="24"/>
    <s v="AMD"/>
    <x v="0"/>
    <x v="29"/>
    <n v="65"/>
    <x v="0"/>
    <x v="14"/>
    <x v="27"/>
    <x v="29"/>
    <x v="29"/>
    <x v="29"/>
    <x v="2"/>
    <x v="29"/>
  </r>
  <r>
    <x v="30"/>
    <x v="25"/>
    <s v="HYD"/>
    <x v="7"/>
    <x v="30"/>
    <n v="108"/>
    <x v="1"/>
    <x v="27"/>
    <x v="25"/>
    <x v="30"/>
    <x v="30"/>
    <x v="30"/>
    <x v="1"/>
    <x v="30"/>
  </r>
  <r>
    <x v="31"/>
    <x v="26"/>
    <s v="JAI"/>
    <x v="8"/>
    <x v="31"/>
    <n v="111"/>
    <x v="0"/>
    <x v="28"/>
    <x v="28"/>
    <x v="31"/>
    <x v="31"/>
    <x v="31"/>
    <x v="8"/>
    <x v="31"/>
  </r>
  <r>
    <x v="32"/>
    <x v="27"/>
    <s v="MAA"/>
    <x v="8"/>
    <x v="31"/>
    <n v="237"/>
    <x v="4"/>
    <x v="29"/>
    <x v="29"/>
    <x v="32"/>
    <x v="32"/>
    <x v="32"/>
    <x v="8"/>
    <x v="32"/>
  </r>
  <r>
    <x v="33"/>
    <x v="6"/>
    <s v="GOI"/>
    <x v="4"/>
    <x v="32"/>
    <n v="112"/>
    <x v="0"/>
    <x v="30"/>
    <x v="15"/>
    <x v="33"/>
    <x v="33"/>
    <x v="33"/>
    <x v="2"/>
    <x v="33"/>
  </r>
  <r>
    <x v="34"/>
    <x v="28"/>
    <s v="MAA"/>
    <x v="5"/>
    <x v="33"/>
    <n v="184"/>
    <x v="2"/>
    <x v="31"/>
    <x v="30"/>
    <x v="34"/>
    <x v="34"/>
    <x v="34"/>
    <x v="11"/>
    <x v="34"/>
  </r>
  <r>
    <x v="35"/>
    <x v="5"/>
    <s v="DEL"/>
    <x v="4"/>
    <x v="34"/>
    <n v="74"/>
    <x v="4"/>
    <x v="17"/>
    <x v="25"/>
    <x v="35"/>
    <x v="35"/>
    <x v="35"/>
    <x v="7"/>
    <x v="35"/>
  </r>
  <r>
    <x v="36"/>
    <x v="29"/>
    <s v="BLR"/>
    <x v="1"/>
    <x v="35"/>
    <n v="220"/>
    <x v="2"/>
    <x v="32"/>
    <x v="31"/>
    <x v="36"/>
    <x v="36"/>
    <x v="36"/>
    <x v="5"/>
    <x v="36"/>
  </r>
  <r>
    <x v="37"/>
    <x v="30"/>
    <s v="HYD"/>
    <x v="2"/>
    <x v="36"/>
    <n v="45"/>
    <x v="2"/>
    <x v="33"/>
    <x v="32"/>
    <x v="37"/>
    <x v="37"/>
    <x v="37"/>
    <x v="3"/>
    <x v="37"/>
  </r>
  <r>
    <x v="38"/>
    <x v="31"/>
    <s v="HYD"/>
    <x v="6"/>
    <x v="37"/>
    <n v="73"/>
    <x v="4"/>
    <x v="34"/>
    <x v="7"/>
    <x v="38"/>
    <x v="38"/>
    <x v="38"/>
    <x v="0"/>
    <x v="38"/>
  </r>
  <r>
    <x v="39"/>
    <x v="32"/>
    <s v="AMD"/>
    <x v="3"/>
    <x v="38"/>
    <n v="55"/>
    <x v="2"/>
    <x v="35"/>
    <x v="33"/>
    <x v="39"/>
    <x v="39"/>
    <x v="39"/>
    <x v="10"/>
    <x v="39"/>
  </r>
  <r>
    <x v="40"/>
    <x v="15"/>
    <s v="BLR"/>
    <x v="7"/>
    <x v="39"/>
    <n v="188"/>
    <x v="3"/>
    <x v="36"/>
    <x v="28"/>
    <x v="40"/>
    <x v="40"/>
    <x v="40"/>
    <x v="6"/>
    <x v="40"/>
  </r>
  <r>
    <x v="41"/>
    <x v="33"/>
    <s v="BOM"/>
    <x v="4"/>
    <x v="40"/>
    <n v="150"/>
    <x v="0"/>
    <x v="37"/>
    <x v="34"/>
    <x v="41"/>
    <x v="41"/>
    <x v="41"/>
    <x v="6"/>
    <x v="41"/>
  </r>
  <r>
    <x v="42"/>
    <x v="34"/>
    <s v="PNQ"/>
    <x v="4"/>
    <x v="41"/>
    <n v="162"/>
    <x v="2"/>
    <x v="38"/>
    <x v="35"/>
    <x v="42"/>
    <x v="42"/>
    <x v="42"/>
    <x v="5"/>
    <x v="42"/>
  </r>
  <r>
    <x v="43"/>
    <x v="35"/>
    <s v="BLR"/>
    <x v="3"/>
    <x v="42"/>
    <n v="116"/>
    <x v="4"/>
    <x v="1"/>
    <x v="36"/>
    <x v="43"/>
    <x v="43"/>
    <x v="43"/>
    <x v="6"/>
    <x v="43"/>
  </r>
  <r>
    <x v="44"/>
    <x v="36"/>
    <s v="CCU"/>
    <x v="0"/>
    <x v="43"/>
    <n v="111"/>
    <x v="0"/>
    <x v="39"/>
    <x v="37"/>
    <x v="44"/>
    <x v="44"/>
    <x v="44"/>
    <x v="9"/>
    <x v="44"/>
  </r>
  <r>
    <x v="45"/>
    <x v="37"/>
    <s v="HYD"/>
    <x v="9"/>
    <x v="44"/>
    <n v="156"/>
    <x v="1"/>
    <x v="9"/>
    <x v="29"/>
    <x v="45"/>
    <x v="45"/>
    <x v="45"/>
    <x v="8"/>
    <x v="45"/>
  </r>
  <r>
    <x v="46"/>
    <x v="38"/>
    <s v="MAA"/>
    <x v="0"/>
    <x v="45"/>
    <n v="156"/>
    <x v="4"/>
    <x v="40"/>
    <x v="9"/>
    <x v="46"/>
    <x v="46"/>
    <x v="46"/>
    <x v="6"/>
    <x v="46"/>
  </r>
  <r>
    <x v="47"/>
    <x v="39"/>
    <s v="DEL"/>
    <x v="1"/>
    <x v="46"/>
    <n v="125"/>
    <x v="4"/>
    <x v="41"/>
    <x v="0"/>
    <x v="47"/>
    <x v="47"/>
    <x v="47"/>
    <x v="4"/>
    <x v="47"/>
  </r>
  <r>
    <x v="48"/>
    <x v="40"/>
    <s v="CCU"/>
    <x v="3"/>
    <x v="47"/>
    <n v="120"/>
    <x v="1"/>
    <x v="42"/>
    <x v="38"/>
    <x v="48"/>
    <x v="48"/>
    <x v="48"/>
    <x v="6"/>
    <x v="48"/>
  </r>
  <r>
    <x v="49"/>
    <x v="41"/>
    <s v="AMD"/>
    <x v="9"/>
    <x v="48"/>
    <n v="185"/>
    <x v="4"/>
    <x v="43"/>
    <x v="39"/>
    <x v="49"/>
    <x v="49"/>
    <x v="49"/>
    <x v="3"/>
    <x v="49"/>
  </r>
  <r>
    <x v="50"/>
    <x v="42"/>
    <s v="JAI"/>
    <x v="9"/>
    <x v="49"/>
    <n v="158"/>
    <x v="3"/>
    <x v="7"/>
    <x v="40"/>
    <x v="50"/>
    <x v="50"/>
    <x v="50"/>
    <x v="9"/>
    <x v="50"/>
  </r>
  <r>
    <x v="51"/>
    <x v="43"/>
    <s v="DEL"/>
    <x v="9"/>
    <x v="50"/>
    <n v="214"/>
    <x v="1"/>
    <x v="44"/>
    <x v="41"/>
    <x v="51"/>
    <x v="51"/>
    <x v="51"/>
    <x v="2"/>
    <x v="51"/>
  </r>
  <r>
    <x v="52"/>
    <x v="44"/>
    <s v="BLR"/>
    <x v="2"/>
    <x v="51"/>
    <n v="51"/>
    <x v="4"/>
    <x v="45"/>
    <x v="42"/>
    <x v="52"/>
    <x v="52"/>
    <x v="52"/>
    <x v="10"/>
    <x v="52"/>
  </r>
  <r>
    <x v="53"/>
    <x v="45"/>
    <s v="JAI"/>
    <x v="4"/>
    <x v="47"/>
    <n v="143"/>
    <x v="3"/>
    <x v="46"/>
    <x v="43"/>
    <x v="53"/>
    <x v="53"/>
    <x v="53"/>
    <x v="6"/>
    <x v="53"/>
  </r>
  <r>
    <x v="54"/>
    <x v="4"/>
    <s v="DEL"/>
    <x v="3"/>
    <x v="52"/>
    <n v="90"/>
    <x v="1"/>
    <x v="22"/>
    <x v="38"/>
    <x v="54"/>
    <x v="54"/>
    <x v="54"/>
    <x v="1"/>
    <x v="54"/>
  </r>
  <r>
    <x v="55"/>
    <x v="8"/>
    <s v="PNQ"/>
    <x v="5"/>
    <x v="53"/>
    <n v="215"/>
    <x v="1"/>
    <x v="8"/>
    <x v="44"/>
    <x v="55"/>
    <x v="55"/>
    <x v="55"/>
    <x v="9"/>
    <x v="55"/>
  </r>
  <r>
    <x v="56"/>
    <x v="1"/>
    <s v="GOI"/>
    <x v="1"/>
    <x v="54"/>
    <n v="159"/>
    <x v="0"/>
    <x v="47"/>
    <x v="33"/>
    <x v="56"/>
    <x v="56"/>
    <x v="56"/>
    <x v="5"/>
    <x v="56"/>
  </r>
  <r>
    <x v="57"/>
    <x v="13"/>
    <s v="MAA"/>
    <x v="6"/>
    <x v="55"/>
    <n v="205"/>
    <x v="0"/>
    <x v="48"/>
    <x v="45"/>
    <x v="57"/>
    <x v="57"/>
    <x v="57"/>
    <x v="10"/>
    <x v="57"/>
  </r>
  <r>
    <x v="58"/>
    <x v="3"/>
    <s v="MAA"/>
    <x v="1"/>
    <x v="56"/>
    <n v="183"/>
    <x v="4"/>
    <x v="49"/>
    <x v="46"/>
    <x v="58"/>
    <x v="58"/>
    <x v="58"/>
    <x v="8"/>
    <x v="58"/>
  </r>
  <r>
    <x v="59"/>
    <x v="15"/>
    <s v="BLR"/>
    <x v="7"/>
    <x v="57"/>
    <n v="149"/>
    <x v="2"/>
    <x v="50"/>
    <x v="47"/>
    <x v="59"/>
    <x v="59"/>
    <x v="59"/>
    <x v="11"/>
    <x v="59"/>
  </r>
  <r>
    <x v="60"/>
    <x v="46"/>
    <s v="HYD"/>
    <x v="3"/>
    <x v="58"/>
    <n v="223"/>
    <x v="4"/>
    <x v="19"/>
    <x v="14"/>
    <x v="60"/>
    <x v="60"/>
    <x v="60"/>
    <x v="1"/>
    <x v="60"/>
  </r>
  <r>
    <x v="61"/>
    <x v="17"/>
    <s v="MAA"/>
    <x v="3"/>
    <x v="59"/>
    <n v="182"/>
    <x v="1"/>
    <x v="51"/>
    <x v="43"/>
    <x v="61"/>
    <x v="61"/>
    <x v="61"/>
    <x v="11"/>
    <x v="61"/>
  </r>
  <r>
    <x v="62"/>
    <x v="47"/>
    <s v="PNQ"/>
    <x v="0"/>
    <x v="60"/>
    <n v="131"/>
    <x v="3"/>
    <x v="24"/>
    <x v="6"/>
    <x v="62"/>
    <x v="62"/>
    <x v="62"/>
    <x v="3"/>
    <x v="62"/>
  </r>
  <r>
    <x v="63"/>
    <x v="48"/>
    <s v="BOM"/>
    <x v="3"/>
    <x v="61"/>
    <n v="189"/>
    <x v="4"/>
    <x v="52"/>
    <x v="48"/>
    <x v="63"/>
    <x v="63"/>
    <x v="63"/>
    <x v="1"/>
    <x v="63"/>
  </r>
  <r>
    <x v="64"/>
    <x v="24"/>
    <s v="AMD"/>
    <x v="0"/>
    <x v="62"/>
    <n v="142"/>
    <x v="2"/>
    <x v="7"/>
    <x v="19"/>
    <x v="64"/>
    <x v="64"/>
    <x v="64"/>
    <x v="7"/>
    <x v="64"/>
  </r>
  <r>
    <x v="65"/>
    <x v="17"/>
    <s v="MAA"/>
    <x v="3"/>
    <x v="63"/>
    <n v="65"/>
    <x v="3"/>
    <x v="53"/>
    <x v="16"/>
    <x v="65"/>
    <x v="65"/>
    <x v="65"/>
    <x v="7"/>
    <x v="65"/>
  </r>
  <r>
    <x v="66"/>
    <x v="20"/>
    <s v="DEL"/>
    <x v="0"/>
    <x v="64"/>
    <n v="108"/>
    <x v="0"/>
    <x v="54"/>
    <x v="49"/>
    <x v="66"/>
    <x v="66"/>
    <x v="66"/>
    <x v="3"/>
    <x v="66"/>
  </r>
  <r>
    <x v="67"/>
    <x v="7"/>
    <s v="DEL"/>
    <x v="2"/>
    <x v="49"/>
    <n v="224"/>
    <x v="2"/>
    <x v="55"/>
    <x v="50"/>
    <x v="67"/>
    <x v="67"/>
    <x v="67"/>
    <x v="9"/>
    <x v="67"/>
  </r>
  <r>
    <x v="68"/>
    <x v="20"/>
    <s v="DEL"/>
    <x v="0"/>
    <x v="65"/>
    <n v="192"/>
    <x v="3"/>
    <x v="56"/>
    <x v="51"/>
    <x v="68"/>
    <x v="68"/>
    <x v="68"/>
    <x v="8"/>
    <x v="68"/>
  </r>
  <r>
    <x v="69"/>
    <x v="15"/>
    <s v="BLR"/>
    <x v="7"/>
    <x v="47"/>
    <n v="122"/>
    <x v="1"/>
    <x v="57"/>
    <x v="51"/>
    <x v="69"/>
    <x v="69"/>
    <x v="69"/>
    <x v="6"/>
    <x v="69"/>
  </r>
  <r>
    <x v="70"/>
    <x v="1"/>
    <s v="GOI"/>
    <x v="1"/>
    <x v="66"/>
    <n v="139"/>
    <x v="4"/>
    <x v="32"/>
    <x v="52"/>
    <x v="70"/>
    <x v="70"/>
    <x v="70"/>
    <x v="8"/>
    <x v="70"/>
  </r>
  <r>
    <x v="71"/>
    <x v="4"/>
    <s v="DEL"/>
    <x v="3"/>
    <x v="10"/>
    <n v="207"/>
    <x v="3"/>
    <x v="36"/>
    <x v="53"/>
    <x v="71"/>
    <x v="71"/>
    <x v="71"/>
    <x v="0"/>
    <x v="71"/>
  </r>
  <r>
    <x v="72"/>
    <x v="13"/>
    <s v="MAA"/>
    <x v="6"/>
    <x v="67"/>
    <n v="164"/>
    <x v="3"/>
    <x v="37"/>
    <x v="48"/>
    <x v="72"/>
    <x v="72"/>
    <x v="72"/>
    <x v="10"/>
    <x v="72"/>
  </r>
  <r>
    <x v="73"/>
    <x v="34"/>
    <s v="PNQ"/>
    <x v="4"/>
    <x v="53"/>
    <n v="190"/>
    <x v="1"/>
    <x v="58"/>
    <x v="54"/>
    <x v="73"/>
    <x v="73"/>
    <x v="73"/>
    <x v="9"/>
    <x v="73"/>
  </r>
  <r>
    <x v="74"/>
    <x v="49"/>
    <s v="AMD"/>
    <x v="8"/>
    <x v="68"/>
    <n v="135"/>
    <x v="2"/>
    <x v="59"/>
    <x v="55"/>
    <x v="74"/>
    <x v="74"/>
    <x v="74"/>
    <x v="1"/>
    <x v="74"/>
  </r>
  <r>
    <x v="75"/>
    <x v="6"/>
    <s v="GOI"/>
    <x v="4"/>
    <x v="16"/>
    <n v="106"/>
    <x v="3"/>
    <x v="60"/>
    <x v="56"/>
    <x v="75"/>
    <x v="75"/>
    <x v="75"/>
    <x v="11"/>
    <x v="75"/>
  </r>
  <r>
    <x v="76"/>
    <x v="21"/>
    <s v="PNQ"/>
    <x v="8"/>
    <x v="69"/>
    <n v="68"/>
    <x v="2"/>
    <x v="51"/>
    <x v="57"/>
    <x v="76"/>
    <x v="76"/>
    <x v="76"/>
    <x v="0"/>
    <x v="76"/>
  </r>
  <r>
    <x v="77"/>
    <x v="42"/>
    <s v="JAI"/>
    <x v="9"/>
    <x v="70"/>
    <n v="186"/>
    <x v="1"/>
    <x v="61"/>
    <x v="17"/>
    <x v="77"/>
    <x v="77"/>
    <x v="77"/>
    <x v="9"/>
    <x v="77"/>
  </r>
  <r>
    <x v="78"/>
    <x v="22"/>
    <s v="PNQ"/>
    <x v="2"/>
    <x v="71"/>
    <n v="109"/>
    <x v="0"/>
    <x v="57"/>
    <x v="58"/>
    <x v="78"/>
    <x v="78"/>
    <x v="78"/>
    <x v="8"/>
    <x v="78"/>
  </r>
  <r>
    <x v="79"/>
    <x v="50"/>
    <s v="GOI"/>
    <x v="5"/>
    <x v="72"/>
    <n v="100"/>
    <x v="3"/>
    <x v="48"/>
    <x v="59"/>
    <x v="79"/>
    <x v="79"/>
    <x v="79"/>
    <x v="5"/>
    <x v="79"/>
  </r>
  <r>
    <x v="80"/>
    <x v="7"/>
    <s v="DEL"/>
    <x v="2"/>
    <x v="73"/>
    <n v="103"/>
    <x v="2"/>
    <x v="62"/>
    <x v="27"/>
    <x v="80"/>
    <x v="80"/>
    <x v="80"/>
    <x v="4"/>
    <x v="80"/>
  </r>
  <r>
    <x v="81"/>
    <x v="38"/>
    <s v="MAA"/>
    <x v="0"/>
    <x v="74"/>
    <n v="186"/>
    <x v="2"/>
    <x v="42"/>
    <x v="60"/>
    <x v="81"/>
    <x v="81"/>
    <x v="81"/>
    <x v="3"/>
    <x v="81"/>
  </r>
  <r>
    <x v="82"/>
    <x v="51"/>
    <s v="JAI"/>
    <x v="2"/>
    <x v="75"/>
    <n v="167"/>
    <x v="3"/>
    <x v="59"/>
    <x v="61"/>
    <x v="82"/>
    <x v="82"/>
    <x v="82"/>
    <x v="9"/>
    <x v="82"/>
  </r>
  <r>
    <x v="83"/>
    <x v="52"/>
    <s v="DEL"/>
    <x v="5"/>
    <x v="76"/>
    <n v="170"/>
    <x v="4"/>
    <x v="19"/>
    <x v="62"/>
    <x v="83"/>
    <x v="83"/>
    <x v="83"/>
    <x v="3"/>
    <x v="83"/>
  </r>
  <r>
    <x v="84"/>
    <x v="51"/>
    <s v="JAI"/>
    <x v="2"/>
    <x v="16"/>
    <n v="108"/>
    <x v="4"/>
    <x v="63"/>
    <x v="63"/>
    <x v="84"/>
    <x v="84"/>
    <x v="84"/>
    <x v="11"/>
    <x v="84"/>
  </r>
  <r>
    <x v="85"/>
    <x v="21"/>
    <s v="PNQ"/>
    <x v="8"/>
    <x v="77"/>
    <n v="195"/>
    <x v="3"/>
    <x v="38"/>
    <x v="64"/>
    <x v="85"/>
    <x v="85"/>
    <x v="85"/>
    <x v="8"/>
    <x v="85"/>
  </r>
  <r>
    <x v="86"/>
    <x v="44"/>
    <s v="BLR"/>
    <x v="2"/>
    <x v="34"/>
    <n v="214"/>
    <x v="4"/>
    <x v="64"/>
    <x v="28"/>
    <x v="86"/>
    <x v="86"/>
    <x v="86"/>
    <x v="7"/>
    <x v="86"/>
  </r>
  <r>
    <x v="87"/>
    <x v="24"/>
    <s v="AMD"/>
    <x v="0"/>
    <x v="78"/>
    <n v="160"/>
    <x v="1"/>
    <x v="65"/>
    <x v="65"/>
    <x v="87"/>
    <x v="87"/>
    <x v="87"/>
    <x v="3"/>
    <x v="87"/>
  </r>
  <r>
    <x v="88"/>
    <x v="27"/>
    <s v="MAA"/>
    <x v="8"/>
    <x v="79"/>
    <n v="220"/>
    <x v="0"/>
    <x v="66"/>
    <x v="66"/>
    <x v="88"/>
    <x v="88"/>
    <x v="88"/>
    <x v="11"/>
    <x v="88"/>
  </r>
  <r>
    <x v="89"/>
    <x v="6"/>
    <s v="GOI"/>
    <x v="4"/>
    <x v="80"/>
    <n v="83"/>
    <x v="2"/>
    <x v="67"/>
    <x v="49"/>
    <x v="89"/>
    <x v="89"/>
    <x v="89"/>
    <x v="4"/>
    <x v="89"/>
  </r>
  <r>
    <x v="90"/>
    <x v="51"/>
    <s v="JAI"/>
    <x v="2"/>
    <x v="81"/>
    <n v="76"/>
    <x v="3"/>
    <x v="43"/>
    <x v="67"/>
    <x v="90"/>
    <x v="90"/>
    <x v="90"/>
    <x v="11"/>
    <x v="90"/>
  </r>
  <r>
    <x v="91"/>
    <x v="53"/>
    <s v="GOI"/>
    <x v="3"/>
    <x v="33"/>
    <n v="65"/>
    <x v="1"/>
    <x v="27"/>
    <x v="68"/>
    <x v="91"/>
    <x v="91"/>
    <x v="91"/>
    <x v="11"/>
    <x v="91"/>
  </r>
  <r>
    <x v="92"/>
    <x v="54"/>
    <s v="BOM"/>
    <x v="5"/>
    <x v="82"/>
    <n v="217"/>
    <x v="1"/>
    <x v="68"/>
    <x v="2"/>
    <x v="92"/>
    <x v="92"/>
    <x v="92"/>
    <x v="1"/>
    <x v="92"/>
  </r>
  <r>
    <x v="93"/>
    <x v="49"/>
    <s v="AMD"/>
    <x v="8"/>
    <x v="83"/>
    <n v="211"/>
    <x v="3"/>
    <x v="1"/>
    <x v="61"/>
    <x v="93"/>
    <x v="93"/>
    <x v="93"/>
    <x v="2"/>
    <x v="93"/>
  </r>
  <r>
    <x v="94"/>
    <x v="55"/>
    <s v="DEL"/>
    <x v="8"/>
    <x v="84"/>
    <n v="149"/>
    <x v="2"/>
    <x v="69"/>
    <x v="69"/>
    <x v="94"/>
    <x v="94"/>
    <x v="94"/>
    <x v="6"/>
    <x v="94"/>
  </r>
  <r>
    <x v="95"/>
    <x v="56"/>
    <s v="HYD"/>
    <x v="8"/>
    <x v="85"/>
    <n v="214"/>
    <x v="3"/>
    <x v="70"/>
    <x v="49"/>
    <x v="95"/>
    <x v="95"/>
    <x v="95"/>
    <x v="4"/>
    <x v="95"/>
  </r>
  <r>
    <x v="96"/>
    <x v="3"/>
    <s v="MAA"/>
    <x v="1"/>
    <x v="43"/>
    <n v="148"/>
    <x v="1"/>
    <x v="71"/>
    <x v="50"/>
    <x v="96"/>
    <x v="96"/>
    <x v="96"/>
    <x v="9"/>
    <x v="96"/>
  </r>
  <r>
    <x v="97"/>
    <x v="18"/>
    <s v="BOM"/>
    <x v="2"/>
    <x v="86"/>
    <n v="137"/>
    <x v="1"/>
    <x v="72"/>
    <x v="70"/>
    <x v="97"/>
    <x v="97"/>
    <x v="97"/>
    <x v="2"/>
    <x v="97"/>
  </r>
  <r>
    <x v="98"/>
    <x v="50"/>
    <s v="GOI"/>
    <x v="5"/>
    <x v="87"/>
    <n v="157"/>
    <x v="3"/>
    <x v="73"/>
    <x v="71"/>
    <x v="98"/>
    <x v="98"/>
    <x v="98"/>
    <x v="4"/>
    <x v="98"/>
  </r>
  <r>
    <x v="99"/>
    <x v="57"/>
    <s v="GOI"/>
    <x v="0"/>
    <x v="88"/>
    <n v="149"/>
    <x v="4"/>
    <x v="74"/>
    <x v="4"/>
    <x v="99"/>
    <x v="99"/>
    <x v="99"/>
    <x v="5"/>
    <x v="99"/>
  </r>
  <r>
    <x v="100"/>
    <x v="49"/>
    <s v="AMD"/>
    <x v="8"/>
    <x v="89"/>
    <n v="175"/>
    <x v="2"/>
    <x v="75"/>
    <x v="72"/>
    <x v="100"/>
    <x v="100"/>
    <x v="100"/>
    <x v="4"/>
    <x v="100"/>
  </r>
  <r>
    <x v="101"/>
    <x v="50"/>
    <s v="GOI"/>
    <x v="5"/>
    <x v="90"/>
    <n v="93"/>
    <x v="1"/>
    <x v="9"/>
    <x v="16"/>
    <x v="101"/>
    <x v="101"/>
    <x v="101"/>
    <x v="0"/>
    <x v="101"/>
  </r>
  <r>
    <x v="102"/>
    <x v="58"/>
    <s v="CCU"/>
    <x v="6"/>
    <x v="91"/>
    <n v="45"/>
    <x v="2"/>
    <x v="41"/>
    <x v="73"/>
    <x v="102"/>
    <x v="102"/>
    <x v="102"/>
    <x v="4"/>
    <x v="102"/>
  </r>
  <r>
    <x v="103"/>
    <x v="53"/>
    <s v="GOI"/>
    <x v="3"/>
    <x v="92"/>
    <n v="130"/>
    <x v="1"/>
    <x v="76"/>
    <x v="74"/>
    <x v="103"/>
    <x v="103"/>
    <x v="103"/>
    <x v="6"/>
    <x v="103"/>
  </r>
  <r>
    <x v="104"/>
    <x v="35"/>
    <s v="BLR"/>
    <x v="3"/>
    <x v="93"/>
    <n v="150"/>
    <x v="4"/>
    <x v="77"/>
    <x v="75"/>
    <x v="104"/>
    <x v="104"/>
    <x v="104"/>
    <x v="1"/>
    <x v="104"/>
  </r>
  <r>
    <x v="105"/>
    <x v="12"/>
    <s v="HYD"/>
    <x v="5"/>
    <x v="94"/>
    <n v="54"/>
    <x v="0"/>
    <x v="11"/>
    <x v="76"/>
    <x v="105"/>
    <x v="105"/>
    <x v="105"/>
    <x v="10"/>
    <x v="105"/>
  </r>
  <r>
    <x v="106"/>
    <x v="59"/>
    <s v="DEL"/>
    <x v="6"/>
    <x v="95"/>
    <n v="48"/>
    <x v="0"/>
    <x v="78"/>
    <x v="25"/>
    <x v="106"/>
    <x v="106"/>
    <x v="106"/>
    <x v="9"/>
    <x v="106"/>
  </r>
  <r>
    <x v="107"/>
    <x v="40"/>
    <s v="CCU"/>
    <x v="3"/>
    <x v="96"/>
    <n v="65"/>
    <x v="2"/>
    <x v="79"/>
    <x v="14"/>
    <x v="107"/>
    <x v="107"/>
    <x v="107"/>
    <x v="4"/>
    <x v="107"/>
  </r>
  <r>
    <x v="108"/>
    <x v="57"/>
    <s v="GOI"/>
    <x v="0"/>
    <x v="97"/>
    <n v="62"/>
    <x v="0"/>
    <x v="80"/>
    <x v="29"/>
    <x v="108"/>
    <x v="108"/>
    <x v="108"/>
    <x v="7"/>
    <x v="108"/>
  </r>
  <r>
    <x v="109"/>
    <x v="55"/>
    <s v="DEL"/>
    <x v="8"/>
    <x v="98"/>
    <n v="222"/>
    <x v="2"/>
    <x v="81"/>
    <x v="30"/>
    <x v="109"/>
    <x v="109"/>
    <x v="109"/>
    <x v="2"/>
    <x v="109"/>
  </r>
  <r>
    <x v="110"/>
    <x v="60"/>
    <s v="CCU"/>
    <x v="1"/>
    <x v="99"/>
    <n v="82"/>
    <x v="0"/>
    <x v="31"/>
    <x v="35"/>
    <x v="110"/>
    <x v="110"/>
    <x v="110"/>
    <x v="11"/>
    <x v="110"/>
  </r>
  <r>
    <x v="111"/>
    <x v="10"/>
    <s v="AMD"/>
    <x v="4"/>
    <x v="100"/>
    <n v="201"/>
    <x v="3"/>
    <x v="82"/>
    <x v="23"/>
    <x v="111"/>
    <x v="111"/>
    <x v="111"/>
    <x v="11"/>
    <x v="111"/>
  </r>
  <r>
    <x v="112"/>
    <x v="27"/>
    <s v="MAA"/>
    <x v="8"/>
    <x v="101"/>
    <n v="215"/>
    <x v="4"/>
    <x v="83"/>
    <x v="77"/>
    <x v="112"/>
    <x v="112"/>
    <x v="112"/>
    <x v="7"/>
    <x v="112"/>
  </r>
  <r>
    <x v="113"/>
    <x v="61"/>
    <s v="PNQ"/>
    <x v="9"/>
    <x v="102"/>
    <n v="121"/>
    <x v="3"/>
    <x v="84"/>
    <x v="19"/>
    <x v="113"/>
    <x v="113"/>
    <x v="113"/>
    <x v="1"/>
    <x v="113"/>
  </r>
  <r>
    <x v="114"/>
    <x v="62"/>
    <s v="PNQ"/>
    <x v="7"/>
    <x v="103"/>
    <n v="142"/>
    <x v="1"/>
    <x v="85"/>
    <x v="77"/>
    <x v="114"/>
    <x v="114"/>
    <x v="114"/>
    <x v="1"/>
    <x v="114"/>
  </r>
  <r>
    <x v="115"/>
    <x v="48"/>
    <s v="BOM"/>
    <x v="3"/>
    <x v="104"/>
    <n v="47"/>
    <x v="1"/>
    <x v="86"/>
    <x v="27"/>
    <x v="115"/>
    <x v="115"/>
    <x v="115"/>
    <x v="4"/>
    <x v="115"/>
  </r>
  <r>
    <x v="116"/>
    <x v="42"/>
    <s v="JAI"/>
    <x v="9"/>
    <x v="52"/>
    <n v="207"/>
    <x v="0"/>
    <x v="84"/>
    <x v="54"/>
    <x v="116"/>
    <x v="116"/>
    <x v="116"/>
    <x v="1"/>
    <x v="116"/>
  </r>
  <r>
    <x v="117"/>
    <x v="63"/>
    <s v="BOM"/>
    <x v="9"/>
    <x v="105"/>
    <n v="53"/>
    <x v="1"/>
    <x v="35"/>
    <x v="78"/>
    <x v="117"/>
    <x v="117"/>
    <x v="117"/>
    <x v="11"/>
    <x v="117"/>
  </r>
  <r>
    <x v="118"/>
    <x v="40"/>
    <s v="CCU"/>
    <x v="3"/>
    <x v="106"/>
    <n v="96"/>
    <x v="0"/>
    <x v="50"/>
    <x v="78"/>
    <x v="118"/>
    <x v="118"/>
    <x v="118"/>
    <x v="2"/>
    <x v="118"/>
  </r>
  <r>
    <x v="119"/>
    <x v="41"/>
    <s v="AMD"/>
    <x v="9"/>
    <x v="107"/>
    <n v="120"/>
    <x v="2"/>
    <x v="87"/>
    <x v="29"/>
    <x v="119"/>
    <x v="119"/>
    <x v="119"/>
    <x v="10"/>
    <x v="119"/>
  </r>
  <r>
    <x v="120"/>
    <x v="31"/>
    <s v="HYD"/>
    <x v="6"/>
    <x v="108"/>
    <n v="68"/>
    <x v="3"/>
    <x v="88"/>
    <x v="79"/>
    <x v="120"/>
    <x v="120"/>
    <x v="120"/>
    <x v="0"/>
    <x v="120"/>
  </r>
  <r>
    <x v="121"/>
    <x v="2"/>
    <s v="CCU"/>
    <x v="2"/>
    <x v="58"/>
    <n v="142"/>
    <x v="2"/>
    <x v="21"/>
    <x v="80"/>
    <x v="121"/>
    <x v="121"/>
    <x v="121"/>
    <x v="1"/>
    <x v="121"/>
  </r>
  <r>
    <x v="122"/>
    <x v="26"/>
    <s v="JAI"/>
    <x v="8"/>
    <x v="109"/>
    <n v="201"/>
    <x v="0"/>
    <x v="10"/>
    <x v="60"/>
    <x v="122"/>
    <x v="122"/>
    <x v="122"/>
    <x v="6"/>
    <x v="122"/>
  </r>
  <r>
    <x v="123"/>
    <x v="25"/>
    <s v="HYD"/>
    <x v="7"/>
    <x v="110"/>
    <n v="56"/>
    <x v="4"/>
    <x v="43"/>
    <x v="23"/>
    <x v="123"/>
    <x v="123"/>
    <x v="123"/>
    <x v="10"/>
    <x v="123"/>
  </r>
  <r>
    <x v="124"/>
    <x v="50"/>
    <s v="GOI"/>
    <x v="5"/>
    <x v="111"/>
    <n v="161"/>
    <x v="2"/>
    <x v="50"/>
    <x v="81"/>
    <x v="124"/>
    <x v="124"/>
    <x v="124"/>
    <x v="3"/>
    <x v="124"/>
  </r>
  <r>
    <x v="125"/>
    <x v="55"/>
    <s v="DEL"/>
    <x v="8"/>
    <x v="112"/>
    <n v="149"/>
    <x v="2"/>
    <x v="89"/>
    <x v="61"/>
    <x v="125"/>
    <x v="125"/>
    <x v="125"/>
    <x v="7"/>
    <x v="125"/>
  </r>
  <r>
    <x v="126"/>
    <x v="29"/>
    <s v="BLR"/>
    <x v="1"/>
    <x v="113"/>
    <n v="220"/>
    <x v="2"/>
    <x v="76"/>
    <x v="82"/>
    <x v="126"/>
    <x v="126"/>
    <x v="126"/>
    <x v="9"/>
    <x v="126"/>
  </r>
  <r>
    <x v="127"/>
    <x v="64"/>
    <s v="MAA"/>
    <x v="4"/>
    <x v="114"/>
    <n v="161"/>
    <x v="4"/>
    <x v="7"/>
    <x v="83"/>
    <x v="127"/>
    <x v="127"/>
    <x v="127"/>
    <x v="10"/>
    <x v="127"/>
  </r>
  <r>
    <x v="128"/>
    <x v="65"/>
    <s v="BLR"/>
    <x v="5"/>
    <x v="115"/>
    <n v="97"/>
    <x v="4"/>
    <x v="17"/>
    <x v="84"/>
    <x v="128"/>
    <x v="128"/>
    <x v="128"/>
    <x v="1"/>
    <x v="128"/>
  </r>
  <r>
    <x v="129"/>
    <x v="24"/>
    <s v="AMD"/>
    <x v="0"/>
    <x v="116"/>
    <n v="82"/>
    <x v="0"/>
    <x v="50"/>
    <x v="0"/>
    <x v="129"/>
    <x v="129"/>
    <x v="129"/>
    <x v="4"/>
    <x v="129"/>
  </r>
  <r>
    <x v="130"/>
    <x v="33"/>
    <s v="BOM"/>
    <x v="4"/>
    <x v="117"/>
    <n v="136"/>
    <x v="0"/>
    <x v="68"/>
    <x v="83"/>
    <x v="130"/>
    <x v="130"/>
    <x v="130"/>
    <x v="0"/>
    <x v="130"/>
  </r>
  <r>
    <x v="131"/>
    <x v="33"/>
    <s v="BOM"/>
    <x v="4"/>
    <x v="118"/>
    <n v="179"/>
    <x v="4"/>
    <x v="10"/>
    <x v="28"/>
    <x v="131"/>
    <x v="131"/>
    <x v="131"/>
    <x v="11"/>
    <x v="131"/>
  </r>
  <r>
    <x v="132"/>
    <x v="66"/>
    <s v="JAI"/>
    <x v="7"/>
    <x v="119"/>
    <n v="173"/>
    <x v="0"/>
    <x v="4"/>
    <x v="32"/>
    <x v="132"/>
    <x v="132"/>
    <x v="132"/>
    <x v="9"/>
    <x v="132"/>
  </r>
  <r>
    <x v="133"/>
    <x v="67"/>
    <s v="BOM"/>
    <x v="7"/>
    <x v="120"/>
    <n v="147"/>
    <x v="3"/>
    <x v="21"/>
    <x v="3"/>
    <x v="133"/>
    <x v="133"/>
    <x v="133"/>
    <x v="10"/>
    <x v="133"/>
  </r>
  <r>
    <x v="134"/>
    <x v="68"/>
    <s v="CCU"/>
    <x v="5"/>
    <x v="121"/>
    <n v="77"/>
    <x v="2"/>
    <x v="90"/>
    <x v="85"/>
    <x v="134"/>
    <x v="134"/>
    <x v="134"/>
    <x v="11"/>
    <x v="134"/>
  </r>
  <r>
    <x v="135"/>
    <x v="11"/>
    <s v="GOI"/>
    <x v="2"/>
    <x v="13"/>
    <n v="174"/>
    <x v="1"/>
    <x v="91"/>
    <x v="86"/>
    <x v="135"/>
    <x v="135"/>
    <x v="135"/>
    <x v="9"/>
    <x v="135"/>
  </r>
  <r>
    <x v="136"/>
    <x v="6"/>
    <s v="GOI"/>
    <x v="4"/>
    <x v="122"/>
    <n v="160"/>
    <x v="0"/>
    <x v="92"/>
    <x v="54"/>
    <x v="136"/>
    <x v="136"/>
    <x v="136"/>
    <x v="11"/>
    <x v="136"/>
  </r>
  <r>
    <x v="137"/>
    <x v="39"/>
    <s v="DEL"/>
    <x v="1"/>
    <x v="123"/>
    <n v="125"/>
    <x v="2"/>
    <x v="12"/>
    <x v="87"/>
    <x v="137"/>
    <x v="137"/>
    <x v="137"/>
    <x v="11"/>
    <x v="137"/>
  </r>
  <r>
    <x v="138"/>
    <x v="52"/>
    <s v="DEL"/>
    <x v="5"/>
    <x v="16"/>
    <n v="68"/>
    <x v="3"/>
    <x v="93"/>
    <x v="5"/>
    <x v="138"/>
    <x v="138"/>
    <x v="138"/>
    <x v="11"/>
    <x v="138"/>
  </r>
  <r>
    <x v="139"/>
    <x v="23"/>
    <s v="BOM"/>
    <x v="6"/>
    <x v="124"/>
    <n v="129"/>
    <x v="4"/>
    <x v="92"/>
    <x v="88"/>
    <x v="139"/>
    <x v="139"/>
    <x v="139"/>
    <x v="5"/>
    <x v="139"/>
  </r>
  <r>
    <x v="140"/>
    <x v="51"/>
    <s v="JAI"/>
    <x v="2"/>
    <x v="125"/>
    <n v="71"/>
    <x v="1"/>
    <x v="32"/>
    <x v="17"/>
    <x v="140"/>
    <x v="140"/>
    <x v="140"/>
    <x v="6"/>
    <x v="140"/>
  </r>
  <r>
    <x v="141"/>
    <x v="15"/>
    <s v="BLR"/>
    <x v="7"/>
    <x v="126"/>
    <n v="187"/>
    <x v="2"/>
    <x v="87"/>
    <x v="24"/>
    <x v="141"/>
    <x v="141"/>
    <x v="141"/>
    <x v="6"/>
    <x v="141"/>
  </r>
  <r>
    <x v="142"/>
    <x v="31"/>
    <s v="HYD"/>
    <x v="6"/>
    <x v="127"/>
    <n v="202"/>
    <x v="1"/>
    <x v="94"/>
    <x v="89"/>
    <x v="142"/>
    <x v="142"/>
    <x v="142"/>
    <x v="7"/>
    <x v="142"/>
  </r>
  <r>
    <x v="143"/>
    <x v="3"/>
    <s v="MAA"/>
    <x v="1"/>
    <x v="128"/>
    <n v="46"/>
    <x v="0"/>
    <x v="67"/>
    <x v="57"/>
    <x v="143"/>
    <x v="143"/>
    <x v="143"/>
    <x v="6"/>
    <x v="143"/>
  </r>
  <r>
    <x v="144"/>
    <x v="54"/>
    <s v="BOM"/>
    <x v="5"/>
    <x v="129"/>
    <n v="100"/>
    <x v="3"/>
    <x v="95"/>
    <x v="90"/>
    <x v="144"/>
    <x v="144"/>
    <x v="144"/>
    <x v="2"/>
    <x v="144"/>
  </r>
  <r>
    <x v="145"/>
    <x v="3"/>
    <s v="MAA"/>
    <x v="1"/>
    <x v="130"/>
    <n v="197"/>
    <x v="4"/>
    <x v="96"/>
    <x v="49"/>
    <x v="145"/>
    <x v="145"/>
    <x v="145"/>
    <x v="1"/>
    <x v="145"/>
  </r>
  <r>
    <x v="146"/>
    <x v="43"/>
    <s v="DEL"/>
    <x v="9"/>
    <x v="131"/>
    <n v="214"/>
    <x v="3"/>
    <x v="25"/>
    <x v="70"/>
    <x v="146"/>
    <x v="146"/>
    <x v="146"/>
    <x v="11"/>
    <x v="146"/>
  </r>
  <r>
    <x v="147"/>
    <x v="69"/>
    <s v="GOI"/>
    <x v="7"/>
    <x v="92"/>
    <n v="155"/>
    <x v="4"/>
    <x v="97"/>
    <x v="54"/>
    <x v="147"/>
    <x v="147"/>
    <x v="147"/>
    <x v="6"/>
    <x v="147"/>
  </r>
  <r>
    <x v="148"/>
    <x v="38"/>
    <s v="MAA"/>
    <x v="0"/>
    <x v="1"/>
    <n v="146"/>
    <x v="1"/>
    <x v="26"/>
    <x v="1"/>
    <x v="148"/>
    <x v="148"/>
    <x v="148"/>
    <x v="1"/>
    <x v="148"/>
  </r>
  <r>
    <x v="149"/>
    <x v="41"/>
    <s v="AMD"/>
    <x v="9"/>
    <x v="132"/>
    <n v="128"/>
    <x v="4"/>
    <x v="98"/>
    <x v="3"/>
    <x v="149"/>
    <x v="149"/>
    <x v="149"/>
    <x v="4"/>
    <x v="65"/>
  </r>
  <r>
    <x v="150"/>
    <x v="31"/>
    <s v="HYD"/>
    <x v="6"/>
    <x v="133"/>
    <n v="103"/>
    <x v="1"/>
    <x v="8"/>
    <x v="91"/>
    <x v="150"/>
    <x v="150"/>
    <x v="150"/>
    <x v="6"/>
    <x v="149"/>
  </r>
  <r>
    <x v="151"/>
    <x v="48"/>
    <s v="BOM"/>
    <x v="3"/>
    <x v="134"/>
    <n v="162"/>
    <x v="4"/>
    <x v="28"/>
    <x v="77"/>
    <x v="151"/>
    <x v="151"/>
    <x v="151"/>
    <x v="0"/>
    <x v="150"/>
  </r>
  <r>
    <x v="152"/>
    <x v="30"/>
    <s v="HYD"/>
    <x v="2"/>
    <x v="135"/>
    <n v="148"/>
    <x v="4"/>
    <x v="99"/>
    <x v="50"/>
    <x v="152"/>
    <x v="152"/>
    <x v="152"/>
    <x v="9"/>
    <x v="151"/>
  </r>
  <r>
    <x v="153"/>
    <x v="4"/>
    <s v="DEL"/>
    <x v="3"/>
    <x v="136"/>
    <n v="107"/>
    <x v="3"/>
    <x v="68"/>
    <x v="92"/>
    <x v="153"/>
    <x v="118"/>
    <x v="153"/>
    <x v="9"/>
    <x v="152"/>
  </r>
  <r>
    <x v="154"/>
    <x v="3"/>
    <s v="MAA"/>
    <x v="1"/>
    <x v="137"/>
    <n v="130"/>
    <x v="0"/>
    <x v="100"/>
    <x v="20"/>
    <x v="154"/>
    <x v="153"/>
    <x v="154"/>
    <x v="1"/>
    <x v="153"/>
  </r>
  <r>
    <x v="155"/>
    <x v="29"/>
    <s v="BLR"/>
    <x v="1"/>
    <x v="128"/>
    <n v="231"/>
    <x v="0"/>
    <x v="101"/>
    <x v="93"/>
    <x v="155"/>
    <x v="154"/>
    <x v="155"/>
    <x v="6"/>
    <x v="154"/>
  </r>
  <r>
    <x v="156"/>
    <x v="10"/>
    <s v="AMD"/>
    <x v="4"/>
    <x v="138"/>
    <n v="64"/>
    <x v="0"/>
    <x v="102"/>
    <x v="94"/>
    <x v="156"/>
    <x v="155"/>
    <x v="156"/>
    <x v="8"/>
    <x v="155"/>
  </r>
  <r>
    <x v="157"/>
    <x v="42"/>
    <s v="JAI"/>
    <x v="9"/>
    <x v="139"/>
    <n v="125"/>
    <x v="0"/>
    <x v="16"/>
    <x v="89"/>
    <x v="157"/>
    <x v="156"/>
    <x v="157"/>
    <x v="4"/>
    <x v="156"/>
  </r>
  <r>
    <x v="158"/>
    <x v="70"/>
    <s v="MAA"/>
    <x v="9"/>
    <x v="140"/>
    <n v="59"/>
    <x v="2"/>
    <x v="32"/>
    <x v="95"/>
    <x v="158"/>
    <x v="157"/>
    <x v="158"/>
    <x v="1"/>
    <x v="157"/>
  </r>
  <r>
    <x v="159"/>
    <x v="67"/>
    <s v="BOM"/>
    <x v="7"/>
    <x v="141"/>
    <n v="118"/>
    <x v="4"/>
    <x v="23"/>
    <x v="25"/>
    <x v="159"/>
    <x v="158"/>
    <x v="159"/>
    <x v="0"/>
    <x v="158"/>
  </r>
  <r>
    <x v="160"/>
    <x v="26"/>
    <s v="JAI"/>
    <x v="8"/>
    <x v="142"/>
    <n v="160"/>
    <x v="1"/>
    <x v="103"/>
    <x v="48"/>
    <x v="160"/>
    <x v="159"/>
    <x v="160"/>
    <x v="3"/>
    <x v="159"/>
  </r>
  <r>
    <x v="161"/>
    <x v="71"/>
    <s v="BOM"/>
    <x v="8"/>
    <x v="143"/>
    <n v="132"/>
    <x v="4"/>
    <x v="32"/>
    <x v="36"/>
    <x v="161"/>
    <x v="160"/>
    <x v="161"/>
    <x v="9"/>
    <x v="160"/>
  </r>
  <r>
    <x v="162"/>
    <x v="16"/>
    <s v="PNQ"/>
    <x v="6"/>
    <x v="144"/>
    <n v="201"/>
    <x v="0"/>
    <x v="35"/>
    <x v="5"/>
    <x v="162"/>
    <x v="161"/>
    <x v="162"/>
    <x v="2"/>
    <x v="161"/>
  </r>
  <r>
    <x v="163"/>
    <x v="36"/>
    <s v="CCU"/>
    <x v="0"/>
    <x v="145"/>
    <n v="210"/>
    <x v="2"/>
    <x v="10"/>
    <x v="50"/>
    <x v="163"/>
    <x v="162"/>
    <x v="163"/>
    <x v="4"/>
    <x v="162"/>
  </r>
  <r>
    <x v="164"/>
    <x v="70"/>
    <s v="MAA"/>
    <x v="9"/>
    <x v="146"/>
    <n v="199"/>
    <x v="0"/>
    <x v="44"/>
    <x v="96"/>
    <x v="164"/>
    <x v="163"/>
    <x v="164"/>
    <x v="8"/>
    <x v="163"/>
  </r>
  <r>
    <x v="165"/>
    <x v="12"/>
    <s v="HYD"/>
    <x v="5"/>
    <x v="147"/>
    <n v="226"/>
    <x v="4"/>
    <x v="104"/>
    <x v="97"/>
    <x v="165"/>
    <x v="164"/>
    <x v="165"/>
    <x v="7"/>
    <x v="164"/>
  </r>
  <r>
    <x v="166"/>
    <x v="72"/>
    <s v="AMD"/>
    <x v="6"/>
    <x v="148"/>
    <n v="210"/>
    <x v="3"/>
    <x v="9"/>
    <x v="59"/>
    <x v="166"/>
    <x v="165"/>
    <x v="166"/>
    <x v="9"/>
    <x v="165"/>
  </r>
  <r>
    <x v="167"/>
    <x v="73"/>
    <s v="AMD"/>
    <x v="2"/>
    <x v="149"/>
    <n v="169"/>
    <x v="0"/>
    <x v="74"/>
    <x v="89"/>
    <x v="167"/>
    <x v="166"/>
    <x v="167"/>
    <x v="6"/>
    <x v="166"/>
  </r>
  <r>
    <x v="168"/>
    <x v="59"/>
    <s v="DEL"/>
    <x v="6"/>
    <x v="150"/>
    <n v="234"/>
    <x v="1"/>
    <x v="105"/>
    <x v="50"/>
    <x v="168"/>
    <x v="167"/>
    <x v="168"/>
    <x v="5"/>
    <x v="167"/>
  </r>
  <r>
    <x v="169"/>
    <x v="10"/>
    <s v="AMD"/>
    <x v="4"/>
    <x v="151"/>
    <n v="222"/>
    <x v="1"/>
    <x v="24"/>
    <x v="45"/>
    <x v="169"/>
    <x v="168"/>
    <x v="169"/>
    <x v="5"/>
    <x v="168"/>
  </r>
  <r>
    <x v="170"/>
    <x v="74"/>
    <s v="BLR"/>
    <x v="8"/>
    <x v="152"/>
    <n v="117"/>
    <x v="3"/>
    <x v="0"/>
    <x v="12"/>
    <x v="170"/>
    <x v="169"/>
    <x v="170"/>
    <x v="7"/>
    <x v="169"/>
  </r>
  <r>
    <x v="171"/>
    <x v="29"/>
    <s v="BLR"/>
    <x v="1"/>
    <x v="153"/>
    <n v="191"/>
    <x v="3"/>
    <x v="22"/>
    <x v="64"/>
    <x v="171"/>
    <x v="170"/>
    <x v="171"/>
    <x v="8"/>
    <x v="43"/>
  </r>
  <r>
    <x v="172"/>
    <x v="12"/>
    <s v="HYD"/>
    <x v="5"/>
    <x v="41"/>
    <n v="199"/>
    <x v="0"/>
    <x v="84"/>
    <x v="98"/>
    <x v="172"/>
    <x v="171"/>
    <x v="172"/>
    <x v="5"/>
    <x v="170"/>
  </r>
  <r>
    <x v="173"/>
    <x v="59"/>
    <s v="DEL"/>
    <x v="6"/>
    <x v="154"/>
    <n v="117"/>
    <x v="4"/>
    <x v="5"/>
    <x v="16"/>
    <x v="173"/>
    <x v="172"/>
    <x v="173"/>
    <x v="10"/>
    <x v="4"/>
  </r>
  <r>
    <x v="174"/>
    <x v="25"/>
    <s v="HYD"/>
    <x v="7"/>
    <x v="155"/>
    <n v="160"/>
    <x v="2"/>
    <x v="94"/>
    <x v="99"/>
    <x v="174"/>
    <x v="173"/>
    <x v="174"/>
    <x v="1"/>
    <x v="171"/>
  </r>
  <r>
    <x v="175"/>
    <x v="75"/>
    <s v="CCU"/>
    <x v="4"/>
    <x v="156"/>
    <n v="65"/>
    <x v="2"/>
    <x v="74"/>
    <x v="26"/>
    <x v="175"/>
    <x v="174"/>
    <x v="175"/>
    <x v="0"/>
    <x v="172"/>
  </r>
  <r>
    <x v="176"/>
    <x v="68"/>
    <s v="CCU"/>
    <x v="5"/>
    <x v="157"/>
    <n v="54"/>
    <x v="2"/>
    <x v="65"/>
    <x v="55"/>
    <x v="176"/>
    <x v="175"/>
    <x v="176"/>
    <x v="10"/>
    <x v="173"/>
  </r>
  <r>
    <x v="177"/>
    <x v="54"/>
    <s v="BOM"/>
    <x v="5"/>
    <x v="134"/>
    <n v="110"/>
    <x v="0"/>
    <x v="34"/>
    <x v="37"/>
    <x v="177"/>
    <x v="176"/>
    <x v="177"/>
    <x v="0"/>
    <x v="174"/>
  </r>
  <r>
    <x v="178"/>
    <x v="76"/>
    <s v="BLR"/>
    <x v="9"/>
    <x v="158"/>
    <n v="57"/>
    <x v="0"/>
    <x v="95"/>
    <x v="100"/>
    <x v="178"/>
    <x v="177"/>
    <x v="178"/>
    <x v="10"/>
    <x v="175"/>
  </r>
  <r>
    <x v="179"/>
    <x v="26"/>
    <s v="JAI"/>
    <x v="8"/>
    <x v="159"/>
    <n v="206"/>
    <x v="1"/>
    <x v="19"/>
    <x v="101"/>
    <x v="179"/>
    <x v="178"/>
    <x v="179"/>
    <x v="0"/>
    <x v="176"/>
  </r>
  <r>
    <x v="180"/>
    <x v="14"/>
    <s v="BOM"/>
    <x v="1"/>
    <x v="160"/>
    <n v="191"/>
    <x v="3"/>
    <x v="106"/>
    <x v="96"/>
    <x v="180"/>
    <x v="179"/>
    <x v="180"/>
    <x v="7"/>
    <x v="177"/>
  </r>
  <r>
    <x v="181"/>
    <x v="77"/>
    <s v="GOI"/>
    <x v="6"/>
    <x v="161"/>
    <n v="174"/>
    <x v="1"/>
    <x v="54"/>
    <x v="11"/>
    <x v="181"/>
    <x v="180"/>
    <x v="181"/>
    <x v="2"/>
    <x v="178"/>
  </r>
  <r>
    <x v="182"/>
    <x v="37"/>
    <s v="HYD"/>
    <x v="9"/>
    <x v="162"/>
    <n v="236"/>
    <x v="4"/>
    <x v="85"/>
    <x v="102"/>
    <x v="182"/>
    <x v="181"/>
    <x v="182"/>
    <x v="7"/>
    <x v="179"/>
  </r>
  <r>
    <x v="183"/>
    <x v="39"/>
    <s v="DEL"/>
    <x v="1"/>
    <x v="163"/>
    <n v="56"/>
    <x v="2"/>
    <x v="76"/>
    <x v="54"/>
    <x v="183"/>
    <x v="182"/>
    <x v="183"/>
    <x v="10"/>
    <x v="180"/>
  </r>
  <r>
    <x v="184"/>
    <x v="8"/>
    <s v="PNQ"/>
    <x v="5"/>
    <x v="164"/>
    <n v="61"/>
    <x v="3"/>
    <x v="105"/>
    <x v="95"/>
    <x v="184"/>
    <x v="183"/>
    <x v="184"/>
    <x v="10"/>
    <x v="181"/>
  </r>
  <r>
    <x v="185"/>
    <x v="14"/>
    <s v="BOM"/>
    <x v="1"/>
    <x v="165"/>
    <n v="176"/>
    <x v="3"/>
    <x v="76"/>
    <x v="21"/>
    <x v="185"/>
    <x v="184"/>
    <x v="185"/>
    <x v="8"/>
    <x v="182"/>
  </r>
  <r>
    <x v="186"/>
    <x v="76"/>
    <s v="BLR"/>
    <x v="9"/>
    <x v="166"/>
    <n v="57"/>
    <x v="2"/>
    <x v="107"/>
    <x v="22"/>
    <x v="186"/>
    <x v="185"/>
    <x v="186"/>
    <x v="0"/>
    <x v="183"/>
  </r>
  <r>
    <x v="187"/>
    <x v="78"/>
    <s v="PNQ"/>
    <x v="1"/>
    <x v="167"/>
    <n v="92"/>
    <x v="3"/>
    <x v="72"/>
    <x v="103"/>
    <x v="187"/>
    <x v="186"/>
    <x v="187"/>
    <x v="6"/>
    <x v="184"/>
  </r>
  <r>
    <x v="188"/>
    <x v="25"/>
    <s v="HYD"/>
    <x v="7"/>
    <x v="122"/>
    <n v="199"/>
    <x v="0"/>
    <x v="76"/>
    <x v="73"/>
    <x v="188"/>
    <x v="187"/>
    <x v="188"/>
    <x v="11"/>
    <x v="185"/>
  </r>
  <r>
    <x v="189"/>
    <x v="2"/>
    <s v="CCU"/>
    <x v="2"/>
    <x v="71"/>
    <n v="159"/>
    <x v="1"/>
    <x v="108"/>
    <x v="104"/>
    <x v="189"/>
    <x v="188"/>
    <x v="189"/>
    <x v="8"/>
    <x v="186"/>
  </r>
  <r>
    <x v="190"/>
    <x v="14"/>
    <s v="BOM"/>
    <x v="1"/>
    <x v="168"/>
    <n v="156"/>
    <x v="2"/>
    <x v="26"/>
    <x v="7"/>
    <x v="190"/>
    <x v="189"/>
    <x v="190"/>
    <x v="7"/>
    <x v="187"/>
  </r>
  <r>
    <x v="191"/>
    <x v="24"/>
    <s v="AMD"/>
    <x v="0"/>
    <x v="169"/>
    <n v="200"/>
    <x v="3"/>
    <x v="89"/>
    <x v="105"/>
    <x v="191"/>
    <x v="190"/>
    <x v="191"/>
    <x v="10"/>
    <x v="188"/>
  </r>
  <r>
    <x v="192"/>
    <x v="60"/>
    <s v="CCU"/>
    <x v="1"/>
    <x v="90"/>
    <n v="190"/>
    <x v="4"/>
    <x v="36"/>
    <x v="106"/>
    <x v="192"/>
    <x v="191"/>
    <x v="192"/>
    <x v="0"/>
    <x v="189"/>
  </r>
  <r>
    <x v="193"/>
    <x v="5"/>
    <s v="DEL"/>
    <x v="4"/>
    <x v="170"/>
    <n v="138"/>
    <x v="3"/>
    <x v="28"/>
    <x v="8"/>
    <x v="193"/>
    <x v="192"/>
    <x v="193"/>
    <x v="2"/>
    <x v="190"/>
  </r>
  <r>
    <x v="194"/>
    <x v="33"/>
    <s v="BOM"/>
    <x v="4"/>
    <x v="171"/>
    <n v="177"/>
    <x v="3"/>
    <x v="8"/>
    <x v="28"/>
    <x v="194"/>
    <x v="193"/>
    <x v="194"/>
    <x v="10"/>
    <x v="191"/>
  </r>
  <r>
    <x v="195"/>
    <x v="76"/>
    <s v="BLR"/>
    <x v="9"/>
    <x v="172"/>
    <n v="170"/>
    <x v="0"/>
    <x v="73"/>
    <x v="105"/>
    <x v="195"/>
    <x v="194"/>
    <x v="195"/>
    <x v="6"/>
    <x v="192"/>
  </r>
  <r>
    <x v="196"/>
    <x v="62"/>
    <s v="PNQ"/>
    <x v="7"/>
    <x v="173"/>
    <n v="126"/>
    <x v="2"/>
    <x v="10"/>
    <x v="55"/>
    <x v="196"/>
    <x v="195"/>
    <x v="196"/>
    <x v="8"/>
    <x v="193"/>
  </r>
  <r>
    <x v="197"/>
    <x v="10"/>
    <s v="AMD"/>
    <x v="4"/>
    <x v="10"/>
    <n v="175"/>
    <x v="0"/>
    <x v="73"/>
    <x v="38"/>
    <x v="197"/>
    <x v="196"/>
    <x v="197"/>
    <x v="0"/>
    <x v="194"/>
  </r>
  <r>
    <x v="198"/>
    <x v="14"/>
    <s v="BOM"/>
    <x v="1"/>
    <x v="174"/>
    <n v="191"/>
    <x v="2"/>
    <x v="83"/>
    <x v="107"/>
    <x v="198"/>
    <x v="197"/>
    <x v="198"/>
    <x v="5"/>
    <x v="195"/>
  </r>
  <r>
    <x v="199"/>
    <x v="43"/>
    <s v="DEL"/>
    <x v="9"/>
    <x v="175"/>
    <n v="228"/>
    <x v="3"/>
    <x v="109"/>
    <x v="35"/>
    <x v="199"/>
    <x v="198"/>
    <x v="199"/>
    <x v="3"/>
    <x v="196"/>
  </r>
  <r>
    <x v="200"/>
    <x v="79"/>
    <s v="AMD"/>
    <x v="1"/>
    <x v="176"/>
    <n v="63"/>
    <x v="3"/>
    <x v="83"/>
    <x v="18"/>
    <x v="200"/>
    <x v="199"/>
    <x v="200"/>
    <x v="4"/>
    <x v="197"/>
  </r>
  <r>
    <x v="201"/>
    <x v="80"/>
    <s v="JAI"/>
    <x v="5"/>
    <x v="177"/>
    <n v="155"/>
    <x v="1"/>
    <x v="26"/>
    <x v="108"/>
    <x v="201"/>
    <x v="200"/>
    <x v="201"/>
    <x v="10"/>
    <x v="198"/>
  </r>
  <r>
    <x v="202"/>
    <x v="10"/>
    <s v="AMD"/>
    <x v="4"/>
    <x v="178"/>
    <n v="226"/>
    <x v="0"/>
    <x v="61"/>
    <x v="109"/>
    <x v="202"/>
    <x v="201"/>
    <x v="202"/>
    <x v="8"/>
    <x v="199"/>
  </r>
  <r>
    <x v="203"/>
    <x v="19"/>
    <s v="BLR"/>
    <x v="6"/>
    <x v="104"/>
    <n v="77"/>
    <x v="2"/>
    <x v="79"/>
    <x v="61"/>
    <x v="203"/>
    <x v="202"/>
    <x v="203"/>
    <x v="4"/>
    <x v="200"/>
  </r>
  <r>
    <x v="204"/>
    <x v="80"/>
    <s v="JAI"/>
    <x v="5"/>
    <x v="179"/>
    <n v="213"/>
    <x v="1"/>
    <x v="110"/>
    <x v="81"/>
    <x v="204"/>
    <x v="203"/>
    <x v="204"/>
    <x v="2"/>
    <x v="201"/>
  </r>
  <r>
    <x v="205"/>
    <x v="20"/>
    <s v="DEL"/>
    <x v="0"/>
    <x v="180"/>
    <n v="192"/>
    <x v="2"/>
    <x v="111"/>
    <x v="77"/>
    <x v="205"/>
    <x v="204"/>
    <x v="205"/>
    <x v="4"/>
    <x v="202"/>
  </r>
  <r>
    <x v="206"/>
    <x v="71"/>
    <s v="BOM"/>
    <x v="8"/>
    <x v="139"/>
    <n v="184"/>
    <x v="2"/>
    <x v="43"/>
    <x v="101"/>
    <x v="206"/>
    <x v="205"/>
    <x v="206"/>
    <x v="4"/>
    <x v="203"/>
  </r>
  <r>
    <x v="207"/>
    <x v="27"/>
    <s v="MAA"/>
    <x v="8"/>
    <x v="181"/>
    <n v="221"/>
    <x v="4"/>
    <x v="64"/>
    <x v="45"/>
    <x v="207"/>
    <x v="206"/>
    <x v="207"/>
    <x v="11"/>
    <x v="204"/>
  </r>
  <r>
    <x v="208"/>
    <x v="29"/>
    <s v="BLR"/>
    <x v="1"/>
    <x v="182"/>
    <n v="81"/>
    <x v="2"/>
    <x v="77"/>
    <x v="78"/>
    <x v="208"/>
    <x v="207"/>
    <x v="208"/>
    <x v="7"/>
    <x v="205"/>
  </r>
  <r>
    <x v="209"/>
    <x v="58"/>
    <s v="CCU"/>
    <x v="6"/>
    <x v="124"/>
    <n v="72"/>
    <x v="2"/>
    <x v="82"/>
    <x v="6"/>
    <x v="209"/>
    <x v="208"/>
    <x v="209"/>
    <x v="5"/>
    <x v="206"/>
  </r>
  <r>
    <x v="210"/>
    <x v="65"/>
    <s v="BLR"/>
    <x v="5"/>
    <x v="22"/>
    <n v="57"/>
    <x v="2"/>
    <x v="112"/>
    <x v="81"/>
    <x v="210"/>
    <x v="209"/>
    <x v="210"/>
    <x v="9"/>
    <x v="207"/>
  </r>
  <r>
    <x v="211"/>
    <x v="42"/>
    <s v="JAI"/>
    <x v="9"/>
    <x v="183"/>
    <n v="240"/>
    <x v="0"/>
    <x v="72"/>
    <x v="110"/>
    <x v="211"/>
    <x v="210"/>
    <x v="211"/>
    <x v="5"/>
    <x v="208"/>
  </r>
  <r>
    <x v="212"/>
    <x v="47"/>
    <s v="PNQ"/>
    <x v="0"/>
    <x v="184"/>
    <n v="145"/>
    <x v="1"/>
    <x v="113"/>
    <x v="101"/>
    <x v="212"/>
    <x v="211"/>
    <x v="212"/>
    <x v="9"/>
    <x v="209"/>
  </r>
  <r>
    <x v="213"/>
    <x v="67"/>
    <s v="BOM"/>
    <x v="7"/>
    <x v="185"/>
    <n v="171"/>
    <x v="1"/>
    <x v="65"/>
    <x v="77"/>
    <x v="213"/>
    <x v="212"/>
    <x v="213"/>
    <x v="4"/>
    <x v="210"/>
  </r>
  <r>
    <x v="214"/>
    <x v="12"/>
    <s v="HYD"/>
    <x v="5"/>
    <x v="34"/>
    <n v="231"/>
    <x v="2"/>
    <x v="114"/>
    <x v="78"/>
    <x v="214"/>
    <x v="213"/>
    <x v="214"/>
    <x v="7"/>
    <x v="211"/>
  </r>
  <r>
    <x v="215"/>
    <x v="26"/>
    <s v="JAI"/>
    <x v="8"/>
    <x v="186"/>
    <n v="137"/>
    <x v="1"/>
    <x v="80"/>
    <x v="49"/>
    <x v="215"/>
    <x v="214"/>
    <x v="215"/>
    <x v="5"/>
    <x v="212"/>
  </r>
  <r>
    <x v="216"/>
    <x v="11"/>
    <s v="GOI"/>
    <x v="2"/>
    <x v="46"/>
    <n v="219"/>
    <x v="1"/>
    <x v="57"/>
    <x v="105"/>
    <x v="216"/>
    <x v="215"/>
    <x v="216"/>
    <x v="4"/>
    <x v="213"/>
  </r>
  <r>
    <x v="217"/>
    <x v="58"/>
    <s v="CCU"/>
    <x v="6"/>
    <x v="108"/>
    <n v="238"/>
    <x v="0"/>
    <x v="115"/>
    <x v="111"/>
    <x v="217"/>
    <x v="216"/>
    <x v="217"/>
    <x v="0"/>
    <x v="214"/>
  </r>
  <r>
    <x v="218"/>
    <x v="67"/>
    <s v="BOM"/>
    <x v="7"/>
    <x v="187"/>
    <n v="80"/>
    <x v="2"/>
    <x v="47"/>
    <x v="18"/>
    <x v="218"/>
    <x v="217"/>
    <x v="218"/>
    <x v="3"/>
    <x v="215"/>
  </r>
  <r>
    <x v="219"/>
    <x v="50"/>
    <s v="GOI"/>
    <x v="5"/>
    <x v="109"/>
    <n v="201"/>
    <x v="2"/>
    <x v="5"/>
    <x v="51"/>
    <x v="219"/>
    <x v="218"/>
    <x v="219"/>
    <x v="6"/>
    <x v="216"/>
  </r>
  <r>
    <x v="220"/>
    <x v="77"/>
    <s v="GOI"/>
    <x v="6"/>
    <x v="188"/>
    <n v="170"/>
    <x v="1"/>
    <x v="41"/>
    <x v="42"/>
    <x v="220"/>
    <x v="219"/>
    <x v="220"/>
    <x v="2"/>
    <x v="217"/>
  </r>
  <r>
    <x v="221"/>
    <x v="4"/>
    <s v="DEL"/>
    <x v="3"/>
    <x v="189"/>
    <n v="123"/>
    <x v="4"/>
    <x v="47"/>
    <x v="37"/>
    <x v="221"/>
    <x v="220"/>
    <x v="221"/>
    <x v="1"/>
    <x v="218"/>
  </r>
  <r>
    <x v="222"/>
    <x v="71"/>
    <s v="BOM"/>
    <x v="8"/>
    <x v="190"/>
    <n v="179"/>
    <x v="1"/>
    <x v="58"/>
    <x v="112"/>
    <x v="222"/>
    <x v="221"/>
    <x v="222"/>
    <x v="2"/>
    <x v="219"/>
  </r>
  <r>
    <x v="223"/>
    <x v="7"/>
    <s v="DEL"/>
    <x v="2"/>
    <x v="134"/>
    <n v="157"/>
    <x v="2"/>
    <x v="95"/>
    <x v="27"/>
    <x v="223"/>
    <x v="222"/>
    <x v="223"/>
    <x v="0"/>
    <x v="220"/>
  </r>
  <r>
    <x v="224"/>
    <x v="31"/>
    <s v="HYD"/>
    <x v="6"/>
    <x v="191"/>
    <n v="165"/>
    <x v="4"/>
    <x v="49"/>
    <x v="99"/>
    <x v="224"/>
    <x v="223"/>
    <x v="224"/>
    <x v="7"/>
    <x v="221"/>
  </r>
  <r>
    <x v="225"/>
    <x v="16"/>
    <s v="PNQ"/>
    <x v="6"/>
    <x v="192"/>
    <n v="125"/>
    <x v="0"/>
    <x v="113"/>
    <x v="113"/>
    <x v="225"/>
    <x v="224"/>
    <x v="225"/>
    <x v="0"/>
    <x v="222"/>
  </r>
  <r>
    <x v="226"/>
    <x v="27"/>
    <s v="MAA"/>
    <x v="8"/>
    <x v="72"/>
    <n v="108"/>
    <x v="2"/>
    <x v="63"/>
    <x v="114"/>
    <x v="226"/>
    <x v="159"/>
    <x v="226"/>
    <x v="5"/>
    <x v="223"/>
  </r>
  <r>
    <x v="227"/>
    <x v="74"/>
    <s v="BLR"/>
    <x v="8"/>
    <x v="193"/>
    <n v="167"/>
    <x v="2"/>
    <x v="8"/>
    <x v="115"/>
    <x v="227"/>
    <x v="225"/>
    <x v="227"/>
    <x v="8"/>
    <x v="224"/>
  </r>
  <r>
    <x v="228"/>
    <x v="1"/>
    <s v="GOI"/>
    <x v="1"/>
    <x v="194"/>
    <n v="133"/>
    <x v="0"/>
    <x v="116"/>
    <x v="2"/>
    <x v="228"/>
    <x v="226"/>
    <x v="228"/>
    <x v="3"/>
    <x v="225"/>
  </r>
  <r>
    <x v="229"/>
    <x v="22"/>
    <s v="PNQ"/>
    <x v="2"/>
    <x v="120"/>
    <n v="99"/>
    <x v="0"/>
    <x v="3"/>
    <x v="116"/>
    <x v="229"/>
    <x v="227"/>
    <x v="229"/>
    <x v="10"/>
    <x v="226"/>
  </r>
  <r>
    <x v="230"/>
    <x v="81"/>
    <s v="AMD"/>
    <x v="7"/>
    <x v="112"/>
    <n v="234"/>
    <x v="1"/>
    <x v="82"/>
    <x v="3"/>
    <x v="230"/>
    <x v="228"/>
    <x v="230"/>
    <x v="7"/>
    <x v="227"/>
  </r>
  <r>
    <x v="231"/>
    <x v="44"/>
    <s v="BLR"/>
    <x v="2"/>
    <x v="195"/>
    <n v="70"/>
    <x v="3"/>
    <x v="117"/>
    <x v="117"/>
    <x v="231"/>
    <x v="229"/>
    <x v="231"/>
    <x v="3"/>
    <x v="228"/>
  </r>
  <r>
    <x v="232"/>
    <x v="23"/>
    <s v="BOM"/>
    <x v="6"/>
    <x v="196"/>
    <n v="149"/>
    <x v="3"/>
    <x v="118"/>
    <x v="57"/>
    <x v="232"/>
    <x v="230"/>
    <x v="232"/>
    <x v="2"/>
    <x v="229"/>
  </r>
  <r>
    <x v="233"/>
    <x v="54"/>
    <s v="BOM"/>
    <x v="5"/>
    <x v="25"/>
    <n v="191"/>
    <x v="0"/>
    <x v="79"/>
    <x v="49"/>
    <x v="233"/>
    <x v="231"/>
    <x v="233"/>
    <x v="4"/>
    <x v="230"/>
  </r>
  <r>
    <x v="234"/>
    <x v="48"/>
    <s v="BOM"/>
    <x v="3"/>
    <x v="94"/>
    <n v="92"/>
    <x v="2"/>
    <x v="105"/>
    <x v="1"/>
    <x v="234"/>
    <x v="232"/>
    <x v="234"/>
    <x v="10"/>
    <x v="231"/>
  </r>
  <r>
    <x v="235"/>
    <x v="39"/>
    <s v="DEL"/>
    <x v="1"/>
    <x v="197"/>
    <n v="161"/>
    <x v="1"/>
    <x v="109"/>
    <x v="10"/>
    <x v="235"/>
    <x v="233"/>
    <x v="235"/>
    <x v="4"/>
    <x v="232"/>
  </r>
  <r>
    <x v="236"/>
    <x v="64"/>
    <s v="MAA"/>
    <x v="4"/>
    <x v="198"/>
    <n v="129"/>
    <x v="0"/>
    <x v="113"/>
    <x v="40"/>
    <x v="236"/>
    <x v="234"/>
    <x v="236"/>
    <x v="9"/>
    <x v="233"/>
  </r>
  <r>
    <x v="237"/>
    <x v="64"/>
    <s v="MAA"/>
    <x v="4"/>
    <x v="106"/>
    <n v="201"/>
    <x v="3"/>
    <x v="108"/>
    <x v="110"/>
    <x v="237"/>
    <x v="235"/>
    <x v="237"/>
    <x v="2"/>
    <x v="234"/>
  </r>
  <r>
    <x v="238"/>
    <x v="5"/>
    <s v="DEL"/>
    <x v="4"/>
    <x v="110"/>
    <n v="167"/>
    <x v="2"/>
    <x v="119"/>
    <x v="1"/>
    <x v="238"/>
    <x v="236"/>
    <x v="238"/>
    <x v="10"/>
    <x v="235"/>
  </r>
  <r>
    <x v="239"/>
    <x v="22"/>
    <s v="PNQ"/>
    <x v="2"/>
    <x v="199"/>
    <n v="122"/>
    <x v="1"/>
    <x v="120"/>
    <x v="30"/>
    <x v="239"/>
    <x v="237"/>
    <x v="239"/>
    <x v="6"/>
    <x v="236"/>
  </r>
  <r>
    <x v="240"/>
    <x v="82"/>
    <s v="BLR"/>
    <x v="0"/>
    <x v="200"/>
    <n v="75"/>
    <x v="3"/>
    <x v="38"/>
    <x v="34"/>
    <x v="240"/>
    <x v="238"/>
    <x v="240"/>
    <x v="8"/>
    <x v="237"/>
  </r>
  <r>
    <x v="241"/>
    <x v="83"/>
    <s v="MAA"/>
    <x v="7"/>
    <x v="201"/>
    <n v="120"/>
    <x v="2"/>
    <x v="51"/>
    <x v="118"/>
    <x v="241"/>
    <x v="239"/>
    <x v="241"/>
    <x v="4"/>
    <x v="238"/>
  </r>
  <r>
    <x v="242"/>
    <x v="61"/>
    <s v="PNQ"/>
    <x v="9"/>
    <x v="202"/>
    <n v="224"/>
    <x v="1"/>
    <x v="65"/>
    <x v="9"/>
    <x v="242"/>
    <x v="240"/>
    <x v="242"/>
    <x v="11"/>
    <x v="239"/>
  </r>
  <r>
    <x v="243"/>
    <x v="59"/>
    <s v="DEL"/>
    <x v="6"/>
    <x v="203"/>
    <n v="180"/>
    <x v="2"/>
    <x v="100"/>
    <x v="39"/>
    <x v="243"/>
    <x v="241"/>
    <x v="243"/>
    <x v="9"/>
    <x v="240"/>
  </r>
  <r>
    <x v="244"/>
    <x v="6"/>
    <s v="GOI"/>
    <x v="4"/>
    <x v="204"/>
    <n v="182"/>
    <x v="0"/>
    <x v="24"/>
    <x v="48"/>
    <x v="244"/>
    <x v="242"/>
    <x v="244"/>
    <x v="1"/>
    <x v="241"/>
  </r>
  <r>
    <x v="245"/>
    <x v="74"/>
    <s v="BLR"/>
    <x v="8"/>
    <x v="205"/>
    <n v="175"/>
    <x v="3"/>
    <x v="26"/>
    <x v="29"/>
    <x v="245"/>
    <x v="243"/>
    <x v="245"/>
    <x v="9"/>
    <x v="242"/>
  </r>
  <r>
    <x v="246"/>
    <x v="47"/>
    <s v="PNQ"/>
    <x v="0"/>
    <x v="206"/>
    <n v="163"/>
    <x v="2"/>
    <x v="54"/>
    <x v="86"/>
    <x v="246"/>
    <x v="244"/>
    <x v="246"/>
    <x v="5"/>
    <x v="243"/>
  </r>
  <r>
    <x v="247"/>
    <x v="66"/>
    <s v="JAI"/>
    <x v="7"/>
    <x v="207"/>
    <n v="153"/>
    <x v="2"/>
    <x v="10"/>
    <x v="16"/>
    <x v="247"/>
    <x v="245"/>
    <x v="247"/>
    <x v="3"/>
    <x v="244"/>
  </r>
  <r>
    <x v="248"/>
    <x v="63"/>
    <s v="BOM"/>
    <x v="9"/>
    <x v="78"/>
    <n v="91"/>
    <x v="0"/>
    <x v="95"/>
    <x v="75"/>
    <x v="248"/>
    <x v="246"/>
    <x v="248"/>
    <x v="3"/>
    <x v="245"/>
  </r>
  <r>
    <x v="249"/>
    <x v="25"/>
    <s v="HYD"/>
    <x v="7"/>
    <x v="208"/>
    <n v="214"/>
    <x v="1"/>
    <x v="121"/>
    <x v="36"/>
    <x v="249"/>
    <x v="247"/>
    <x v="249"/>
    <x v="6"/>
    <x v="125"/>
  </r>
  <r>
    <x v="250"/>
    <x v="31"/>
    <s v="HYD"/>
    <x v="6"/>
    <x v="38"/>
    <n v="231"/>
    <x v="0"/>
    <x v="71"/>
    <x v="11"/>
    <x v="250"/>
    <x v="248"/>
    <x v="250"/>
    <x v="10"/>
    <x v="246"/>
  </r>
  <r>
    <x v="251"/>
    <x v="1"/>
    <s v="GOI"/>
    <x v="1"/>
    <x v="209"/>
    <n v="142"/>
    <x v="0"/>
    <x v="119"/>
    <x v="19"/>
    <x v="251"/>
    <x v="249"/>
    <x v="251"/>
    <x v="2"/>
    <x v="247"/>
  </r>
  <r>
    <x v="252"/>
    <x v="15"/>
    <s v="BLR"/>
    <x v="7"/>
    <x v="210"/>
    <n v="214"/>
    <x v="3"/>
    <x v="53"/>
    <x v="22"/>
    <x v="252"/>
    <x v="250"/>
    <x v="252"/>
    <x v="3"/>
    <x v="248"/>
  </r>
  <r>
    <x v="253"/>
    <x v="84"/>
    <s v="JAI"/>
    <x v="0"/>
    <x v="203"/>
    <n v="198"/>
    <x v="4"/>
    <x v="45"/>
    <x v="2"/>
    <x v="253"/>
    <x v="251"/>
    <x v="253"/>
    <x v="9"/>
    <x v="249"/>
  </r>
  <r>
    <x v="254"/>
    <x v="6"/>
    <s v="GOI"/>
    <x v="4"/>
    <x v="211"/>
    <n v="80"/>
    <x v="1"/>
    <x v="116"/>
    <x v="29"/>
    <x v="254"/>
    <x v="252"/>
    <x v="254"/>
    <x v="3"/>
    <x v="250"/>
  </r>
  <r>
    <x v="255"/>
    <x v="42"/>
    <s v="JAI"/>
    <x v="9"/>
    <x v="103"/>
    <n v="122"/>
    <x v="0"/>
    <x v="40"/>
    <x v="45"/>
    <x v="255"/>
    <x v="253"/>
    <x v="255"/>
    <x v="1"/>
    <x v="251"/>
  </r>
  <r>
    <x v="256"/>
    <x v="23"/>
    <s v="BOM"/>
    <x v="6"/>
    <x v="140"/>
    <n v="233"/>
    <x v="0"/>
    <x v="108"/>
    <x v="10"/>
    <x v="256"/>
    <x v="254"/>
    <x v="256"/>
    <x v="1"/>
    <x v="252"/>
  </r>
  <r>
    <x v="257"/>
    <x v="31"/>
    <s v="HYD"/>
    <x v="6"/>
    <x v="212"/>
    <n v="223"/>
    <x v="3"/>
    <x v="78"/>
    <x v="27"/>
    <x v="257"/>
    <x v="255"/>
    <x v="257"/>
    <x v="8"/>
    <x v="253"/>
  </r>
  <r>
    <x v="258"/>
    <x v="53"/>
    <s v="GOI"/>
    <x v="3"/>
    <x v="160"/>
    <n v="102"/>
    <x v="2"/>
    <x v="67"/>
    <x v="6"/>
    <x v="258"/>
    <x v="256"/>
    <x v="258"/>
    <x v="7"/>
    <x v="254"/>
  </r>
  <r>
    <x v="259"/>
    <x v="31"/>
    <s v="HYD"/>
    <x v="6"/>
    <x v="170"/>
    <n v="79"/>
    <x v="3"/>
    <x v="45"/>
    <x v="20"/>
    <x v="259"/>
    <x v="257"/>
    <x v="259"/>
    <x v="2"/>
    <x v="109"/>
  </r>
  <r>
    <x v="260"/>
    <x v="55"/>
    <s v="DEL"/>
    <x v="8"/>
    <x v="213"/>
    <n v="68"/>
    <x v="1"/>
    <x v="103"/>
    <x v="98"/>
    <x v="260"/>
    <x v="258"/>
    <x v="260"/>
    <x v="0"/>
    <x v="255"/>
  </r>
  <r>
    <x v="261"/>
    <x v="84"/>
    <s v="JAI"/>
    <x v="0"/>
    <x v="181"/>
    <n v="93"/>
    <x v="1"/>
    <x v="8"/>
    <x v="53"/>
    <x v="261"/>
    <x v="259"/>
    <x v="261"/>
    <x v="11"/>
    <x v="256"/>
  </r>
  <r>
    <x v="262"/>
    <x v="38"/>
    <s v="MAA"/>
    <x v="0"/>
    <x v="214"/>
    <n v="93"/>
    <x v="4"/>
    <x v="118"/>
    <x v="43"/>
    <x v="262"/>
    <x v="260"/>
    <x v="262"/>
    <x v="1"/>
    <x v="257"/>
  </r>
  <r>
    <x v="263"/>
    <x v="85"/>
    <s v="GOI"/>
    <x v="9"/>
    <x v="215"/>
    <n v="142"/>
    <x v="3"/>
    <x v="79"/>
    <x v="119"/>
    <x v="263"/>
    <x v="261"/>
    <x v="263"/>
    <x v="4"/>
    <x v="65"/>
  </r>
  <r>
    <x v="264"/>
    <x v="58"/>
    <s v="CCU"/>
    <x v="6"/>
    <x v="216"/>
    <n v="164"/>
    <x v="4"/>
    <x v="65"/>
    <x v="120"/>
    <x v="264"/>
    <x v="262"/>
    <x v="264"/>
    <x v="10"/>
    <x v="258"/>
  </r>
  <r>
    <x v="265"/>
    <x v="0"/>
    <s v="HYD"/>
    <x v="0"/>
    <x v="217"/>
    <n v="101"/>
    <x v="0"/>
    <x v="53"/>
    <x v="79"/>
    <x v="265"/>
    <x v="263"/>
    <x v="265"/>
    <x v="5"/>
    <x v="85"/>
  </r>
  <r>
    <x v="266"/>
    <x v="30"/>
    <s v="HYD"/>
    <x v="2"/>
    <x v="218"/>
    <n v="95"/>
    <x v="2"/>
    <x v="6"/>
    <x v="24"/>
    <x v="266"/>
    <x v="264"/>
    <x v="266"/>
    <x v="2"/>
    <x v="259"/>
  </r>
  <r>
    <x v="267"/>
    <x v="85"/>
    <s v="GOI"/>
    <x v="9"/>
    <x v="219"/>
    <n v="240"/>
    <x v="3"/>
    <x v="60"/>
    <x v="100"/>
    <x v="267"/>
    <x v="265"/>
    <x v="267"/>
    <x v="7"/>
    <x v="260"/>
  </r>
  <r>
    <x v="268"/>
    <x v="72"/>
    <s v="AMD"/>
    <x v="6"/>
    <x v="15"/>
    <n v="92"/>
    <x v="1"/>
    <x v="122"/>
    <x v="32"/>
    <x v="268"/>
    <x v="266"/>
    <x v="268"/>
    <x v="10"/>
    <x v="261"/>
  </r>
  <r>
    <x v="269"/>
    <x v="48"/>
    <s v="BOM"/>
    <x v="3"/>
    <x v="157"/>
    <n v="206"/>
    <x v="0"/>
    <x v="14"/>
    <x v="13"/>
    <x v="269"/>
    <x v="267"/>
    <x v="269"/>
    <x v="10"/>
    <x v="262"/>
  </r>
  <r>
    <x v="270"/>
    <x v="53"/>
    <s v="GOI"/>
    <x v="3"/>
    <x v="220"/>
    <n v="60"/>
    <x v="1"/>
    <x v="123"/>
    <x v="121"/>
    <x v="270"/>
    <x v="268"/>
    <x v="270"/>
    <x v="0"/>
    <x v="263"/>
  </r>
  <r>
    <x v="271"/>
    <x v="1"/>
    <s v="GOI"/>
    <x v="1"/>
    <x v="221"/>
    <n v="49"/>
    <x v="1"/>
    <x v="48"/>
    <x v="12"/>
    <x v="271"/>
    <x v="269"/>
    <x v="271"/>
    <x v="0"/>
    <x v="264"/>
  </r>
  <r>
    <x v="272"/>
    <x v="12"/>
    <s v="HYD"/>
    <x v="5"/>
    <x v="222"/>
    <n v="69"/>
    <x v="1"/>
    <x v="34"/>
    <x v="28"/>
    <x v="272"/>
    <x v="270"/>
    <x v="272"/>
    <x v="9"/>
    <x v="265"/>
  </r>
  <r>
    <x v="273"/>
    <x v="3"/>
    <s v="MAA"/>
    <x v="1"/>
    <x v="91"/>
    <n v="146"/>
    <x v="4"/>
    <x v="12"/>
    <x v="87"/>
    <x v="273"/>
    <x v="271"/>
    <x v="273"/>
    <x v="4"/>
    <x v="137"/>
  </r>
  <r>
    <x v="274"/>
    <x v="44"/>
    <s v="BLR"/>
    <x v="2"/>
    <x v="223"/>
    <n v="220"/>
    <x v="4"/>
    <x v="89"/>
    <x v="2"/>
    <x v="274"/>
    <x v="272"/>
    <x v="274"/>
    <x v="8"/>
    <x v="266"/>
  </r>
  <r>
    <x v="275"/>
    <x v="53"/>
    <s v="GOI"/>
    <x v="3"/>
    <x v="211"/>
    <n v="208"/>
    <x v="4"/>
    <x v="124"/>
    <x v="96"/>
    <x v="275"/>
    <x v="273"/>
    <x v="275"/>
    <x v="3"/>
    <x v="267"/>
  </r>
  <r>
    <x v="276"/>
    <x v="86"/>
    <s v="CCU"/>
    <x v="7"/>
    <x v="224"/>
    <n v="55"/>
    <x v="0"/>
    <x v="7"/>
    <x v="64"/>
    <x v="276"/>
    <x v="274"/>
    <x v="276"/>
    <x v="2"/>
    <x v="268"/>
  </r>
  <r>
    <x v="277"/>
    <x v="43"/>
    <s v="DEL"/>
    <x v="9"/>
    <x v="225"/>
    <n v="189"/>
    <x v="4"/>
    <x v="62"/>
    <x v="60"/>
    <x v="277"/>
    <x v="275"/>
    <x v="277"/>
    <x v="5"/>
    <x v="269"/>
  </r>
  <r>
    <x v="278"/>
    <x v="32"/>
    <s v="AMD"/>
    <x v="3"/>
    <x v="226"/>
    <n v="121"/>
    <x v="0"/>
    <x v="125"/>
    <x v="101"/>
    <x v="278"/>
    <x v="276"/>
    <x v="278"/>
    <x v="11"/>
    <x v="270"/>
  </r>
  <r>
    <x v="279"/>
    <x v="40"/>
    <s v="CCU"/>
    <x v="3"/>
    <x v="110"/>
    <n v="221"/>
    <x v="4"/>
    <x v="11"/>
    <x v="122"/>
    <x v="279"/>
    <x v="277"/>
    <x v="279"/>
    <x v="10"/>
    <x v="271"/>
  </r>
  <r>
    <x v="280"/>
    <x v="15"/>
    <s v="BLR"/>
    <x v="7"/>
    <x v="227"/>
    <n v="199"/>
    <x v="1"/>
    <x v="56"/>
    <x v="8"/>
    <x v="280"/>
    <x v="278"/>
    <x v="280"/>
    <x v="6"/>
    <x v="272"/>
  </r>
  <r>
    <x v="281"/>
    <x v="21"/>
    <s v="PNQ"/>
    <x v="8"/>
    <x v="228"/>
    <n v="136"/>
    <x v="1"/>
    <x v="126"/>
    <x v="53"/>
    <x v="281"/>
    <x v="279"/>
    <x v="281"/>
    <x v="1"/>
    <x v="273"/>
  </r>
  <r>
    <x v="282"/>
    <x v="25"/>
    <s v="HYD"/>
    <x v="7"/>
    <x v="229"/>
    <n v="120"/>
    <x v="0"/>
    <x v="18"/>
    <x v="2"/>
    <x v="282"/>
    <x v="280"/>
    <x v="282"/>
    <x v="7"/>
    <x v="274"/>
  </r>
  <r>
    <x v="283"/>
    <x v="32"/>
    <s v="AMD"/>
    <x v="3"/>
    <x v="193"/>
    <n v="137"/>
    <x v="4"/>
    <x v="23"/>
    <x v="1"/>
    <x v="283"/>
    <x v="281"/>
    <x v="283"/>
    <x v="8"/>
    <x v="275"/>
  </r>
  <r>
    <x v="284"/>
    <x v="83"/>
    <s v="MAA"/>
    <x v="7"/>
    <x v="21"/>
    <n v="67"/>
    <x v="0"/>
    <x v="91"/>
    <x v="123"/>
    <x v="284"/>
    <x v="282"/>
    <x v="284"/>
    <x v="10"/>
    <x v="276"/>
  </r>
  <r>
    <x v="285"/>
    <x v="25"/>
    <s v="HYD"/>
    <x v="7"/>
    <x v="230"/>
    <n v="67"/>
    <x v="2"/>
    <x v="17"/>
    <x v="61"/>
    <x v="285"/>
    <x v="283"/>
    <x v="285"/>
    <x v="0"/>
    <x v="277"/>
  </r>
  <r>
    <x v="286"/>
    <x v="17"/>
    <s v="MAA"/>
    <x v="3"/>
    <x v="111"/>
    <n v="66"/>
    <x v="1"/>
    <x v="45"/>
    <x v="77"/>
    <x v="286"/>
    <x v="284"/>
    <x v="286"/>
    <x v="3"/>
    <x v="278"/>
  </r>
  <r>
    <x v="287"/>
    <x v="10"/>
    <s v="AMD"/>
    <x v="4"/>
    <x v="231"/>
    <n v="122"/>
    <x v="2"/>
    <x v="102"/>
    <x v="112"/>
    <x v="287"/>
    <x v="285"/>
    <x v="287"/>
    <x v="4"/>
    <x v="279"/>
  </r>
  <r>
    <x v="288"/>
    <x v="17"/>
    <s v="MAA"/>
    <x v="3"/>
    <x v="232"/>
    <n v="168"/>
    <x v="4"/>
    <x v="13"/>
    <x v="20"/>
    <x v="288"/>
    <x v="286"/>
    <x v="288"/>
    <x v="8"/>
    <x v="280"/>
  </r>
  <r>
    <x v="289"/>
    <x v="45"/>
    <s v="JAI"/>
    <x v="4"/>
    <x v="233"/>
    <n v="72"/>
    <x v="0"/>
    <x v="43"/>
    <x v="1"/>
    <x v="289"/>
    <x v="287"/>
    <x v="289"/>
    <x v="9"/>
    <x v="281"/>
  </r>
  <r>
    <x v="290"/>
    <x v="37"/>
    <s v="HYD"/>
    <x v="9"/>
    <x v="234"/>
    <n v="130"/>
    <x v="3"/>
    <x v="121"/>
    <x v="27"/>
    <x v="290"/>
    <x v="288"/>
    <x v="290"/>
    <x v="11"/>
    <x v="142"/>
  </r>
  <r>
    <x v="291"/>
    <x v="61"/>
    <s v="PNQ"/>
    <x v="9"/>
    <x v="235"/>
    <n v="146"/>
    <x v="2"/>
    <x v="116"/>
    <x v="103"/>
    <x v="291"/>
    <x v="289"/>
    <x v="291"/>
    <x v="5"/>
    <x v="282"/>
  </r>
  <r>
    <x v="292"/>
    <x v="40"/>
    <s v="CCU"/>
    <x v="3"/>
    <x v="236"/>
    <n v="145"/>
    <x v="2"/>
    <x v="87"/>
    <x v="6"/>
    <x v="292"/>
    <x v="290"/>
    <x v="292"/>
    <x v="4"/>
    <x v="65"/>
  </r>
  <r>
    <x v="293"/>
    <x v="50"/>
    <s v="GOI"/>
    <x v="5"/>
    <x v="173"/>
    <n v="185"/>
    <x v="4"/>
    <x v="22"/>
    <x v="84"/>
    <x v="293"/>
    <x v="291"/>
    <x v="293"/>
    <x v="8"/>
    <x v="283"/>
  </r>
  <r>
    <x v="294"/>
    <x v="56"/>
    <s v="HYD"/>
    <x v="8"/>
    <x v="237"/>
    <n v="207"/>
    <x v="2"/>
    <x v="82"/>
    <x v="20"/>
    <x v="294"/>
    <x v="292"/>
    <x v="294"/>
    <x v="10"/>
    <x v="284"/>
  </r>
  <r>
    <x v="295"/>
    <x v="55"/>
    <s v="DEL"/>
    <x v="8"/>
    <x v="238"/>
    <n v="167"/>
    <x v="1"/>
    <x v="46"/>
    <x v="124"/>
    <x v="295"/>
    <x v="293"/>
    <x v="295"/>
    <x v="7"/>
    <x v="285"/>
  </r>
  <r>
    <x v="296"/>
    <x v="58"/>
    <s v="CCU"/>
    <x v="6"/>
    <x v="239"/>
    <n v="208"/>
    <x v="4"/>
    <x v="21"/>
    <x v="125"/>
    <x v="296"/>
    <x v="294"/>
    <x v="296"/>
    <x v="7"/>
    <x v="286"/>
  </r>
  <r>
    <x v="297"/>
    <x v="68"/>
    <s v="CCU"/>
    <x v="5"/>
    <x v="240"/>
    <n v="201"/>
    <x v="4"/>
    <x v="125"/>
    <x v="82"/>
    <x v="297"/>
    <x v="295"/>
    <x v="297"/>
    <x v="4"/>
    <x v="287"/>
  </r>
  <r>
    <x v="298"/>
    <x v="20"/>
    <s v="DEL"/>
    <x v="0"/>
    <x v="241"/>
    <n v="111"/>
    <x v="0"/>
    <x v="9"/>
    <x v="18"/>
    <x v="298"/>
    <x v="296"/>
    <x v="298"/>
    <x v="9"/>
    <x v="78"/>
  </r>
  <r>
    <x v="299"/>
    <x v="74"/>
    <s v="BLR"/>
    <x v="8"/>
    <x v="242"/>
    <n v="145"/>
    <x v="3"/>
    <x v="68"/>
    <x v="126"/>
    <x v="299"/>
    <x v="297"/>
    <x v="299"/>
    <x v="0"/>
    <x v="137"/>
  </r>
  <r>
    <x v="300"/>
    <x v="71"/>
    <s v="BOM"/>
    <x v="8"/>
    <x v="243"/>
    <n v="120"/>
    <x v="3"/>
    <x v="52"/>
    <x v="108"/>
    <x v="300"/>
    <x v="298"/>
    <x v="300"/>
    <x v="9"/>
    <x v="288"/>
  </r>
  <r>
    <x v="301"/>
    <x v="87"/>
    <s v="CCU"/>
    <x v="8"/>
    <x v="244"/>
    <n v="178"/>
    <x v="3"/>
    <x v="30"/>
    <x v="42"/>
    <x v="301"/>
    <x v="299"/>
    <x v="301"/>
    <x v="5"/>
    <x v="289"/>
  </r>
  <r>
    <x v="302"/>
    <x v="86"/>
    <s v="CCU"/>
    <x v="7"/>
    <x v="223"/>
    <n v="56"/>
    <x v="4"/>
    <x v="54"/>
    <x v="50"/>
    <x v="302"/>
    <x v="300"/>
    <x v="302"/>
    <x v="8"/>
    <x v="290"/>
  </r>
  <r>
    <x v="303"/>
    <x v="19"/>
    <s v="BLR"/>
    <x v="6"/>
    <x v="245"/>
    <n v="186"/>
    <x v="0"/>
    <x v="117"/>
    <x v="97"/>
    <x v="303"/>
    <x v="301"/>
    <x v="303"/>
    <x v="2"/>
    <x v="291"/>
  </r>
  <r>
    <x v="304"/>
    <x v="12"/>
    <s v="HYD"/>
    <x v="5"/>
    <x v="246"/>
    <n v="208"/>
    <x v="3"/>
    <x v="56"/>
    <x v="108"/>
    <x v="304"/>
    <x v="302"/>
    <x v="304"/>
    <x v="5"/>
    <x v="292"/>
  </r>
  <r>
    <x v="305"/>
    <x v="46"/>
    <s v="HYD"/>
    <x v="3"/>
    <x v="247"/>
    <n v="225"/>
    <x v="0"/>
    <x v="127"/>
    <x v="55"/>
    <x v="305"/>
    <x v="303"/>
    <x v="305"/>
    <x v="0"/>
    <x v="293"/>
  </r>
  <r>
    <x v="306"/>
    <x v="50"/>
    <s v="GOI"/>
    <x v="5"/>
    <x v="108"/>
    <n v="128"/>
    <x v="0"/>
    <x v="113"/>
    <x v="29"/>
    <x v="306"/>
    <x v="304"/>
    <x v="306"/>
    <x v="0"/>
    <x v="294"/>
  </r>
  <r>
    <x v="307"/>
    <x v="85"/>
    <s v="GOI"/>
    <x v="9"/>
    <x v="248"/>
    <n v="144"/>
    <x v="1"/>
    <x v="128"/>
    <x v="29"/>
    <x v="307"/>
    <x v="305"/>
    <x v="307"/>
    <x v="7"/>
    <x v="295"/>
  </r>
  <r>
    <x v="308"/>
    <x v="80"/>
    <s v="JAI"/>
    <x v="5"/>
    <x v="249"/>
    <n v="225"/>
    <x v="2"/>
    <x v="52"/>
    <x v="80"/>
    <x v="308"/>
    <x v="306"/>
    <x v="308"/>
    <x v="8"/>
    <x v="296"/>
  </r>
  <r>
    <x v="309"/>
    <x v="76"/>
    <s v="BLR"/>
    <x v="9"/>
    <x v="250"/>
    <n v="91"/>
    <x v="2"/>
    <x v="67"/>
    <x v="40"/>
    <x v="309"/>
    <x v="307"/>
    <x v="309"/>
    <x v="9"/>
    <x v="297"/>
  </r>
  <r>
    <x v="310"/>
    <x v="32"/>
    <s v="AMD"/>
    <x v="3"/>
    <x v="27"/>
    <n v="92"/>
    <x v="3"/>
    <x v="3"/>
    <x v="82"/>
    <x v="310"/>
    <x v="308"/>
    <x v="310"/>
    <x v="11"/>
    <x v="298"/>
  </r>
  <r>
    <x v="311"/>
    <x v="22"/>
    <s v="PNQ"/>
    <x v="2"/>
    <x v="110"/>
    <n v="92"/>
    <x v="2"/>
    <x v="129"/>
    <x v="93"/>
    <x v="311"/>
    <x v="309"/>
    <x v="311"/>
    <x v="10"/>
    <x v="299"/>
  </r>
  <r>
    <x v="312"/>
    <x v="73"/>
    <s v="AMD"/>
    <x v="2"/>
    <x v="251"/>
    <n v="188"/>
    <x v="1"/>
    <x v="102"/>
    <x v="127"/>
    <x v="312"/>
    <x v="310"/>
    <x v="312"/>
    <x v="0"/>
    <x v="300"/>
  </r>
  <r>
    <x v="313"/>
    <x v="8"/>
    <s v="PNQ"/>
    <x v="5"/>
    <x v="252"/>
    <n v="189"/>
    <x v="4"/>
    <x v="51"/>
    <x v="112"/>
    <x v="313"/>
    <x v="311"/>
    <x v="313"/>
    <x v="11"/>
    <x v="301"/>
  </r>
  <r>
    <x v="314"/>
    <x v="11"/>
    <s v="GOI"/>
    <x v="2"/>
    <x v="253"/>
    <n v="162"/>
    <x v="1"/>
    <x v="102"/>
    <x v="85"/>
    <x v="314"/>
    <x v="312"/>
    <x v="314"/>
    <x v="2"/>
    <x v="302"/>
  </r>
  <r>
    <x v="315"/>
    <x v="43"/>
    <s v="DEL"/>
    <x v="9"/>
    <x v="225"/>
    <n v="138"/>
    <x v="1"/>
    <x v="27"/>
    <x v="118"/>
    <x v="315"/>
    <x v="313"/>
    <x v="315"/>
    <x v="5"/>
    <x v="303"/>
  </r>
  <r>
    <x v="316"/>
    <x v="7"/>
    <s v="DEL"/>
    <x v="2"/>
    <x v="77"/>
    <n v="53"/>
    <x v="3"/>
    <x v="66"/>
    <x v="36"/>
    <x v="316"/>
    <x v="314"/>
    <x v="316"/>
    <x v="8"/>
    <x v="304"/>
  </r>
  <r>
    <x v="317"/>
    <x v="44"/>
    <s v="BLR"/>
    <x v="2"/>
    <x v="254"/>
    <n v="221"/>
    <x v="2"/>
    <x v="108"/>
    <x v="104"/>
    <x v="317"/>
    <x v="315"/>
    <x v="317"/>
    <x v="1"/>
    <x v="186"/>
  </r>
  <r>
    <x v="318"/>
    <x v="14"/>
    <s v="BOM"/>
    <x v="1"/>
    <x v="188"/>
    <n v="116"/>
    <x v="1"/>
    <x v="3"/>
    <x v="80"/>
    <x v="318"/>
    <x v="316"/>
    <x v="318"/>
    <x v="2"/>
    <x v="305"/>
  </r>
  <r>
    <x v="319"/>
    <x v="70"/>
    <s v="MAA"/>
    <x v="9"/>
    <x v="255"/>
    <n v="218"/>
    <x v="4"/>
    <x v="121"/>
    <x v="128"/>
    <x v="319"/>
    <x v="317"/>
    <x v="319"/>
    <x v="2"/>
    <x v="306"/>
  </r>
  <r>
    <x v="320"/>
    <x v="10"/>
    <s v="AMD"/>
    <x v="4"/>
    <x v="256"/>
    <n v="82"/>
    <x v="2"/>
    <x v="119"/>
    <x v="54"/>
    <x v="320"/>
    <x v="318"/>
    <x v="320"/>
    <x v="7"/>
    <x v="307"/>
  </r>
  <r>
    <x v="321"/>
    <x v="51"/>
    <s v="JAI"/>
    <x v="2"/>
    <x v="139"/>
    <n v="151"/>
    <x v="3"/>
    <x v="129"/>
    <x v="46"/>
    <x v="321"/>
    <x v="319"/>
    <x v="321"/>
    <x v="4"/>
    <x v="308"/>
  </r>
  <r>
    <x v="322"/>
    <x v="3"/>
    <s v="MAA"/>
    <x v="1"/>
    <x v="257"/>
    <n v="169"/>
    <x v="2"/>
    <x v="39"/>
    <x v="1"/>
    <x v="322"/>
    <x v="320"/>
    <x v="322"/>
    <x v="9"/>
    <x v="309"/>
  </r>
  <r>
    <x v="323"/>
    <x v="86"/>
    <s v="CCU"/>
    <x v="7"/>
    <x v="258"/>
    <n v="146"/>
    <x v="0"/>
    <x v="108"/>
    <x v="17"/>
    <x v="323"/>
    <x v="321"/>
    <x v="323"/>
    <x v="5"/>
    <x v="310"/>
  </r>
  <r>
    <x v="324"/>
    <x v="3"/>
    <s v="MAA"/>
    <x v="1"/>
    <x v="259"/>
    <n v="192"/>
    <x v="0"/>
    <x v="125"/>
    <x v="121"/>
    <x v="324"/>
    <x v="322"/>
    <x v="324"/>
    <x v="5"/>
    <x v="311"/>
  </r>
  <r>
    <x v="325"/>
    <x v="54"/>
    <s v="BOM"/>
    <x v="5"/>
    <x v="260"/>
    <n v="162"/>
    <x v="4"/>
    <x v="73"/>
    <x v="6"/>
    <x v="325"/>
    <x v="323"/>
    <x v="325"/>
    <x v="4"/>
    <x v="312"/>
  </r>
  <r>
    <x v="326"/>
    <x v="48"/>
    <s v="BOM"/>
    <x v="3"/>
    <x v="261"/>
    <n v="221"/>
    <x v="0"/>
    <x v="43"/>
    <x v="34"/>
    <x v="326"/>
    <x v="324"/>
    <x v="326"/>
    <x v="5"/>
    <x v="313"/>
  </r>
  <r>
    <x v="327"/>
    <x v="2"/>
    <s v="CCU"/>
    <x v="2"/>
    <x v="252"/>
    <n v="140"/>
    <x v="0"/>
    <x v="96"/>
    <x v="86"/>
    <x v="327"/>
    <x v="325"/>
    <x v="327"/>
    <x v="11"/>
    <x v="314"/>
  </r>
  <r>
    <x v="328"/>
    <x v="25"/>
    <s v="HYD"/>
    <x v="7"/>
    <x v="133"/>
    <n v="69"/>
    <x v="4"/>
    <x v="7"/>
    <x v="101"/>
    <x v="328"/>
    <x v="326"/>
    <x v="328"/>
    <x v="6"/>
    <x v="315"/>
  </r>
  <r>
    <x v="329"/>
    <x v="19"/>
    <s v="BLR"/>
    <x v="6"/>
    <x v="11"/>
    <n v="158"/>
    <x v="4"/>
    <x v="29"/>
    <x v="50"/>
    <x v="329"/>
    <x v="327"/>
    <x v="329"/>
    <x v="8"/>
    <x v="316"/>
  </r>
  <r>
    <x v="330"/>
    <x v="62"/>
    <s v="PNQ"/>
    <x v="7"/>
    <x v="82"/>
    <n v="143"/>
    <x v="4"/>
    <x v="2"/>
    <x v="98"/>
    <x v="330"/>
    <x v="328"/>
    <x v="330"/>
    <x v="1"/>
    <x v="250"/>
  </r>
  <r>
    <x v="331"/>
    <x v="32"/>
    <s v="AMD"/>
    <x v="3"/>
    <x v="163"/>
    <n v="209"/>
    <x v="0"/>
    <x v="14"/>
    <x v="32"/>
    <x v="331"/>
    <x v="329"/>
    <x v="331"/>
    <x v="10"/>
    <x v="317"/>
  </r>
  <r>
    <x v="332"/>
    <x v="49"/>
    <s v="AMD"/>
    <x v="8"/>
    <x v="128"/>
    <n v="229"/>
    <x v="0"/>
    <x v="34"/>
    <x v="128"/>
    <x v="332"/>
    <x v="330"/>
    <x v="332"/>
    <x v="6"/>
    <x v="318"/>
  </r>
  <r>
    <x v="333"/>
    <x v="5"/>
    <s v="DEL"/>
    <x v="4"/>
    <x v="262"/>
    <n v="195"/>
    <x v="3"/>
    <x v="30"/>
    <x v="17"/>
    <x v="333"/>
    <x v="331"/>
    <x v="333"/>
    <x v="10"/>
    <x v="319"/>
  </r>
  <r>
    <x v="334"/>
    <x v="83"/>
    <s v="MAA"/>
    <x v="7"/>
    <x v="263"/>
    <n v="186"/>
    <x v="1"/>
    <x v="97"/>
    <x v="129"/>
    <x v="334"/>
    <x v="332"/>
    <x v="334"/>
    <x v="7"/>
    <x v="320"/>
  </r>
  <r>
    <x v="335"/>
    <x v="19"/>
    <s v="BLR"/>
    <x v="6"/>
    <x v="182"/>
    <n v="175"/>
    <x v="0"/>
    <x v="128"/>
    <x v="73"/>
    <x v="335"/>
    <x v="333"/>
    <x v="335"/>
    <x v="7"/>
    <x v="321"/>
  </r>
  <r>
    <x v="336"/>
    <x v="25"/>
    <s v="HYD"/>
    <x v="7"/>
    <x v="160"/>
    <n v="172"/>
    <x v="1"/>
    <x v="18"/>
    <x v="32"/>
    <x v="336"/>
    <x v="334"/>
    <x v="336"/>
    <x v="7"/>
    <x v="322"/>
  </r>
  <r>
    <x v="337"/>
    <x v="32"/>
    <s v="AMD"/>
    <x v="3"/>
    <x v="264"/>
    <n v="152"/>
    <x v="2"/>
    <x v="76"/>
    <x v="36"/>
    <x v="337"/>
    <x v="335"/>
    <x v="337"/>
    <x v="1"/>
    <x v="323"/>
  </r>
  <r>
    <x v="338"/>
    <x v="66"/>
    <s v="JAI"/>
    <x v="7"/>
    <x v="265"/>
    <n v="112"/>
    <x v="0"/>
    <x v="27"/>
    <x v="26"/>
    <x v="338"/>
    <x v="336"/>
    <x v="338"/>
    <x v="0"/>
    <x v="324"/>
  </r>
  <r>
    <x v="339"/>
    <x v="1"/>
    <s v="GOI"/>
    <x v="1"/>
    <x v="27"/>
    <n v="224"/>
    <x v="3"/>
    <x v="52"/>
    <x v="60"/>
    <x v="339"/>
    <x v="337"/>
    <x v="339"/>
    <x v="11"/>
    <x v="325"/>
  </r>
  <r>
    <x v="340"/>
    <x v="41"/>
    <s v="AMD"/>
    <x v="9"/>
    <x v="266"/>
    <n v="124"/>
    <x v="4"/>
    <x v="9"/>
    <x v="128"/>
    <x v="340"/>
    <x v="338"/>
    <x v="340"/>
    <x v="11"/>
    <x v="326"/>
  </r>
  <r>
    <x v="341"/>
    <x v="25"/>
    <s v="HYD"/>
    <x v="7"/>
    <x v="165"/>
    <n v="223"/>
    <x v="3"/>
    <x v="82"/>
    <x v="108"/>
    <x v="341"/>
    <x v="339"/>
    <x v="341"/>
    <x v="8"/>
    <x v="327"/>
  </r>
  <r>
    <x v="342"/>
    <x v="55"/>
    <s v="DEL"/>
    <x v="8"/>
    <x v="191"/>
    <n v="200"/>
    <x v="4"/>
    <x v="104"/>
    <x v="69"/>
    <x v="342"/>
    <x v="340"/>
    <x v="342"/>
    <x v="7"/>
    <x v="328"/>
  </r>
  <r>
    <x v="343"/>
    <x v="24"/>
    <s v="AMD"/>
    <x v="0"/>
    <x v="267"/>
    <n v="172"/>
    <x v="2"/>
    <x v="40"/>
    <x v="18"/>
    <x v="343"/>
    <x v="341"/>
    <x v="343"/>
    <x v="2"/>
    <x v="329"/>
  </r>
  <r>
    <x v="344"/>
    <x v="41"/>
    <s v="AMD"/>
    <x v="9"/>
    <x v="268"/>
    <n v="52"/>
    <x v="2"/>
    <x v="108"/>
    <x v="116"/>
    <x v="344"/>
    <x v="342"/>
    <x v="344"/>
    <x v="10"/>
    <x v="330"/>
  </r>
  <r>
    <x v="345"/>
    <x v="66"/>
    <s v="JAI"/>
    <x v="7"/>
    <x v="269"/>
    <n v="161"/>
    <x v="1"/>
    <x v="13"/>
    <x v="108"/>
    <x v="345"/>
    <x v="343"/>
    <x v="345"/>
    <x v="10"/>
    <x v="331"/>
  </r>
  <r>
    <x v="346"/>
    <x v="68"/>
    <s v="CCU"/>
    <x v="5"/>
    <x v="101"/>
    <n v="71"/>
    <x v="1"/>
    <x v="87"/>
    <x v="4"/>
    <x v="346"/>
    <x v="344"/>
    <x v="346"/>
    <x v="7"/>
    <x v="109"/>
  </r>
  <r>
    <x v="347"/>
    <x v="18"/>
    <s v="BOM"/>
    <x v="2"/>
    <x v="270"/>
    <n v="165"/>
    <x v="2"/>
    <x v="112"/>
    <x v="27"/>
    <x v="347"/>
    <x v="345"/>
    <x v="347"/>
    <x v="3"/>
    <x v="332"/>
  </r>
  <r>
    <x v="348"/>
    <x v="88"/>
    <s v="HYD"/>
    <x v="4"/>
    <x v="271"/>
    <n v="108"/>
    <x v="3"/>
    <x v="77"/>
    <x v="16"/>
    <x v="348"/>
    <x v="346"/>
    <x v="348"/>
    <x v="8"/>
    <x v="333"/>
  </r>
  <r>
    <x v="349"/>
    <x v="59"/>
    <s v="DEL"/>
    <x v="6"/>
    <x v="249"/>
    <n v="58"/>
    <x v="0"/>
    <x v="74"/>
    <x v="109"/>
    <x v="349"/>
    <x v="347"/>
    <x v="349"/>
    <x v="8"/>
    <x v="334"/>
  </r>
  <r>
    <x v="350"/>
    <x v="22"/>
    <s v="PNQ"/>
    <x v="2"/>
    <x v="272"/>
    <n v="128"/>
    <x v="4"/>
    <x v="17"/>
    <x v="90"/>
    <x v="350"/>
    <x v="348"/>
    <x v="350"/>
    <x v="8"/>
    <x v="335"/>
  </r>
  <r>
    <x v="351"/>
    <x v="70"/>
    <s v="MAA"/>
    <x v="9"/>
    <x v="273"/>
    <n v="107"/>
    <x v="3"/>
    <x v="55"/>
    <x v="73"/>
    <x v="351"/>
    <x v="349"/>
    <x v="351"/>
    <x v="7"/>
    <x v="336"/>
  </r>
  <r>
    <x v="352"/>
    <x v="65"/>
    <s v="BLR"/>
    <x v="5"/>
    <x v="274"/>
    <n v="149"/>
    <x v="4"/>
    <x v="0"/>
    <x v="116"/>
    <x v="352"/>
    <x v="350"/>
    <x v="352"/>
    <x v="0"/>
    <x v="337"/>
  </r>
  <r>
    <x v="353"/>
    <x v="36"/>
    <s v="CCU"/>
    <x v="0"/>
    <x v="275"/>
    <n v="141"/>
    <x v="2"/>
    <x v="2"/>
    <x v="93"/>
    <x v="353"/>
    <x v="351"/>
    <x v="353"/>
    <x v="8"/>
    <x v="338"/>
  </r>
  <r>
    <x v="354"/>
    <x v="47"/>
    <s v="PNQ"/>
    <x v="0"/>
    <x v="276"/>
    <n v="227"/>
    <x v="2"/>
    <x v="23"/>
    <x v="30"/>
    <x v="354"/>
    <x v="352"/>
    <x v="354"/>
    <x v="10"/>
    <x v="339"/>
  </r>
  <r>
    <x v="355"/>
    <x v="87"/>
    <s v="CCU"/>
    <x v="8"/>
    <x v="277"/>
    <n v="193"/>
    <x v="4"/>
    <x v="32"/>
    <x v="16"/>
    <x v="355"/>
    <x v="353"/>
    <x v="355"/>
    <x v="11"/>
    <x v="340"/>
  </r>
  <r>
    <x v="356"/>
    <x v="84"/>
    <s v="JAI"/>
    <x v="0"/>
    <x v="278"/>
    <n v="214"/>
    <x v="0"/>
    <x v="101"/>
    <x v="112"/>
    <x v="356"/>
    <x v="354"/>
    <x v="356"/>
    <x v="11"/>
    <x v="341"/>
  </r>
  <r>
    <x v="357"/>
    <x v="60"/>
    <s v="CCU"/>
    <x v="1"/>
    <x v="279"/>
    <n v="114"/>
    <x v="0"/>
    <x v="100"/>
    <x v="38"/>
    <x v="357"/>
    <x v="355"/>
    <x v="357"/>
    <x v="9"/>
    <x v="342"/>
  </r>
  <r>
    <x v="358"/>
    <x v="81"/>
    <s v="AMD"/>
    <x v="7"/>
    <x v="280"/>
    <n v="160"/>
    <x v="3"/>
    <x v="28"/>
    <x v="128"/>
    <x v="358"/>
    <x v="356"/>
    <x v="358"/>
    <x v="2"/>
    <x v="343"/>
  </r>
  <r>
    <x v="359"/>
    <x v="74"/>
    <s v="BLR"/>
    <x v="8"/>
    <x v="281"/>
    <n v="163"/>
    <x v="2"/>
    <x v="57"/>
    <x v="2"/>
    <x v="359"/>
    <x v="357"/>
    <x v="359"/>
    <x v="8"/>
    <x v="344"/>
  </r>
  <r>
    <x v="360"/>
    <x v="84"/>
    <s v="JAI"/>
    <x v="0"/>
    <x v="282"/>
    <n v="128"/>
    <x v="0"/>
    <x v="23"/>
    <x v="13"/>
    <x v="360"/>
    <x v="358"/>
    <x v="360"/>
    <x v="1"/>
    <x v="345"/>
  </r>
  <r>
    <x v="361"/>
    <x v="57"/>
    <s v="GOI"/>
    <x v="0"/>
    <x v="283"/>
    <n v="121"/>
    <x v="2"/>
    <x v="130"/>
    <x v="26"/>
    <x v="361"/>
    <x v="359"/>
    <x v="361"/>
    <x v="8"/>
    <x v="346"/>
  </r>
  <r>
    <x v="362"/>
    <x v="6"/>
    <s v="GOI"/>
    <x v="4"/>
    <x v="284"/>
    <n v="163"/>
    <x v="4"/>
    <x v="49"/>
    <x v="22"/>
    <x v="362"/>
    <x v="360"/>
    <x v="362"/>
    <x v="9"/>
    <x v="187"/>
  </r>
  <r>
    <x v="363"/>
    <x v="73"/>
    <s v="AMD"/>
    <x v="2"/>
    <x v="76"/>
    <n v="140"/>
    <x v="4"/>
    <x v="90"/>
    <x v="130"/>
    <x v="363"/>
    <x v="361"/>
    <x v="363"/>
    <x v="3"/>
    <x v="347"/>
  </r>
  <r>
    <x v="364"/>
    <x v="7"/>
    <s v="DEL"/>
    <x v="2"/>
    <x v="285"/>
    <n v="158"/>
    <x v="0"/>
    <x v="23"/>
    <x v="84"/>
    <x v="364"/>
    <x v="362"/>
    <x v="364"/>
    <x v="4"/>
    <x v="65"/>
  </r>
  <r>
    <x v="365"/>
    <x v="47"/>
    <s v="PNQ"/>
    <x v="0"/>
    <x v="253"/>
    <n v="191"/>
    <x v="3"/>
    <x v="56"/>
    <x v="131"/>
    <x v="365"/>
    <x v="363"/>
    <x v="365"/>
    <x v="2"/>
    <x v="348"/>
  </r>
  <r>
    <x v="366"/>
    <x v="79"/>
    <s v="AMD"/>
    <x v="1"/>
    <x v="286"/>
    <n v="92"/>
    <x v="2"/>
    <x v="1"/>
    <x v="106"/>
    <x v="366"/>
    <x v="364"/>
    <x v="366"/>
    <x v="1"/>
    <x v="349"/>
  </r>
  <r>
    <x v="367"/>
    <x v="45"/>
    <s v="JAI"/>
    <x v="4"/>
    <x v="240"/>
    <n v="120"/>
    <x v="3"/>
    <x v="92"/>
    <x v="87"/>
    <x v="367"/>
    <x v="365"/>
    <x v="367"/>
    <x v="4"/>
    <x v="350"/>
  </r>
  <r>
    <x v="368"/>
    <x v="12"/>
    <s v="HYD"/>
    <x v="5"/>
    <x v="59"/>
    <n v="96"/>
    <x v="1"/>
    <x v="119"/>
    <x v="66"/>
    <x v="368"/>
    <x v="366"/>
    <x v="368"/>
    <x v="11"/>
    <x v="351"/>
  </r>
  <r>
    <x v="369"/>
    <x v="87"/>
    <s v="CCU"/>
    <x v="8"/>
    <x v="287"/>
    <n v="169"/>
    <x v="2"/>
    <x v="125"/>
    <x v="132"/>
    <x v="369"/>
    <x v="367"/>
    <x v="369"/>
    <x v="5"/>
    <x v="352"/>
  </r>
  <r>
    <x v="370"/>
    <x v="24"/>
    <s v="AMD"/>
    <x v="0"/>
    <x v="212"/>
    <n v="197"/>
    <x v="0"/>
    <x v="81"/>
    <x v="89"/>
    <x v="370"/>
    <x v="368"/>
    <x v="370"/>
    <x v="8"/>
    <x v="353"/>
  </r>
  <r>
    <x v="371"/>
    <x v="75"/>
    <s v="CCU"/>
    <x v="4"/>
    <x v="288"/>
    <n v="70"/>
    <x v="0"/>
    <x v="82"/>
    <x v="16"/>
    <x v="371"/>
    <x v="369"/>
    <x v="371"/>
    <x v="2"/>
    <x v="354"/>
  </r>
  <r>
    <x v="372"/>
    <x v="9"/>
    <s v="JAI"/>
    <x v="1"/>
    <x v="289"/>
    <n v="89"/>
    <x v="0"/>
    <x v="101"/>
    <x v="73"/>
    <x v="372"/>
    <x v="370"/>
    <x v="372"/>
    <x v="6"/>
    <x v="306"/>
  </r>
  <r>
    <x v="373"/>
    <x v="84"/>
    <s v="JAI"/>
    <x v="0"/>
    <x v="133"/>
    <n v="224"/>
    <x v="2"/>
    <x v="131"/>
    <x v="133"/>
    <x v="373"/>
    <x v="371"/>
    <x v="373"/>
    <x v="6"/>
    <x v="355"/>
  </r>
  <r>
    <x v="374"/>
    <x v="16"/>
    <s v="PNQ"/>
    <x v="6"/>
    <x v="290"/>
    <n v="89"/>
    <x v="3"/>
    <x v="105"/>
    <x v="2"/>
    <x v="374"/>
    <x v="372"/>
    <x v="374"/>
    <x v="8"/>
    <x v="356"/>
  </r>
  <r>
    <x v="375"/>
    <x v="82"/>
    <s v="BLR"/>
    <x v="0"/>
    <x v="291"/>
    <n v="167"/>
    <x v="4"/>
    <x v="117"/>
    <x v="134"/>
    <x v="375"/>
    <x v="373"/>
    <x v="375"/>
    <x v="2"/>
    <x v="357"/>
  </r>
  <r>
    <x v="376"/>
    <x v="79"/>
    <s v="AMD"/>
    <x v="1"/>
    <x v="292"/>
    <n v="50"/>
    <x v="0"/>
    <x v="68"/>
    <x v="135"/>
    <x v="376"/>
    <x v="374"/>
    <x v="376"/>
    <x v="11"/>
    <x v="65"/>
  </r>
  <r>
    <x v="377"/>
    <x v="86"/>
    <s v="CCU"/>
    <x v="7"/>
    <x v="220"/>
    <n v="225"/>
    <x v="3"/>
    <x v="68"/>
    <x v="86"/>
    <x v="377"/>
    <x v="375"/>
    <x v="377"/>
    <x v="0"/>
    <x v="358"/>
  </r>
  <r>
    <x v="378"/>
    <x v="10"/>
    <s v="AMD"/>
    <x v="4"/>
    <x v="293"/>
    <n v="208"/>
    <x v="3"/>
    <x v="77"/>
    <x v="136"/>
    <x v="378"/>
    <x v="376"/>
    <x v="378"/>
    <x v="11"/>
    <x v="359"/>
  </r>
  <r>
    <x v="379"/>
    <x v="75"/>
    <s v="CCU"/>
    <x v="4"/>
    <x v="294"/>
    <n v="195"/>
    <x v="0"/>
    <x v="126"/>
    <x v="25"/>
    <x v="379"/>
    <x v="377"/>
    <x v="379"/>
    <x v="8"/>
    <x v="360"/>
  </r>
  <r>
    <x v="380"/>
    <x v="48"/>
    <s v="BOM"/>
    <x v="3"/>
    <x v="130"/>
    <n v="53"/>
    <x v="0"/>
    <x v="77"/>
    <x v="137"/>
    <x v="380"/>
    <x v="378"/>
    <x v="380"/>
    <x v="1"/>
    <x v="361"/>
  </r>
  <r>
    <x v="381"/>
    <x v="55"/>
    <s v="DEL"/>
    <x v="8"/>
    <x v="295"/>
    <n v="129"/>
    <x v="4"/>
    <x v="101"/>
    <x v="36"/>
    <x v="381"/>
    <x v="379"/>
    <x v="381"/>
    <x v="10"/>
    <x v="362"/>
  </r>
  <r>
    <x v="382"/>
    <x v="39"/>
    <s v="DEL"/>
    <x v="1"/>
    <x v="203"/>
    <n v="47"/>
    <x v="2"/>
    <x v="111"/>
    <x v="3"/>
    <x v="382"/>
    <x v="380"/>
    <x v="382"/>
    <x v="9"/>
    <x v="363"/>
  </r>
  <r>
    <x v="383"/>
    <x v="20"/>
    <s v="DEL"/>
    <x v="0"/>
    <x v="296"/>
    <n v="143"/>
    <x v="3"/>
    <x v="95"/>
    <x v="104"/>
    <x v="383"/>
    <x v="381"/>
    <x v="383"/>
    <x v="3"/>
    <x v="364"/>
  </r>
  <r>
    <x v="384"/>
    <x v="58"/>
    <s v="CCU"/>
    <x v="6"/>
    <x v="297"/>
    <n v="70"/>
    <x v="3"/>
    <x v="19"/>
    <x v="119"/>
    <x v="384"/>
    <x v="382"/>
    <x v="384"/>
    <x v="0"/>
    <x v="365"/>
  </r>
  <r>
    <x v="385"/>
    <x v="20"/>
    <s v="DEL"/>
    <x v="0"/>
    <x v="298"/>
    <n v="50"/>
    <x v="2"/>
    <x v="132"/>
    <x v="93"/>
    <x v="385"/>
    <x v="383"/>
    <x v="385"/>
    <x v="4"/>
    <x v="366"/>
  </r>
  <r>
    <x v="386"/>
    <x v="12"/>
    <s v="HYD"/>
    <x v="5"/>
    <x v="299"/>
    <n v="185"/>
    <x v="4"/>
    <x v="110"/>
    <x v="114"/>
    <x v="386"/>
    <x v="384"/>
    <x v="386"/>
    <x v="11"/>
    <x v="367"/>
  </r>
  <r>
    <x v="387"/>
    <x v="12"/>
    <s v="HYD"/>
    <x v="5"/>
    <x v="182"/>
    <n v="156"/>
    <x v="0"/>
    <x v="96"/>
    <x v="98"/>
    <x v="387"/>
    <x v="385"/>
    <x v="387"/>
    <x v="7"/>
    <x v="368"/>
  </r>
  <r>
    <x v="388"/>
    <x v="31"/>
    <s v="HYD"/>
    <x v="6"/>
    <x v="300"/>
    <n v="112"/>
    <x v="2"/>
    <x v="41"/>
    <x v="28"/>
    <x v="239"/>
    <x v="386"/>
    <x v="388"/>
    <x v="5"/>
    <x v="369"/>
  </r>
  <r>
    <x v="389"/>
    <x v="26"/>
    <s v="JAI"/>
    <x v="8"/>
    <x v="301"/>
    <n v="84"/>
    <x v="4"/>
    <x v="13"/>
    <x v="1"/>
    <x v="388"/>
    <x v="387"/>
    <x v="389"/>
    <x v="10"/>
    <x v="370"/>
  </r>
  <r>
    <x v="390"/>
    <x v="89"/>
    <s v="JAI"/>
    <x v="3"/>
    <x v="41"/>
    <n v="69"/>
    <x v="4"/>
    <x v="127"/>
    <x v="50"/>
    <x v="389"/>
    <x v="388"/>
    <x v="390"/>
    <x v="5"/>
    <x v="129"/>
  </r>
  <r>
    <x v="391"/>
    <x v="43"/>
    <s v="DEL"/>
    <x v="9"/>
    <x v="175"/>
    <n v="165"/>
    <x v="3"/>
    <x v="66"/>
    <x v="41"/>
    <x v="390"/>
    <x v="389"/>
    <x v="391"/>
    <x v="3"/>
    <x v="371"/>
  </r>
  <r>
    <x v="392"/>
    <x v="40"/>
    <s v="CCU"/>
    <x v="3"/>
    <x v="302"/>
    <n v="92"/>
    <x v="3"/>
    <x v="4"/>
    <x v="79"/>
    <x v="391"/>
    <x v="390"/>
    <x v="392"/>
    <x v="0"/>
    <x v="372"/>
  </r>
  <r>
    <x v="393"/>
    <x v="76"/>
    <s v="BLR"/>
    <x v="9"/>
    <x v="303"/>
    <n v="60"/>
    <x v="0"/>
    <x v="93"/>
    <x v="2"/>
    <x v="392"/>
    <x v="391"/>
    <x v="393"/>
    <x v="1"/>
    <x v="373"/>
  </r>
  <r>
    <x v="394"/>
    <x v="45"/>
    <s v="JAI"/>
    <x v="4"/>
    <x v="12"/>
    <n v="60"/>
    <x v="3"/>
    <x v="40"/>
    <x v="81"/>
    <x v="393"/>
    <x v="392"/>
    <x v="394"/>
    <x v="5"/>
    <x v="374"/>
  </r>
  <r>
    <x v="395"/>
    <x v="45"/>
    <s v="JAI"/>
    <x v="4"/>
    <x v="304"/>
    <n v="121"/>
    <x v="4"/>
    <x v="56"/>
    <x v="105"/>
    <x v="394"/>
    <x v="393"/>
    <x v="395"/>
    <x v="10"/>
    <x v="375"/>
  </r>
  <r>
    <x v="396"/>
    <x v="80"/>
    <s v="JAI"/>
    <x v="5"/>
    <x v="305"/>
    <n v="238"/>
    <x v="3"/>
    <x v="130"/>
    <x v="50"/>
    <x v="395"/>
    <x v="394"/>
    <x v="396"/>
    <x v="10"/>
    <x v="376"/>
  </r>
  <r>
    <x v="397"/>
    <x v="48"/>
    <s v="BOM"/>
    <x v="3"/>
    <x v="100"/>
    <n v="219"/>
    <x v="3"/>
    <x v="133"/>
    <x v="66"/>
    <x v="396"/>
    <x v="395"/>
    <x v="397"/>
    <x v="11"/>
    <x v="377"/>
  </r>
  <r>
    <x v="398"/>
    <x v="86"/>
    <s v="CCU"/>
    <x v="7"/>
    <x v="306"/>
    <n v="144"/>
    <x v="1"/>
    <x v="56"/>
    <x v="8"/>
    <x v="397"/>
    <x v="396"/>
    <x v="398"/>
    <x v="11"/>
    <x v="272"/>
  </r>
  <r>
    <x v="399"/>
    <x v="23"/>
    <s v="BOM"/>
    <x v="6"/>
    <x v="59"/>
    <n v="73"/>
    <x v="3"/>
    <x v="34"/>
    <x v="95"/>
    <x v="398"/>
    <x v="397"/>
    <x v="399"/>
    <x v="11"/>
    <x v="378"/>
  </r>
  <r>
    <x v="400"/>
    <x v="52"/>
    <s v="DEL"/>
    <x v="5"/>
    <x v="217"/>
    <n v="70"/>
    <x v="2"/>
    <x v="3"/>
    <x v="122"/>
    <x v="399"/>
    <x v="398"/>
    <x v="400"/>
    <x v="5"/>
    <x v="379"/>
  </r>
  <r>
    <x v="401"/>
    <x v="21"/>
    <s v="PNQ"/>
    <x v="8"/>
    <x v="307"/>
    <n v="89"/>
    <x v="2"/>
    <x v="114"/>
    <x v="39"/>
    <x v="400"/>
    <x v="399"/>
    <x v="401"/>
    <x v="3"/>
    <x v="380"/>
  </r>
  <r>
    <x v="402"/>
    <x v="75"/>
    <s v="CCU"/>
    <x v="4"/>
    <x v="308"/>
    <n v="235"/>
    <x v="3"/>
    <x v="37"/>
    <x v="5"/>
    <x v="401"/>
    <x v="400"/>
    <x v="402"/>
    <x v="3"/>
    <x v="381"/>
  </r>
  <r>
    <x v="403"/>
    <x v="70"/>
    <s v="MAA"/>
    <x v="9"/>
    <x v="309"/>
    <n v="223"/>
    <x v="4"/>
    <x v="6"/>
    <x v="89"/>
    <x v="402"/>
    <x v="401"/>
    <x v="403"/>
    <x v="10"/>
    <x v="382"/>
  </r>
  <r>
    <x v="404"/>
    <x v="17"/>
    <s v="MAA"/>
    <x v="3"/>
    <x v="310"/>
    <n v="210"/>
    <x v="4"/>
    <x v="103"/>
    <x v="45"/>
    <x v="403"/>
    <x v="402"/>
    <x v="404"/>
    <x v="7"/>
    <x v="383"/>
  </r>
  <r>
    <x v="405"/>
    <x v="85"/>
    <s v="GOI"/>
    <x v="9"/>
    <x v="211"/>
    <n v="176"/>
    <x v="0"/>
    <x v="10"/>
    <x v="46"/>
    <x v="404"/>
    <x v="403"/>
    <x v="405"/>
    <x v="3"/>
    <x v="384"/>
  </r>
  <r>
    <x v="406"/>
    <x v="57"/>
    <s v="GOI"/>
    <x v="0"/>
    <x v="311"/>
    <n v="94"/>
    <x v="0"/>
    <x v="26"/>
    <x v="22"/>
    <x v="405"/>
    <x v="404"/>
    <x v="406"/>
    <x v="2"/>
    <x v="385"/>
  </r>
  <r>
    <x v="407"/>
    <x v="75"/>
    <s v="CCU"/>
    <x v="4"/>
    <x v="312"/>
    <n v="139"/>
    <x v="3"/>
    <x v="32"/>
    <x v="138"/>
    <x v="406"/>
    <x v="405"/>
    <x v="407"/>
    <x v="4"/>
    <x v="386"/>
  </r>
  <r>
    <x v="408"/>
    <x v="29"/>
    <s v="BLR"/>
    <x v="1"/>
    <x v="15"/>
    <n v="197"/>
    <x v="3"/>
    <x v="62"/>
    <x v="42"/>
    <x v="407"/>
    <x v="406"/>
    <x v="408"/>
    <x v="10"/>
    <x v="179"/>
  </r>
  <r>
    <x v="409"/>
    <x v="41"/>
    <s v="AMD"/>
    <x v="9"/>
    <x v="313"/>
    <n v="68"/>
    <x v="2"/>
    <x v="81"/>
    <x v="11"/>
    <x v="408"/>
    <x v="407"/>
    <x v="409"/>
    <x v="6"/>
    <x v="387"/>
  </r>
  <r>
    <x v="410"/>
    <x v="44"/>
    <s v="BLR"/>
    <x v="2"/>
    <x v="240"/>
    <n v="102"/>
    <x v="0"/>
    <x v="37"/>
    <x v="8"/>
    <x v="409"/>
    <x v="408"/>
    <x v="410"/>
    <x v="4"/>
    <x v="388"/>
  </r>
  <r>
    <x v="411"/>
    <x v="71"/>
    <s v="BOM"/>
    <x v="8"/>
    <x v="21"/>
    <n v="210"/>
    <x v="0"/>
    <x v="29"/>
    <x v="4"/>
    <x v="410"/>
    <x v="409"/>
    <x v="411"/>
    <x v="10"/>
    <x v="142"/>
  </r>
  <r>
    <x v="412"/>
    <x v="17"/>
    <s v="MAA"/>
    <x v="3"/>
    <x v="192"/>
    <n v="134"/>
    <x v="3"/>
    <x v="84"/>
    <x v="68"/>
    <x v="411"/>
    <x v="410"/>
    <x v="412"/>
    <x v="0"/>
    <x v="129"/>
  </r>
  <r>
    <x v="413"/>
    <x v="9"/>
    <s v="JAI"/>
    <x v="1"/>
    <x v="58"/>
    <n v="71"/>
    <x v="4"/>
    <x v="9"/>
    <x v="75"/>
    <x v="412"/>
    <x v="411"/>
    <x v="413"/>
    <x v="1"/>
    <x v="389"/>
  </r>
  <r>
    <x v="414"/>
    <x v="51"/>
    <s v="JAI"/>
    <x v="2"/>
    <x v="314"/>
    <n v="220"/>
    <x v="4"/>
    <x v="123"/>
    <x v="79"/>
    <x v="413"/>
    <x v="412"/>
    <x v="414"/>
    <x v="8"/>
    <x v="390"/>
  </r>
  <r>
    <x v="415"/>
    <x v="2"/>
    <s v="CCU"/>
    <x v="2"/>
    <x v="315"/>
    <n v="212"/>
    <x v="2"/>
    <x v="103"/>
    <x v="46"/>
    <x v="414"/>
    <x v="413"/>
    <x v="415"/>
    <x v="7"/>
    <x v="129"/>
  </r>
  <r>
    <x v="416"/>
    <x v="9"/>
    <s v="JAI"/>
    <x v="1"/>
    <x v="316"/>
    <n v="126"/>
    <x v="0"/>
    <x v="94"/>
    <x v="3"/>
    <x v="415"/>
    <x v="414"/>
    <x v="416"/>
    <x v="8"/>
    <x v="391"/>
  </r>
  <r>
    <x v="417"/>
    <x v="46"/>
    <s v="HYD"/>
    <x v="3"/>
    <x v="317"/>
    <n v="194"/>
    <x v="1"/>
    <x v="103"/>
    <x v="80"/>
    <x v="416"/>
    <x v="415"/>
    <x v="417"/>
    <x v="3"/>
    <x v="392"/>
  </r>
  <r>
    <x v="418"/>
    <x v="61"/>
    <s v="PNQ"/>
    <x v="9"/>
    <x v="161"/>
    <n v="121"/>
    <x v="0"/>
    <x v="63"/>
    <x v="58"/>
    <x v="417"/>
    <x v="416"/>
    <x v="418"/>
    <x v="2"/>
    <x v="393"/>
  </r>
  <r>
    <x v="419"/>
    <x v="41"/>
    <s v="AMD"/>
    <x v="9"/>
    <x v="206"/>
    <n v="240"/>
    <x v="0"/>
    <x v="44"/>
    <x v="8"/>
    <x v="418"/>
    <x v="417"/>
    <x v="419"/>
    <x v="5"/>
    <x v="394"/>
  </r>
  <r>
    <x v="420"/>
    <x v="76"/>
    <s v="BLR"/>
    <x v="9"/>
    <x v="318"/>
    <n v="129"/>
    <x v="2"/>
    <x v="132"/>
    <x v="65"/>
    <x v="419"/>
    <x v="418"/>
    <x v="420"/>
    <x v="11"/>
    <x v="395"/>
  </r>
  <r>
    <x v="421"/>
    <x v="47"/>
    <s v="PNQ"/>
    <x v="0"/>
    <x v="319"/>
    <n v="194"/>
    <x v="1"/>
    <x v="18"/>
    <x v="28"/>
    <x v="420"/>
    <x v="419"/>
    <x v="421"/>
    <x v="4"/>
    <x v="396"/>
  </r>
  <r>
    <x v="422"/>
    <x v="31"/>
    <s v="HYD"/>
    <x v="6"/>
    <x v="314"/>
    <n v="150"/>
    <x v="4"/>
    <x v="34"/>
    <x v="89"/>
    <x v="421"/>
    <x v="420"/>
    <x v="422"/>
    <x v="8"/>
    <x v="397"/>
  </r>
  <r>
    <x v="423"/>
    <x v="89"/>
    <s v="JAI"/>
    <x v="3"/>
    <x v="169"/>
    <n v="125"/>
    <x v="0"/>
    <x v="134"/>
    <x v="3"/>
    <x v="422"/>
    <x v="421"/>
    <x v="423"/>
    <x v="10"/>
    <x v="398"/>
  </r>
  <r>
    <x v="424"/>
    <x v="36"/>
    <s v="CCU"/>
    <x v="0"/>
    <x v="247"/>
    <n v="160"/>
    <x v="2"/>
    <x v="111"/>
    <x v="50"/>
    <x v="423"/>
    <x v="422"/>
    <x v="424"/>
    <x v="0"/>
    <x v="399"/>
  </r>
  <r>
    <x v="425"/>
    <x v="5"/>
    <s v="DEL"/>
    <x v="4"/>
    <x v="168"/>
    <n v="156"/>
    <x v="3"/>
    <x v="114"/>
    <x v="139"/>
    <x v="424"/>
    <x v="423"/>
    <x v="425"/>
    <x v="7"/>
    <x v="400"/>
  </r>
  <r>
    <x v="426"/>
    <x v="23"/>
    <s v="BOM"/>
    <x v="6"/>
    <x v="41"/>
    <n v="232"/>
    <x v="2"/>
    <x v="88"/>
    <x v="34"/>
    <x v="425"/>
    <x v="424"/>
    <x v="426"/>
    <x v="5"/>
    <x v="134"/>
  </r>
  <r>
    <x v="427"/>
    <x v="18"/>
    <s v="BOM"/>
    <x v="2"/>
    <x v="320"/>
    <n v="222"/>
    <x v="2"/>
    <x v="104"/>
    <x v="79"/>
    <x v="426"/>
    <x v="425"/>
    <x v="427"/>
    <x v="1"/>
    <x v="401"/>
  </r>
  <r>
    <x v="428"/>
    <x v="51"/>
    <s v="JAI"/>
    <x v="2"/>
    <x v="321"/>
    <n v="61"/>
    <x v="4"/>
    <x v="41"/>
    <x v="112"/>
    <x v="427"/>
    <x v="426"/>
    <x v="428"/>
    <x v="2"/>
    <x v="402"/>
  </r>
  <r>
    <x v="429"/>
    <x v="85"/>
    <s v="GOI"/>
    <x v="9"/>
    <x v="322"/>
    <n v="220"/>
    <x v="0"/>
    <x v="59"/>
    <x v="33"/>
    <x v="428"/>
    <x v="427"/>
    <x v="429"/>
    <x v="11"/>
    <x v="403"/>
  </r>
  <r>
    <x v="430"/>
    <x v="32"/>
    <s v="AMD"/>
    <x v="3"/>
    <x v="134"/>
    <n v="103"/>
    <x v="0"/>
    <x v="33"/>
    <x v="68"/>
    <x v="429"/>
    <x v="428"/>
    <x v="430"/>
    <x v="0"/>
    <x v="404"/>
  </r>
  <r>
    <x v="431"/>
    <x v="81"/>
    <s v="AMD"/>
    <x v="7"/>
    <x v="323"/>
    <n v="227"/>
    <x v="4"/>
    <x v="126"/>
    <x v="15"/>
    <x v="430"/>
    <x v="429"/>
    <x v="431"/>
    <x v="0"/>
    <x v="405"/>
  </r>
  <r>
    <x v="432"/>
    <x v="67"/>
    <s v="BOM"/>
    <x v="7"/>
    <x v="66"/>
    <n v="72"/>
    <x v="4"/>
    <x v="86"/>
    <x v="108"/>
    <x v="431"/>
    <x v="430"/>
    <x v="432"/>
    <x v="8"/>
    <x v="406"/>
  </r>
  <r>
    <x v="433"/>
    <x v="59"/>
    <s v="DEL"/>
    <x v="6"/>
    <x v="63"/>
    <n v="166"/>
    <x v="0"/>
    <x v="127"/>
    <x v="66"/>
    <x v="432"/>
    <x v="431"/>
    <x v="433"/>
    <x v="7"/>
    <x v="407"/>
  </r>
  <r>
    <x v="434"/>
    <x v="59"/>
    <s v="DEL"/>
    <x v="6"/>
    <x v="324"/>
    <n v="204"/>
    <x v="1"/>
    <x v="49"/>
    <x v="84"/>
    <x v="433"/>
    <x v="432"/>
    <x v="434"/>
    <x v="4"/>
    <x v="408"/>
  </r>
  <r>
    <x v="435"/>
    <x v="43"/>
    <s v="DEL"/>
    <x v="9"/>
    <x v="325"/>
    <n v="72"/>
    <x v="3"/>
    <x v="115"/>
    <x v="111"/>
    <x v="434"/>
    <x v="433"/>
    <x v="435"/>
    <x v="9"/>
    <x v="214"/>
  </r>
  <r>
    <x v="436"/>
    <x v="29"/>
    <s v="BLR"/>
    <x v="1"/>
    <x v="133"/>
    <n v="149"/>
    <x v="2"/>
    <x v="5"/>
    <x v="2"/>
    <x v="435"/>
    <x v="434"/>
    <x v="436"/>
    <x v="6"/>
    <x v="237"/>
  </r>
  <r>
    <x v="437"/>
    <x v="61"/>
    <s v="PNQ"/>
    <x v="9"/>
    <x v="326"/>
    <n v="45"/>
    <x v="4"/>
    <x v="135"/>
    <x v="108"/>
    <x v="436"/>
    <x v="435"/>
    <x v="437"/>
    <x v="1"/>
    <x v="409"/>
  </r>
  <r>
    <x v="438"/>
    <x v="81"/>
    <s v="AMD"/>
    <x v="7"/>
    <x v="327"/>
    <n v="64"/>
    <x v="4"/>
    <x v="136"/>
    <x v="83"/>
    <x v="437"/>
    <x v="436"/>
    <x v="438"/>
    <x v="2"/>
    <x v="410"/>
  </r>
  <r>
    <x v="439"/>
    <x v="27"/>
    <s v="MAA"/>
    <x v="8"/>
    <x v="328"/>
    <n v="70"/>
    <x v="0"/>
    <x v="27"/>
    <x v="95"/>
    <x v="438"/>
    <x v="437"/>
    <x v="439"/>
    <x v="3"/>
    <x v="411"/>
  </r>
  <r>
    <x v="440"/>
    <x v="25"/>
    <s v="HYD"/>
    <x v="7"/>
    <x v="329"/>
    <n v="239"/>
    <x v="4"/>
    <x v="29"/>
    <x v="105"/>
    <x v="439"/>
    <x v="438"/>
    <x v="440"/>
    <x v="9"/>
    <x v="4"/>
  </r>
  <r>
    <x v="441"/>
    <x v="22"/>
    <s v="PNQ"/>
    <x v="2"/>
    <x v="148"/>
    <n v="140"/>
    <x v="2"/>
    <x v="137"/>
    <x v="4"/>
    <x v="440"/>
    <x v="439"/>
    <x v="441"/>
    <x v="9"/>
    <x v="412"/>
  </r>
  <r>
    <x v="442"/>
    <x v="17"/>
    <s v="MAA"/>
    <x v="3"/>
    <x v="330"/>
    <n v="167"/>
    <x v="3"/>
    <x v="24"/>
    <x v="4"/>
    <x v="441"/>
    <x v="440"/>
    <x v="442"/>
    <x v="6"/>
    <x v="413"/>
  </r>
  <r>
    <x v="443"/>
    <x v="81"/>
    <s v="AMD"/>
    <x v="7"/>
    <x v="331"/>
    <n v="196"/>
    <x v="3"/>
    <x v="131"/>
    <x v="140"/>
    <x v="442"/>
    <x v="441"/>
    <x v="443"/>
    <x v="11"/>
    <x v="414"/>
  </r>
  <r>
    <x v="444"/>
    <x v="37"/>
    <s v="HYD"/>
    <x v="9"/>
    <x v="191"/>
    <n v="52"/>
    <x v="0"/>
    <x v="123"/>
    <x v="121"/>
    <x v="443"/>
    <x v="442"/>
    <x v="444"/>
    <x v="7"/>
    <x v="263"/>
  </r>
  <r>
    <x v="445"/>
    <x v="54"/>
    <s v="BOM"/>
    <x v="5"/>
    <x v="315"/>
    <n v="212"/>
    <x v="2"/>
    <x v="88"/>
    <x v="32"/>
    <x v="444"/>
    <x v="443"/>
    <x v="445"/>
    <x v="7"/>
    <x v="65"/>
  </r>
  <r>
    <x v="446"/>
    <x v="58"/>
    <s v="CCU"/>
    <x v="6"/>
    <x v="144"/>
    <n v="221"/>
    <x v="1"/>
    <x v="93"/>
    <x v="68"/>
    <x v="445"/>
    <x v="444"/>
    <x v="446"/>
    <x v="2"/>
    <x v="415"/>
  </r>
  <r>
    <x v="447"/>
    <x v="12"/>
    <s v="HYD"/>
    <x v="5"/>
    <x v="332"/>
    <n v="201"/>
    <x v="4"/>
    <x v="29"/>
    <x v="96"/>
    <x v="446"/>
    <x v="445"/>
    <x v="447"/>
    <x v="5"/>
    <x v="416"/>
  </r>
  <r>
    <x v="448"/>
    <x v="81"/>
    <s v="AMD"/>
    <x v="7"/>
    <x v="309"/>
    <n v="127"/>
    <x v="0"/>
    <x v="117"/>
    <x v="55"/>
    <x v="447"/>
    <x v="446"/>
    <x v="448"/>
    <x v="10"/>
    <x v="417"/>
  </r>
  <r>
    <x v="449"/>
    <x v="1"/>
    <s v="GOI"/>
    <x v="1"/>
    <x v="23"/>
    <n v="105"/>
    <x v="4"/>
    <x v="113"/>
    <x v="70"/>
    <x v="448"/>
    <x v="447"/>
    <x v="449"/>
    <x v="3"/>
    <x v="20"/>
  </r>
  <r>
    <x v="450"/>
    <x v="21"/>
    <s v="PNQ"/>
    <x v="8"/>
    <x v="31"/>
    <n v="75"/>
    <x v="3"/>
    <x v="53"/>
    <x v="98"/>
    <x v="449"/>
    <x v="448"/>
    <x v="450"/>
    <x v="8"/>
    <x v="418"/>
  </r>
  <r>
    <x v="451"/>
    <x v="77"/>
    <s v="GOI"/>
    <x v="6"/>
    <x v="333"/>
    <n v="68"/>
    <x v="1"/>
    <x v="43"/>
    <x v="40"/>
    <x v="450"/>
    <x v="449"/>
    <x v="451"/>
    <x v="0"/>
    <x v="419"/>
  </r>
  <r>
    <x v="452"/>
    <x v="61"/>
    <s v="PNQ"/>
    <x v="9"/>
    <x v="334"/>
    <n v="58"/>
    <x v="0"/>
    <x v="138"/>
    <x v="141"/>
    <x v="451"/>
    <x v="450"/>
    <x v="452"/>
    <x v="0"/>
    <x v="4"/>
  </r>
  <r>
    <x v="453"/>
    <x v="61"/>
    <s v="PNQ"/>
    <x v="9"/>
    <x v="279"/>
    <n v="74"/>
    <x v="4"/>
    <x v="51"/>
    <x v="1"/>
    <x v="452"/>
    <x v="451"/>
    <x v="453"/>
    <x v="9"/>
    <x v="420"/>
  </r>
  <r>
    <x v="454"/>
    <x v="13"/>
    <s v="MAA"/>
    <x v="6"/>
    <x v="335"/>
    <n v="140"/>
    <x v="4"/>
    <x v="4"/>
    <x v="96"/>
    <x v="453"/>
    <x v="452"/>
    <x v="454"/>
    <x v="2"/>
    <x v="421"/>
  </r>
  <r>
    <x v="455"/>
    <x v="43"/>
    <s v="DEL"/>
    <x v="9"/>
    <x v="152"/>
    <n v="95"/>
    <x v="0"/>
    <x v="57"/>
    <x v="6"/>
    <x v="454"/>
    <x v="453"/>
    <x v="455"/>
    <x v="7"/>
    <x v="422"/>
  </r>
  <r>
    <x v="456"/>
    <x v="29"/>
    <s v="BLR"/>
    <x v="1"/>
    <x v="336"/>
    <n v="238"/>
    <x v="3"/>
    <x v="4"/>
    <x v="60"/>
    <x v="455"/>
    <x v="454"/>
    <x v="456"/>
    <x v="9"/>
    <x v="423"/>
  </r>
  <r>
    <x v="457"/>
    <x v="26"/>
    <s v="JAI"/>
    <x v="8"/>
    <x v="337"/>
    <n v="172"/>
    <x v="4"/>
    <x v="31"/>
    <x v="38"/>
    <x v="456"/>
    <x v="455"/>
    <x v="457"/>
    <x v="10"/>
    <x v="424"/>
  </r>
  <r>
    <x v="458"/>
    <x v="16"/>
    <s v="PNQ"/>
    <x v="6"/>
    <x v="235"/>
    <n v="222"/>
    <x v="1"/>
    <x v="130"/>
    <x v="79"/>
    <x v="457"/>
    <x v="456"/>
    <x v="458"/>
    <x v="5"/>
    <x v="425"/>
  </r>
  <r>
    <x v="459"/>
    <x v="42"/>
    <s v="JAI"/>
    <x v="9"/>
    <x v="338"/>
    <n v="143"/>
    <x v="3"/>
    <x v="119"/>
    <x v="55"/>
    <x v="458"/>
    <x v="457"/>
    <x v="459"/>
    <x v="2"/>
    <x v="426"/>
  </r>
  <r>
    <x v="460"/>
    <x v="8"/>
    <s v="PNQ"/>
    <x v="5"/>
    <x v="339"/>
    <n v="150"/>
    <x v="1"/>
    <x v="139"/>
    <x v="114"/>
    <x v="459"/>
    <x v="458"/>
    <x v="460"/>
    <x v="10"/>
    <x v="427"/>
  </r>
  <r>
    <x v="461"/>
    <x v="44"/>
    <s v="BLR"/>
    <x v="2"/>
    <x v="340"/>
    <n v="204"/>
    <x v="2"/>
    <x v="61"/>
    <x v="100"/>
    <x v="460"/>
    <x v="459"/>
    <x v="461"/>
    <x v="1"/>
    <x v="428"/>
  </r>
  <r>
    <x v="462"/>
    <x v="77"/>
    <s v="GOI"/>
    <x v="6"/>
    <x v="172"/>
    <n v="208"/>
    <x v="2"/>
    <x v="87"/>
    <x v="24"/>
    <x v="461"/>
    <x v="460"/>
    <x v="462"/>
    <x v="6"/>
    <x v="141"/>
  </r>
  <r>
    <x v="463"/>
    <x v="9"/>
    <s v="JAI"/>
    <x v="1"/>
    <x v="341"/>
    <n v="236"/>
    <x v="1"/>
    <x v="80"/>
    <x v="17"/>
    <x v="462"/>
    <x v="461"/>
    <x v="463"/>
    <x v="8"/>
    <x v="429"/>
  </r>
  <r>
    <x v="464"/>
    <x v="48"/>
    <s v="BOM"/>
    <x v="3"/>
    <x v="342"/>
    <n v="58"/>
    <x v="4"/>
    <x v="133"/>
    <x v="16"/>
    <x v="463"/>
    <x v="462"/>
    <x v="464"/>
    <x v="10"/>
    <x v="430"/>
  </r>
  <r>
    <x v="465"/>
    <x v="24"/>
    <s v="AMD"/>
    <x v="0"/>
    <x v="343"/>
    <n v="120"/>
    <x v="0"/>
    <x v="50"/>
    <x v="105"/>
    <x v="464"/>
    <x v="463"/>
    <x v="465"/>
    <x v="6"/>
    <x v="431"/>
  </r>
  <r>
    <x v="466"/>
    <x v="26"/>
    <s v="JAI"/>
    <x v="8"/>
    <x v="344"/>
    <n v="235"/>
    <x v="1"/>
    <x v="140"/>
    <x v="42"/>
    <x v="465"/>
    <x v="464"/>
    <x v="466"/>
    <x v="1"/>
    <x v="432"/>
  </r>
  <r>
    <x v="467"/>
    <x v="48"/>
    <s v="BOM"/>
    <x v="3"/>
    <x v="345"/>
    <n v="151"/>
    <x v="2"/>
    <x v="17"/>
    <x v="93"/>
    <x v="466"/>
    <x v="465"/>
    <x v="467"/>
    <x v="3"/>
    <x v="433"/>
  </r>
  <r>
    <x v="468"/>
    <x v="89"/>
    <s v="JAI"/>
    <x v="3"/>
    <x v="346"/>
    <n v="207"/>
    <x v="2"/>
    <x v="68"/>
    <x v="142"/>
    <x v="467"/>
    <x v="466"/>
    <x v="468"/>
    <x v="1"/>
    <x v="434"/>
  </r>
  <r>
    <x v="469"/>
    <x v="8"/>
    <s v="PNQ"/>
    <x v="5"/>
    <x v="208"/>
    <n v="64"/>
    <x v="0"/>
    <x v="130"/>
    <x v="40"/>
    <x v="468"/>
    <x v="467"/>
    <x v="469"/>
    <x v="6"/>
    <x v="435"/>
  </r>
  <r>
    <x v="470"/>
    <x v="30"/>
    <s v="HYD"/>
    <x v="2"/>
    <x v="347"/>
    <n v="112"/>
    <x v="0"/>
    <x v="5"/>
    <x v="20"/>
    <x v="469"/>
    <x v="468"/>
    <x v="470"/>
    <x v="5"/>
    <x v="436"/>
  </r>
  <r>
    <x v="471"/>
    <x v="24"/>
    <s v="AMD"/>
    <x v="0"/>
    <x v="348"/>
    <n v="127"/>
    <x v="1"/>
    <x v="96"/>
    <x v="60"/>
    <x v="470"/>
    <x v="469"/>
    <x v="471"/>
    <x v="2"/>
    <x v="437"/>
  </r>
  <r>
    <x v="472"/>
    <x v="85"/>
    <s v="GOI"/>
    <x v="9"/>
    <x v="181"/>
    <n v="226"/>
    <x v="2"/>
    <x v="109"/>
    <x v="45"/>
    <x v="471"/>
    <x v="470"/>
    <x v="472"/>
    <x v="11"/>
    <x v="438"/>
  </r>
  <r>
    <x v="473"/>
    <x v="50"/>
    <s v="GOI"/>
    <x v="5"/>
    <x v="202"/>
    <n v="184"/>
    <x v="1"/>
    <x v="114"/>
    <x v="61"/>
    <x v="472"/>
    <x v="471"/>
    <x v="473"/>
    <x v="11"/>
    <x v="439"/>
  </r>
  <r>
    <x v="474"/>
    <x v="60"/>
    <s v="CCU"/>
    <x v="1"/>
    <x v="349"/>
    <n v="120"/>
    <x v="0"/>
    <x v="31"/>
    <x v="21"/>
    <x v="473"/>
    <x v="472"/>
    <x v="474"/>
    <x v="0"/>
    <x v="440"/>
  </r>
  <r>
    <x v="475"/>
    <x v="39"/>
    <s v="DEL"/>
    <x v="1"/>
    <x v="350"/>
    <n v="106"/>
    <x v="1"/>
    <x v="45"/>
    <x v="2"/>
    <x v="474"/>
    <x v="473"/>
    <x v="475"/>
    <x v="9"/>
    <x v="249"/>
  </r>
  <r>
    <x v="476"/>
    <x v="30"/>
    <s v="HYD"/>
    <x v="2"/>
    <x v="300"/>
    <n v="230"/>
    <x v="2"/>
    <x v="94"/>
    <x v="32"/>
    <x v="475"/>
    <x v="474"/>
    <x v="476"/>
    <x v="5"/>
    <x v="441"/>
  </r>
  <r>
    <x v="477"/>
    <x v="21"/>
    <s v="PNQ"/>
    <x v="8"/>
    <x v="3"/>
    <n v="120"/>
    <x v="0"/>
    <x v="69"/>
    <x v="40"/>
    <x v="476"/>
    <x v="475"/>
    <x v="477"/>
    <x v="3"/>
    <x v="442"/>
  </r>
  <r>
    <x v="478"/>
    <x v="77"/>
    <s v="GOI"/>
    <x v="6"/>
    <x v="351"/>
    <n v="205"/>
    <x v="4"/>
    <x v="111"/>
    <x v="66"/>
    <x v="477"/>
    <x v="476"/>
    <x v="478"/>
    <x v="0"/>
    <x v="443"/>
  </r>
  <r>
    <x v="479"/>
    <x v="7"/>
    <s v="DEL"/>
    <x v="2"/>
    <x v="352"/>
    <n v="224"/>
    <x v="3"/>
    <x v="18"/>
    <x v="5"/>
    <x v="478"/>
    <x v="477"/>
    <x v="479"/>
    <x v="5"/>
    <x v="444"/>
  </r>
  <r>
    <x v="480"/>
    <x v="36"/>
    <s v="CCU"/>
    <x v="0"/>
    <x v="306"/>
    <n v="63"/>
    <x v="4"/>
    <x v="62"/>
    <x v="20"/>
    <x v="479"/>
    <x v="478"/>
    <x v="480"/>
    <x v="11"/>
    <x v="445"/>
  </r>
  <r>
    <x v="481"/>
    <x v="76"/>
    <s v="BLR"/>
    <x v="9"/>
    <x v="353"/>
    <n v="144"/>
    <x v="3"/>
    <x v="114"/>
    <x v="143"/>
    <x v="480"/>
    <x v="378"/>
    <x v="481"/>
    <x v="3"/>
    <x v="446"/>
  </r>
  <r>
    <x v="482"/>
    <x v="59"/>
    <s v="DEL"/>
    <x v="6"/>
    <x v="274"/>
    <n v="209"/>
    <x v="1"/>
    <x v="10"/>
    <x v="112"/>
    <x v="481"/>
    <x v="479"/>
    <x v="482"/>
    <x v="0"/>
    <x v="447"/>
  </r>
  <r>
    <x v="483"/>
    <x v="58"/>
    <s v="CCU"/>
    <x v="6"/>
    <x v="136"/>
    <n v="119"/>
    <x v="2"/>
    <x v="135"/>
    <x v="95"/>
    <x v="482"/>
    <x v="480"/>
    <x v="483"/>
    <x v="9"/>
    <x v="381"/>
  </r>
  <r>
    <x v="484"/>
    <x v="71"/>
    <s v="BOM"/>
    <x v="8"/>
    <x v="354"/>
    <n v="181"/>
    <x v="0"/>
    <x v="121"/>
    <x v="51"/>
    <x v="483"/>
    <x v="481"/>
    <x v="484"/>
    <x v="2"/>
    <x v="448"/>
  </r>
  <r>
    <x v="485"/>
    <x v="41"/>
    <s v="AMD"/>
    <x v="9"/>
    <x v="283"/>
    <n v="231"/>
    <x v="2"/>
    <x v="29"/>
    <x v="49"/>
    <x v="484"/>
    <x v="482"/>
    <x v="485"/>
    <x v="8"/>
    <x v="449"/>
  </r>
  <r>
    <x v="486"/>
    <x v="9"/>
    <s v="JAI"/>
    <x v="1"/>
    <x v="352"/>
    <n v="185"/>
    <x v="4"/>
    <x v="38"/>
    <x v="99"/>
    <x v="485"/>
    <x v="483"/>
    <x v="486"/>
    <x v="5"/>
    <x v="450"/>
  </r>
  <r>
    <x v="487"/>
    <x v="50"/>
    <s v="GOI"/>
    <x v="5"/>
    <x v="355"/>
    <n v="92"/>
    <x v="0"/>
    <x v="84"/>
    <x v="11"/>
    <x v="486"/>
    <x v="484"/>
    <x v="487"/>
    <x v="2"/>
    <x v="451"/>
  </r>
  <r>
    <x v="488"/>
    <x v="23"/>
    <s v="BOM"/>
    <x v="6"/>
    <x v="356"/>
    <n v="210"/>
    <x v="1"/>
    <x v="18"/>
    <x v="95"/>
    <x v="487"/>
    <x v="485"/>
    <x v="488"/>
    <x v="9"/>
    <x v="452"/>
  </r>
  <r>
    <x v="489"/>
    <x v="74"/>
    <s v="BLR"/>
    <x v="8"/>
    <x v="357"/>
    <n v="136"/>
    <x v="0"/>
    <x v="101"/>
    <x v="38"/>
    <x v="488"/>
    <x v="486"/>
    <x v="489"/>
    <x v="6"/>
    <x v="453"/>
  </r>
  <r>
    <x v="490"/>
    <x v="29"/>
    <s v="BLR"/>
    <x v="1"/>
    <x v="358"/>
    <n v="160"/>
    <x v="2"/>
    <x v="38"/>
    <x v="122"/>
    <x v="489"/>
    <x v="487"/>
    <x v="490"/>
    <x v="10"/>
    <x v="454"/>
  </r>
  <r>
    <x v="491"/>
    <x v="60"/>
    <s v="CCU"/>
    <x v="1"/>
    <x v="359"/>
    <n v="88"/>
    <x v="4"/>
    <x v="28"/>
    <x v="3"/>
    <x v="490"/>
    <x v="488"/>
    <x v="491"/>
    <x v="11"/>
    <x v="455"/>
  </r>
  <r>
    <x v="492"/>
    <x v="3"/>
    <s v="MAA"/>
    <x v="1"/>
    <x v="337"/>
    <n v="218"/>
    <x v="2"/>
    <x v="118"/>
    <x v="94"/>
    <x v="491"/>
    <x v="489"/>
    <x v="492"/>
    <x v="10"/>
    <x v="456"/>
  </r>
  <r>
    <x v="493"/>
    <x v="16"/>
    <s v="PNQ"/>
    <x v="6"/>
    <x v="360"/>
    <n v="89"/>
    <x v="1"/>
    <x v="134"/>
    <x v="89"/>
    <x v="492"/>
    <x v="490"/>
    <x v="493"/>
    <x v="9"/>
    <x v="457"/>
  </r>
  <r>
    <x v="494"/>
    <x v="83"/>
    <s v="MAA"/>
    <x v="7"/>
    <x v="361"/>
    <n v="49"/>
    <x v="1"/>
    <x v="81"/>
    <x v="112"/>
    <x v="493"/>
    <x v="491"/>
    <x v="494"/>
    <x v="11"/>
    <x v="65"/>
  </r>
  <r>
    <x v="495"/>
    <x v="82"/>
    <s v="BLR"/>
    <x v="0"/>
    <x v="362"/>
    <n v="111"/>
    <x v="1"/>
    <x v="50"/>
    <x v="144"/>
    <x v="494"/>
    <x v="492"/>
    <x v="495"/>
    <x v="5"/>
    <x v="458"/>
  </r>
  <r>
    <x v="496"/>
    <x v="76"/>
    <s v="BLR"/>
    <x v="9"/>
    <x v="337"/>
    <n v="163"/>
    <x v="1"/>
    <x v="9"/>
    <x v="61"/>
    <x v="495"/>
    <x v="493"/>
    <x v="496"/>
    <x v="10"/>
    <x v="459"/>
  </r>
  <r>
    <x v="497"/>
    <x v="18"/>
    <s v="BOM"/>
    <x v="2"/>
    <x v="363"/>
    <n v="220"/>
    <x v="0"/>
    <x v="139"/>
    <x v="55"/>
    <x v="496"/>
    <x v="494"/>
    <x v="497"/>
    <x v="7"/>
    <x v="460"/>
  </r>
  <r>
    <x v="498"/>
    <x v="80"/>
    <s v="JAI"/>
    <x v="5"/>
    <x v="67"/>
    <n v="136"/>
    <x v="4"/>
    <x v="51"/>
    <x v="43"/>
    <x v="497"/>
    <x v="495"/>
    <x v="498"/>
    <x v="10"/>
    <x v="61"/>
  </r>
  <r>
    <x v="499"/>
    <x v="75"/>
    <s v="CCU"/>
    <x v="4"/>
    <x v="364"/>
    <n v="216"/>
    <x v="0"/>
    <x v="141"/>
    <x v="59"/>
    <x v="498"/>
    <x v="496"/>
    <x v="499"/>
    <x v="3"/>
    <x v="461"/>
  </r>
  <r>
    <x v="500"/>
    <x v="67"/>
    <s v="BOM"/>
    <x v="7"/>
    <x v="365"/>
    <n v="127"/>
    <x v="4"/>
    <x v="40"/>
    <x v="145"/>
    <x v="499"/>
    <x v="497"/>
    <x v="500"/>
    <x v="4"/>
    <x v="462"/>
  </r>
  <r>
    <x v="501"/>
    <x v="50"/>
    <s v="GOI"/>
    <x v="5"/>
    <x v="192"/>
    <n v="212"/>
    <x v="3"/>
    <x v="35"/>
    <x v="73"/>
    <x v="500"/>
    <x v="498"/>
    <x v="501"/>
    <x v="0"/>
    <x v="463"/>
  </r>
  <r>
    <x v="502"/>
    <x v="88"/>
    <s v="HYD"/>
    <x v="4"/>
    <x v="366"/>
    <n v="148"/>
    <x v="2"/>
    <x v="61"/>
    <x v="43"/>
    <x v="501"/>
    <x v="499"/>
    <x v="502"/>
    <x v="2"/>
    <x v="464"/>
  </r>
  <r>
    <x v="503"/>
    <x v="50"/>
    <s v="GOI"/>
    <x v="5"/>
    <x v="234"/>
    <n v="87"/>
    <x v="0"/>
    <x v="100"/>
    <x v="20"/>
    <x v="502"/>
    <x v="500"/>
    <x v="503"/>
    <x v="11"/>
    <x v="153"/>
  </r>
  <r>
    <x v="504"/>
    <x v="10"/>
    <s v="AMD"/>
    <x v="4"/>
    <x v="10"/>
    <n v="199"/>
    <x v="4"/>
    <x v="6"/>
    <x v="84"/>
    <x v="503"/>
    <x v="501"/>
    <x v="504"/>
    <x v="0"/>
    <x v="465"/>
  </r>
  <r>
    <x v="505"/>
    <x v="21"/>
    <s v="PNQ"/>
    <x v="8"/>
    <x v="367"/>
    <n v="196"/>
    <x v="0"/>
    <x v="92"/>
    <x v="2"/>
    <x v="504"/>
    <x v="502"/>
    <x v="505"/>
    <x v="1"/>
    <x v="466"/>
  </r>
  <r>
    <x v="506"/>
    <x v="80"/>
    <s v="JAI"/>
    <x v="5"/>
    <x v="337"/>
    <n v="206"/>
    <x v="1"/>
    <x v="27"/>
    <x v="39"/>
    <x v="505"/>
    <x v="503"/>
    <x v="506"/>
    <x v="10"/>
    <x v="467"/>
  </r>
  <r>
    <x v="507"/>
    <x v="28"/>
    <s v="MAA"/>
    <x v="5"/>
    <x v="368"/>
    <n v="148"/>
    <x v="1"/>
    <x v="125"/>
    <x v="146"/>
    <x v="506"/>
    <x v="504"/>
    <x v="507"/>
    <x v="2"/>
    <x v="468"/>
  </r>
  <r>
    <x v="508"/>
    <x v="7"/>
    <s v="DEL"/>
    <x v="2"/>
    <x v="369"/>
    <n v="200"/>
    <x v="3"/>
    <x v="123"/>
    <x v="80"/>
    <x v="507"/>
    <x v="505"/>
    <x v="508"/>
    <x v="9"/>
    <x v="469"/>
  </r>
  <r>
    <x v="509"/>
    <x v="10"/>
    <s v="AMD"/>
    <x v="4"/>
    <x v="46"/>
    <n v="213"/>
    <x v="1"/>
    <x v="66"/>
    <x v="50"/>
    <x v="508"/>
    <x v="506"/>
    <x v="509"/>
    <x v="4"/>
    <x v="470"/>
  </r>
  <r>
    <x v="510"/>
    <x v="66"/>
    <s v="JAI"/>
    <x v="7"/>
    <x v="370"/>
    <n v="141"/>
    <x v="3"/>
    <x v="33"/>
    <x v="93"/>
    <x v="509"/>
    <x v="507"/>
    <x v="510"/>
    <x v="1"/>
    <x v="471"/>
  </r>
  <r>
    <x v="511"/>
    <x v="1"/>
    <s v="GOI"/>
    <x v="1"/>
    <x v="371"/>
    <n v="200"/>
    <x v="4"/>
    <x v="62"/>
    <x v="42"/>
    <x v="510"/>
    <x v="508"/>
    <x v="511"/>
    <x v="2"/>
    <x v="179"/>
  </r>
  <r>
    <x v="512"/>
    <x v="52"/>
    <s v="DEL"/>
    <x v="5"/>
    <x v="107"/>
    <n v="213"/>
    <x v="0"/>
    <x v="50"/>
    <x v="1"/>
    <x v="511"/>
    <x v="509"/>
    <x v="512"/>
    <x v="10"/>
    <x v="472"/>
  </r>
  <r>
    <x v="513"/>
    <x v="36"/>
    <s v="CCU"/>
    <x v="0"/>
    <x v="372"/>
    <n v="180"/>
    <x v="3"/>
    <x v="6"/>
    <x v="101"/>
    <x v="512"/>
    <x v="510"/>
    <x v="513"/>
    <x v="6"/>
    <x v="473"/>
  </r>
  <r>
    <x v="514"/>
    <x v="66"/>
    <s v="JAI"/>
    <x v="7"/>
    <x v="373"/>
    <n v="79"/>
    <x v="2"/>
    <x v="118"/>
    <x v="6"/>
    <x v="513"/>
    <x v="511"/>
    <x v="514"/>
    <x v="11"/>
    <x v="474"/>
  </r>
  <r>
    <x v="515"/>
    <x v="1"/>
    <s v="GOI"/>
    <x v="1"/>
    <x v="219"/>
    <n v="93"/>
    <x v="4"/>
    <x v="98"/>
    <x v="108"/>
    <x v="514"/>
    <x v="512"/>
    <x v="515"/>
    <x v="7"/>
    <x v="475"/>
  </r>
  <r>
    <x v="516"/>
    <x v="29"/>
    <s v="BLR"/>
    <x v="1"/>
    <x v="78"/>
    <n v="137"/>
    <x v="4"/>
    <x v="36"/>
    <x v="17"/>
    <x v="515"/>
    <x v="513"/>
    <x v="516"/>
    <x v="3"/>
    <x v="476"/>
  </r>
  <r>
    <x v="517"/>
    <x v="37"/>
    <s v="HYD"/>
    <x v="9"/>
    <x v="191"/>
    <n v="115"/>
    <x v="3"/>
    <x v="127"/>
    <x v="128"/>
    <x v="516"/>
    <x v="514"/>
    <x v="517"/>
    <x v="7"/>
    <x v="477"/>
  </r>
  <r>
    <x v="518"/>
    <x v="79"/>
    <s v="AMD"/>
    <x v="1"/>
    <x v="206"/>
    <n v="187"/>
    <x v="3"/>
    <x v="84"/>
    <x v="25"/>
    <x v="517"/>
    <x v="515"/>
    <x v="518"/>
    <x v="5"/>
    <x v="478"/>
  </r>
  <r>
    <x v="519"/>
    <x v="81"/>
    <s v="AMD"/>
    <x v="7"/>
    <x v="370"/>
    <n v="159"/>
    <x v="0"/>
    <x v="142"/>
    <x v="93"/>
    <x v="518"/>
    <x v="516"/>
    <x v="519"/>
    <x v="1"/>
    <x v="479"/>
  </r>
  <r>
    <x v="520"/>
    <x v="57"/>
    <s v="GOI"/>
    <x v="0"/>
    <x v="355"/>
    <n v="144"/>
    <x v="4"/>
    <x v="23"/>
    <x v="128"/>
    <x v="519"/>
    <x v="517"/>
    <x v="520"/>
    <x v="2"/>
    <x v="480"/>
  </r>
  <r>
    <x v="521"/>
    <x v="25"/>
    <s v="HYD"/>
    <x v="7"/>
    <x v="374"/>
    <n v="112"/>
    <x v="0"/>
    <x v="55"/>
    <x v="96"/>
    <x v="520"/>
    <x v="518"/>
    <x v="521"/>
    <x v="11"/>
    <x v="481"/>
  </r>
  <r>
    <x v="522"/>
    <x v="26"/>
    <s v="JAI"/>
    <x v="8"/>
    <x v="375"/>
    <n v="227"/>
    <x v="1"/>
    <x v="26"/>
    <x v="41"/>
    <x v="521"/>
    <x v="519"/>
    <x v="522"/>
    <x v="4"/>
    <x v="482"/>
  </r>
  <r>
    <x v="523"/>
    <x v="19"/>
    <s v="BLR"/>
    <x v="6"/>
    <x v="376"/>
    <n v="94"/>
    <x v="4"/>
    <x v="9"/>
    <x v="18"/>
    <x v="522"/>
    <x v="520"/>
    <x v="523"/>
    <x v="4"/>
    <x v="78"/>
  </r>
  <r>
    <x v="524"/>
    <x v="14"/>
    <s v="BOM"/>
    <x v="1"/>
    <x v="377"/>
    <n v="212"/>
    <x v="4"/>
    <x v="64"/>
    <x v="41"/>
    <x v="523"/>
    <x v="521"/>
    <x v="524"/>
    <x v="7"/>
    <x v="483"/>
  </r>
  <r>
    <x v="525"/>
    <x v="46"/>
    <s v="HYD"/>
    <x v="3"/>
    <x v="378"/>
    <n v="96"/>
    <x v="1"/>
    <x v="88"/>
    <x v="7"/>
    <x v="524"/>
    <x v="522"/>
    <x v="525"/>
    <x v="1"/>
    <x v="484"/>
  </r>
  <r>
    <x v="526"/>
    <x v="85"/>
    <s v="GOI"/>
    <x v="9"/>
    <x v="379"/>
    <n v="115"/>
    <x v="0"/>
    <x v="143"/>
    <x v="19"/>
    <x v="525"/>
    <x v="523"/>
    <x v="526"/>
    <x v="6"/>
    <x v="485"/>
  </r>
  <r>
    <x v="527"/>
    <x v="28"/>
    <s v="MAA"/>
    <x v="5"/>
    <x v="380"/>
    <n v="174"/>
    <x v="4"/>
    <x v="8"/>
    <x v="95"/>
    <x v="526"/>
    <x v="524"/>
    <x v="527"/>
    <x v="3"/>
    <x v="486"/>
  </r>
  <r>
    <x v="528"/>
    <x v="59"/>
    <s v="DEL"/>
    <x v="6"/>
    <x v="219"/>
    <n v="182"/>
    <x v="1"/>
    <x v="84"/>
    <x v="122"/>
    <x v="527"/>
    <x v="525"/>
    <x v="528"/>
    <x v="7"/>
    <x v="487"/>
  </r>
  <r>
    <x v="529"/>
    <x v="34"/>
    <s v="PNQ"/>
    <x v="4"/>
    <x v="167"/>
    <n v="162"/>
    <x v="3"/>
    <x v="68"/>
    <x v="108"/>
    <x v="528"/>
    <x v="526"/>
    <x v="529"/>
    <x v="6"/>
    <x v="488"/>
  </r>
  <r>
    <x v="530"/>
    <x v="4"/>
    <s v="DEL"/>
    <x v="3"/>
    <x v="381"/>
    <n v="101"/>
    <x v="0"/>
    <x v="28"/>
    <x v="128"/>
    <x v="529"/>
    <x v="527"/>
    <x v="530"/>
    <x v="4"/>
    <x v="343"/>
  </r>
  <r>
    <x v="531"/>
    <x v="63"/>
    <s v="BOM"/>
    <x v="9"/>
    <x v="263"/>
    <n v="118"/>
    <x v="4"/>
    <x v="46"/>
    <x v="52"/>
    <x v="530"/>
    <x v="528"/>
    <x v="531"/>
    <x v="7"/>
    <x v="489"/>
  </r>
  <r>
    <x v="532"/>
    <x v="61"/>
    <s v="PNQ"/>
    <x v="9"/>
    <x v="39"/>
    <n v="100"/>
    <x v="1"/>
    <x v="37"/>
    <x v="61"/>
    <x v="531"/>
    <x v="529"/>
    <x v="532"/>
    <x v="6"/>
    <x v="490"/>
  </r>
  <r>
    <x v="533"/>
    <x v="44"/>
    <s v="BLR"/>
    <x v="2"/>
    <x v="9"/>
    <n v="97"/>
    <x v="0"/>
    <x v="133"/>
    <x v="3"/>
    <x v="532"/>
    <x v="530"/>
    <x v="533"/>
    <x v="7"/>
    <x v="491"/>
  </r>
  <r>
    <x v="534"/>
    <x v="52"/>
    <s v="DEL"/>
    <x v="5"/>
    <x v="382"/>
    <n v="214"/>
    <x v="3"/>
    <x v="98"/>
    <x v="30"/>
    <x v="533"/>
    <x v="531"/>
    <x v="534"/>
    <x v="8"/>
    <x v="492"/>
  </r>
  <r>
    <x v="535"/>
    <x v="87"/>
    <s v="CCU"/>
    <x v="8"/>
    <x v="383"/>
    <n v="115"/>
    <x v="3"/>
    <x v="137"/>
    <x v="40"/>
    <x v="534"/>
    <x v="532"/>
    <x v="535"/>
    <x v="1"/>
    <x v="493"/>
  </r>
  <r>
    <x v="536"/>
    <x v="80"/>
    <s v="JAI"/>
    <x v="5"/>
    <x v="74"/>
    <n v="179"/>
    <x v="3"/>
    <x v="118"/>
    <x v="147"/>
    <x v="535"/>
    <x v="533"/>
    <x v="536"/>
    <x v="3"/>
    <x v="494"/>
  </r>
  <r>
    <x v="537"/>
    <x v="12"/>
    <s v="HYD"/>
    <x v="5"/>
    <x v="233"/>
    <n v="75"/>
    <x v="1"/>
    <x v="113"/>
    <x v="66"/>
    <x v="536"/>
    <x v="534"/>
    <x v="537"/>
    <x v="9"/>
    <x v="495"/>
  </r>
  <r>
    <x v="538"/>
    <x v="25"/>
    <s v="HYD"/>
    <x v="7"/>
    <x v="384"/>
    <n v="137"/>
    <x v="1"/>
    <x v="132"/>
    <x v="61"/>
    <x v="537"/>
    <x v="535"/>
    <x v="538"/>
    <x v="8"/>
    <x v="496"/>
  </r>
  <r>
    <x v="539"/>
    <x v="27"/>
    <s v="MAA"/>
    <x v="8"/>
    <x v="385"/>
    <n v="132"/>
    <x v="2"/>
    <x v="106"/>
    <x v="23"/>
    <x v="538"/>
    <x v="536"/>
    <x v="539"/>
    <x v="7"/>
    <x v="497"/>
  </r>
  <r>
    <x v="540"/>
    <x v="60"/>
    <s v="CCU"/>
    <x v="1"/>
    <x v="76"/>
    <n v="116"/>
    <x v="3"/>
    <x v="137"/>
    <x v="77"/>
    <x v="539"/>
    <x v="537"/>
    <x v="540"/>
    <x v="3"/>
    <x v="498"/>
  </r>
  <r>
    <x v="541"/>
    <x v="43"/>
    <s v="DEL"/>
    <x v="9"/>
    <x v="386"/>
    <n v="187"/>
    <x v="3"/>
    <x v="58"/>
    <x v="51"/>
    <x v="540"/>
    <x v="538"/>
    <x v="541"/>
    <x v="1"/>
    <x v="499"/>
  </r>
  <r>
    <x v="542"/>
    <x v="33"/>
    <s v="BOM"/>
    <x v="4"/>
    <x v="118"/>
    <n v="172"/>
    <x v="0"/>
    <x v="141"/>
    <x v="113"/>
    <x v="541"/>
    <x v="539"/>
    <x v="542"/>
    <x v="11"/>
    <x v="500"/>
  </r>
  <r>
    <x v="543"/>
    <x v="13"/>
    <s v="MAA"/>
    <x v="6"/>
    <x v="130"/>
    <n v="57"/>
    <x v="3"/>
    <x v="142"/>
    <x v="36"/>
    <x v="542"/>
    <x v="540"/>
    <x v="543"/>
    <x v="1"/>
    <x v="501"/>
  </r>
  <r>
    <x v="544"/>
    <x v="27"/>
    <s v="MAA"/>
    <x v="8"/>
    <x v="387"/>
    <n v="69"/>
    <x v="3"/>
    <x v="44"/>
    <x v="32"/>
    <x v="543"/>
    <x v="541"/>
    <x v="544"/>
    <x v="4"/>
    <x v="502"/>
  </r>
  <r>
    <x v="545"/>
    <x v="11"/>
    <s v="GOI"/>
    <x v="2"/>
    <x v="388"/>
    <n v="50"/>
    <x v="3"/>
    <x v="73"/>
    <x v="136"/>
    <x v="544"/>
    <x v="542"/>
    <x v="545"/>
    <x v="6"/>
    <x v="503"/>
  </r>
  <r>
    <x v="546"/>
    <x v="50"/>
    <s v="GOI"/>
    <x v="5"/>
    <x v="197"/>
    <n v="135"/>
    <x v="2"/>
    <x v="9"/>
    <x v="121"/>
    <x v="545"/>
    <x v="543"/>
    <x v="546"/>
    <x v="4"/>
    <x v="190"/>
  </r>
  <r>
    <x v="547"/>
    <x v="51"/>
    <s v="JAI"/>
    <x v="2"/>
    <x v="389"/>
    <n v="206"/>
    <x v="0"/>
    <x v="24"/>
    <x v="80"/>
    <x v="546"/>
    <x v="544"/>
    <x v="547"/>
    <x v="9"/>
    <x v="504"/>
  </r>
  <r>
    <x v="548"/>
    <x v="9"/>
    <s v="JAI"/>
    <x v="1"/>
    <x v="390"/>
    <n v="65"/>
    <x v="0"/>
    <x v="59"/>
    <x v="29"/>
    <x v="547"/>
    <x v="545"/>
    <x v="548"/>
    <x v="11"/>
    <x v="505"/>
  </r>
  <r>
    <x v="549"/>
    <x v="70"/>
    <s v="MAA"/>
    <x v="9"/>
    <x v="310"/>
    <n v="210"/>
    <x v="3"/>
    <x v="107"/>
    <x v="45"/>
    <x v="548"/>
    <x v="546"/>
    <x v="549"/>
    <x v="7"/>
    <x v="506"/>
  </r>
  <r>
    <x v="550"/>
    <x v="78"/>
    <s v="PNQ"/>
    <x v="1"/>
    <x v="321"/>
    <n v="92"/>
    <x v="4"/>
    <x v="42"/>
    <x v="58"/>
    <x v="549"/>
    <x v="547"/>
    <x v="550"/>
    <x v="2"/>
    <x v="507"/>
  </r>
  <r>
    <x v="551"/>
    <x v="7"/>
    <s v="DEL"/>
    <x v="2"/>
    <x v="98"/>
    <n v="146"/>
    <x v="4"/>
    <x v="93"/>
    <x v="7"/>
    <x v="550"/>
    <x v="548"/>
    <x v="551"/>
    <x v="2"/>
    <x v="508"/>
  </r>
  <r>
    <x v="552"/>
    <x v="48"/>
    <s v="BOM"/>
    <x v="3"/>
    <x v="391"/>
    <n v="240"/>
    <x v="4"/>
    <x v="2"/>
    <x v="79"/>
    <x v="551"/>
    <x v="549"/>
    <x v="552"/>
    <x v="2"/>
    <x v="509"/>
  </r>
  <r>
    <x v="553"/>
    <x v="30"/>
    <s v="HYD"/>
    <x v="2"/>
    <x v="82"/>
    <n v="108"/>
    <x v="2"/>
    <x v="144"/>
    <x v="20"/>
    <x v="552"/>
    <x v="550"/>
    <x v="553"/>
    <x v="1"/>
    <x v="510"/>
  </r>
  <r>
    <x v="554"/>
    <x v="67"/>
    <s v="BOM"/>
    <x v="7"/>
    <x v="392"/>
    <n v="136"/>
    <x v="2"/>
    <x v="47"/>
    <x v="47"/>
    <x v="553"/>
    <x v="551"/>
    <x v="554"/>
    <x v="8"/>
    <x v="511"/>
  </r>
  <r>
    <x v="555"/>
    <x v="8"/>
    <s v="PNQ"/>
    <x v="5"/>
    <x v="372"/>
    <n v="183"/>
    <x v="0"/>
    <x v="138"/>
    <x v="133"/>
    <x v="554"/>
    <x v="552"/>
    <x v="555"/>
    <x v="6"/>
    <x v="480"/>
  </r>
  <r>
    <x v="556"/>
    <x v="11"/>
    <s v="GOI"/>
    <x v="2"/>
    <x v="379"/>
    <n v="168"/>
    <x v="1"/>
    <x v="6"/>
    <x v="41"/>
    <x v="555"/>
    <x v="553"/>
    <x v="556"/>
    <x v="6"/>
    <x v="512"/>
  </r>
  <r>
    <x v="557"/>
    <x v="30"/>
    <s v="HYD"/>
    <x v="2"/>
    <x v="2"/>
    <n v="122"/>
    <x v="4"/>
    <x v="71"/>
    <x v="79"/>
    <x v="556"/>
    <x v="554"/>
    <x v="557"/>
    <x v="2"/>
    <x v="513"/>
  </r>
  <r>
    <x v="558"/>
    <x v="16"/>
    <s v="PNQ"/>
    <x v="6"/>
    <x v="393"/>
    <n v="221"/>
    <x v="3"/>
    <x v="118"/>
    <x v="114"/>
    <x v="557"/>
    <x v="555"/>
    <x v="558"/>
    <x v="0"/>
    <x v="514"/>
  </r>
  <r>
    <x v="559"/>
    <x v="45"/>
    <s v="JAI"/>
    <x v="4"/>
    <x v="351"/>
    <n v="185"/>
    <x v="2"/>
    <x v="103"/>
    <x v="128"/>
    <x v="558"/>
    <x v="556"/>
    <x v="559"/>
    <x v="0"/>
    <x v="515"/>
  </r>
  <r>
    <x v="560"/>
    <x v="65"/>
    <s v="BLR"/>
    <x v="5"/>
    <x v="285"/>
    <n v="144"/>
    <x v="3"/>
    <x v="51"/>
    <x v="32"/>
    <x v="559"/>
    <x v="445"/>
    <x v="560"/>
    <x v="4"/>
    <x v="516"/>
  </r>
  <r>
    <x v="561"/>
    <x v="19"/>
    <s v="BLR"/>
    <x v="6"/>
    <x v="385"/>
    <n v="222"/>
    <x v="2"/>
    <x v="97"/>
    <x v="8"/>
    <x v="560"/>
    <x v="557"/>
    <x v="561"/>
    <x v="7"/>
    <x v="517"/>
  </r>
  <r>
    <x v="562"/>
    <x v="15"/>
    <s v="BLR"/>
    <x v="7"/>
    <x v="394"/>
    <n v="79"/>
    <x v="2"/>
    <x v="145"/>
    <x v="60"/>
    <x v="561"/>
    <x v="558"/>
    <x v="562"/>
    <x v="5"/>
    <x v="518"/>
  </r>
  <r>
    <x v="563"/>
    <x v="27"/>
    <s v="MAA"/>
    <x v="8"/>
    <x v="395"/>
    <n v="127"/>
    <x v="4"/>
    <x v="34"/>
    <x v="98"/>
    <x v="562"/>
    <x v="559"/>
    <x v="563"/>
    <x v="5"/>
    <x v="519"/>
  </r>
  <r>
    <x v="564"/>
    <x v="43"/>
    <s v="DEL"/>
    <x v="9"/>
    <x v="231"/>
    <n v="77"/>
    <x v="3"/>
    <x v="29"/>
    <x v="4"/>
    <x v="563"/>
    <x v="560"/>
    <x v="564"/>
    <x v="4"/>
    <x v="142"/>
  </r>
  <r>
    <x v="565"/>
    <x v="34"/>
    <s v="PNQ"/>
    <x v="4"/>
    <x v="396"/>
    <n v="152"/>
    <x v="2"/>
    <x v="72"/>
    <x v="75"/>
    <x v="564"/>
    <x v="561"/>
    <x v="565"/>
    <x v="6"/>
    <x v="520"/>
  </r>
  <r>
    <x v="566"/>
    <x v="86"/>
    <s v="CCU"/>
    <x v="7"/>
    <x v="397"/>
    <n v="59"/>
    <x v="2"/>
    <x v="128"/>
    <x v="95"/>
    <x v="565"/>
    <x v="562"/>
    <x v="566"/>
    <x v="10"/>
    <x v="521"/>
  </r>
  <r>
    <x v="567"/>
    <x v="76"/>
    <s v="BLR"/>
    <x v="9"/>
    <x v="398"/>
    <n v="48"/>
    <x v="4"/>
    <x v="119"/>
    <x v="125"/>
    <x v="566"/>
    <x v="563"/>
    <x v="567"/>
    <x v="0"/>
    <x v="522"/>
  </r>
  <r>
    <x v="568"/>
    <x v="74"/>
    <s v="BLR"/>
    <x v="8"/>
    <x v="284"/>
    <n v="178"/>
    <x v="0"/>
    <x v="47"/>
    <x v="129"/>
    <x v="567"/>
    <x v="564"/>
    <x v="568"/>
    <x v="9"/>
    <x v="523"/>
  </r>
  <r>
    <x v="569"/>
    <x v="23"/>
    <s v="BOM"/>
    <x v="6"/>
    <x v="399"/>
    <n v="76"/>
    <x v="2"/>
    <x v="123"/>
    <x v="114"/>
    <x v="568"/>
    <x v="565"/>
    <x v="569"/>
    <x v="2"/>
    <x v="524"/>
  </r>
  <r>
    <x v="570"/>
    <x v="15"/>
    <s v="BLR"/>
    <x v="7"/>
    <x v="386"/>
    <n v="207"/>
    <x v="3"/>
    <x v="99"/>
    <x v="71"/>
    <x v="569"/>
    <x v="566"/>
    <x v="570"/>
    <x v="1"/>
    <x v="525"/>
  </r>
  <r>
    <x v="571"/>
    <x v="4"/>
    <s v="DEL"/>
    <x v="3"/>
    <x v="400"/>
    <n v="47"/>
    <x v="4"/>
    <x v="39"/>
    <x v="126"/>
    <x v="570"/>
    <x v="567"/>
    <x v="571"/>
    <x v="7"/>
    <x v="526"/>
  </r>
  <r>
    <x v="572"/>
    <x v="79"/>
    <s v="AMD"/>
    <x v="1"/>
    <x v="401"/>
    <n v="108"/>
    <x v="0"/>
    <x v="72"/>
    <x v="61"/>
    <x v="571"/>
    <x v="568"/>
    <x v="572"/>
    <x v="9"/>
    <x v="527"/>
  </r>
  <r>
    <x v="573"/>
    <x v="14"/>
    <s v="BOM"/>
    <x v="1"/>
    <x v="402"/>
    <n v="84"/>
    <x v="1"/>
    <x v="21"/>
    <x v="105"/>
    <x v="572"/>
    <x v="569"/>
    <x v="573"/>
    <x v="4"/>
    <x v="528"/>
  </r>
  <r>
    <x v="574"/>
    <x v="85"/>
    <s v="GOI"/>
    <x v="9"/>
    <x v="81"/>
    <n v="232"/>
    <x v="0"/>
    <x v="54"/>
    <x v="11"/>
    <x v="573"/>
    <x v="570"/>
    <x v="574"/>
    <x v="11"/>
    <x v="178"/>
  </r>
  <r>
    <x v="575"/>
    <x v="71"/>
    <s v="BOM"/>
    <x v="8"/>
    <x v="403"/>
    <n v="157"/>
    <x v="1"/>
    <x v="146"/>
    <x v="116"/>
    <x v="574"/>
    <x v="571"/>
    <x v="575"/>
    <x v="6"/>
    <x v="529"/>
  </r>
  <r>
    <x v="576"/>
    <x v="72"/>
    <s v="AMD"/>
    <x v="6"/>
    <x v="84"/>
    <n v="127"/>
    <x v="3"/>
    <x v="48"/>
    <x v="114"/>
    <x v="575"/>
    <x v="572"/>
    <x v="576"/>
    <x v="6"/>
    <x v="530"/>
  </r>
  <r>
    <x v="577"/>
    <x v="50"/>
    <s v="GOI"/>
    <x v="5"/>
    <x v="404"/>
    <n v="120"/>
    <x v="2"/>
    <x v="50"/>
    <x v="78"/>
    <x v="576"/>
    <x v="573"/>
    <x v="577"/>
    <x v="9"/>
    <x v="118"/>
  </r>
  <r>
    <x v="578"/>
    <x v="1"/>
    <s v="GOI"/>
    <x v="1"/>
    <x v="405"/>
    <n v="49"/>
    <x v="1"/>
    <x v="35"/>
    <x v="129"/>
    <x v="577"/>
    <x v="574"/>
    <x v="578"/>
    <x v="5"/>
    <x v="531"/>
  </r>
  <r>
    <x v="579"/>
    <x v="1"/>
    <s v="GOI"/>
    <x v="1"/>
    <x v="183"/>
    <n v="179"/>
    <x v="3"/>
    <x v="17"/>
    <x v="25"/>
    <x v="578"/>
    <x v="575"/>
    <x v="579"/>
    <x v="5"/>
    <x v="35"/>
  </r>
  <r>
    <x v="580"/>
    <x v="86"/>
    <s v="CCU"/>
    <x v="7"/>
    <x v="406"/>
    <n v="178"/>
    <x v="4"/>
    <x v="4"/>
    <x v="105"/>
    <x v="579"/>
    <x v="576"/>
    <x v="580"/>
    <x v="9"/>
    <x v="532"/>
  </r>
  <r>
    <x v="581"/>
    <x v="55"/>
    <s v="DEL"/>
    <x v="8"/>
    <x v="72"/>
    <n v="70"/>
    <x v="4"/>
    <x v="120"/>
    <x v="148"/>
    <x v="580"/>
    <x v="577"/>
    <x v="581"/>
    <x v="5"/>
    <x v="533"/>
  </r>
  <r>
    <x v="582"/>
    <x v="11"/>
    <s v="GOI"/>
    <x v="2"/>
    <x v="308"/>
    <n v="138"/>
    <x v="0"/>
    <x v="18"/>
    <x v="1"/>
    <x v="581"/>
    <x v="578"/>
    <x v="582"/>
    <x v="3"/>
    <x v="534"/>
  </r>
  <r>
    <x v="583"/>
    <x v="55"/>
    <s v="DEL"/>
    <x v="8"/>
    <x v="201"/>
    <n v="60"/>
    <x v="2"/>
    <x v="63"/>
    <x v="63"/>
    <x v="582"/>
    <x v="579"/>
    <x v="583"/>
    <x v="4"/>
    <x v="84"/>
  </r>
  <r>
    <x v="584"/>
    <x v="13"/>
    <s v="MAA"/>
    <x v="6"/>
    <x v="407"/>
    <n v="232"/>
    <x v="4"/>
    <x v="43"/>
    <x v="49"/>
    <x v="583"/>
    <x v="580"/>
    <x v="584"/>
    <x v="3"/>
    <x v="535"/>
  </r>
  <r>
    <x v="585"/>
    <x v="7"/>
    <s v="DEL"/>
    <x v="2"/>
    <x v="209"/>
    <n v="143"/>
    <x v="0"/>
    <x v="143"/>
    <x v="37"/>
    <x v="584"/>
    <x v="581"/>
    <x v="585"/>
    <x v="2"/>
    <x v="536"/>
  </r>
  <r>
    <x v="586"/>
    <x v="72"/>
    <s v="AMD"/>
    <x v="6"/>
    <x v="332"/>
    <n v="151"/>
    <x v="4"/>
    <x v="19"/>
    <x v="117"/>
    <x v="585"/>
    <x v="582"/>
    <x v="586"/>
    <x v="5"/>
    <x v="537"/>
  </r>
  <r>
    <x v="587"/>
    <x v="25"/>
    <s v="HYD"/>
    <x v="7"/>
    <x v="98"/>
    <n v="91"/>
    <x v="1"/>
    <x v="46"/>
    <x v="124"/>
    <x v="586"/>
    <x v="583"/>
    <x v="587"/>
    <x v="2"/>
    <x v="285"/>
  </r>
  <r>
    <x v="588"/>
    <x v="53"/>
    <s v="GOI"/>
    <x v="3"/>
    <x v="125"/>
    <n v="125"/>
    <x v="1"/>
    <x v="99"/>
    <x v="149"/>
    <x v="587"/>
    <x v="584"/>
    <x v="588"/>
    <x v="6"/>
    <x v="538"/>
  </r>
  <r>
    <x v="589"/>
    <x v="37"/>
    <s v="HYD"/>
    <x v="9"/>
    <x v="14"/>
    <n v="106"/>
    <x v="1"/>
    <x v="76"/>
    <x v="17"/>
    <x v="588"/>
    <x v="585"/>
    <x v="589"/>
    <x v="7"/>
    <x v="539"/>
  </r>
  <r>
    <x v="590"/>
    <x v="87"/>
    <s v="CCU"/>
    <x v="8"/>
    <x v="408"/>
    <n v="146"/>
    <x v="4"/>
    <x v="89"/>
    <x v="95"/>
    <x v="589"/>
    <x v="586"/>
    <x v="590"/>
    <x v="9"/>
    <x v="367"/>
  </r>
  <r>
    <x v="591"/>
    <x v="38"/>
    <s v="MAA"/>
    <x v="0"/>
    <x v="223"/>
    <n v="101"/>
    <x v="0"/>
    <x v="28"/>
    <x v="30"/>
    <x v="590"/>
    <x v="587"/>
    <x v="591"/>
    <x v="8"/>
    <x v="540"/>
  </r>
  <r>
    <x v="592"/>
    <x v="50"/>
    <s v="GOI"/>
    <x v="5"/>
    <x v="284"/>
    <n v="54"/>
    <x v="3"/>
    <x v="85"/>
    <x v="46"/>
    <x v="591"/>
    <x v="588"/>
    <x v="592"/>
    <x v="9"/>
    <x v="541"/>
  </r>
  <r>
    <x v="593"/>
    <x v="45"/>
    <s v="JAI"/>
    <x v="4"/>
    <x v="409"/>
    <n v="110"/>
    <x v="2"/>
    <x v="23"/>
    <x v="39"/>
    <x v="592"/>
    <x v="589"/>
    <x v="593"/>
    <x v="1"/>
    <x v="542"/>
  </r>
  <r>
    <x v="594"/>
    <x v="39"/>
    <s v="DEL"/>
    <x v="1"/>
    <x v="410"/>
    <n v="89"/>
    <x v="3"/>
    <x v="19"/>
    <x v="11"/>
    <x v="593"/>
    <x v="590"/>
    <x v="594"/>
    <x v="10"/>
    <x v="543"/>
  </r>
  <r>
    <x v="595"/>
    <x v="25"/>
    <s v="HYD"/>
    <x v="7"/>
    <x v="211"/>
    <n v="130"/>
    <x v="2"/>
    <x v="147"/>
    <x v="63"/>
    <x v="594"/>
    <x v="591"/>
    <x v="595"/>
    <x v="3"/>
    <x v="544"/>
  </r>
  <r>
    <x v="596"/>
    <x v="84"/>
    <s v="JAI"/>
    <x v="0"/>
    <x v="319"/>
    <n v="206"/>
    <x v="3"/>
    <x v="96"/>
    <x v="46"/>
    <x v="595"/>
    <x v="592"/>
    <x v="596"/>
    <x v="4"/>
    <x v="545"/>
  </r>
  <r>
    <x v="597"/>
    <x v="50"/>
    <s v="GOI"/>
    <x v="5"/>
    <x v="411"/>
    <n v="173"/>
    <x v="0"/>
    <x v="36"/>
    <x v="98"/>
    <x v="596"/>
    <x v="593"/>
    <x v="597"/>
    <x v="6"/>
    <x v="546"/>
  </r>
  <r>
    <x v="598"/>
    <x v="26"/>
    <s v="JAI"/>
    <x v="8"/>
    <x v="184"/>
    <n v="101"/>
    <x v="3"/>
    <x v="116"/>
    <x v="102"/>
    <x v="597"/>
    <x v="594"/>
    <x v="598"/>
    <x v="9"/>
    <x v="547"/>
  </r>
  <r>
    <x v="599"/>
    <x v="86"/>
    <s v="CCU"/>
    <x v="7"/>
    <x v="304"/>
    <n v="191"/>
    <x v="4"/>
    <x v="70"/>
    <x v="92"/>
    <x v="598"/>
    <x v="584"/>
    <x v="599"/>
    <x v="10"/>
    <x v="548"/>
  </r>
  <r>
    <x v="600"/>
    <x v="1"/>
    <s v="GOI"/>
    <x v="1"/>
    <x v="372"/>
    <n v="78"/>
    <x v="0"/>
    <x v="123"/>
    <x v="150"/>
    <x v="599"/>
    <x v="595"/>
    <x v="600"/>
    <x v="6"/>
    <x v="549"/>
  </r>
  <r>
    <x v="601"/>
    <x v="45"/>
    <s v="JAI"/>
    <x v="4"/>
    <x v="412"/>
    <n v="202"/>
    <x v="1"/>
    <x v="119"/>
    <x v="3"/>
    <x v="600"/>
    <x v="596"/>
    <x v="601"/>
    <x v="5"/>
    <x v="550"/>
  </r>
  <r>
    <x v="602"/>
    <x v="86"/>
    <s v="CCU"/>
    <x v="7"/>
    <x v="198"/>
    <n v="216"/>
    <x v="3"/>
    <x v="15"/>
    <x v="78"/>
    <x v="601"/>
    <x v="597"/>
    <x v="602"/>
    <x v="9"/>
    <x v="551"/>
  </r>
  <r>
    <x v="603"/>
    <x v="36"/>
    <s v="CCU"/>
    <x v="0"/>
    <x v="413"/>
    <n v="88"/>
    <x v="2"/>
    <x v="144"/>
    <x v="112"/>
    <x v="602"/>
    <x v="598"/>
    <x v="603"/>
    <x v="8"/>
    <x v="552"/>
  </r>
  <r>
    <x v="604"/>
    <x v="29"/>
    <s v="BLR"/>
    <x v="1"/>
    <x v="2"/>
    <n v="238"/>
    <x v="4"/>
    <x v="145"/>
    <x v="5"/>
    <x v="603"/>
    <x v="599"/>
    <x v="604"/>
    <x v="2"/>
    <x v="553"/>
  </r>
  <r>
    <x v="605"/>
    <x v="41"/>
    <s v="AMD"/>
    <x v="9"/>
    <x v="265"/>
    <n v="132"/>
    <x v="4"/>
    <x v="38"/>
    <x v="106"/>
    <x v="604"/>
    <x v="600"/>
    <x v="605"/>
    <x v="0"/>
    <x v="554"/>
  </r>
  <r>
    <x v="606"/>
    <x v="19"/>
    <s v="BLR"/>
    <x v="6"/>
    <x v="214"/>
    <n v="97"/>
    <x v="1"/>
    <x v="40"/>
    <x v="109"/>
    <x v="605"/>
    <x v="601"/>
    <x v="606"/>
    <x v="1"/>
    <x v="555"/>
  </r>
  <r>
    <x v="607"/>
    <x v="24"/>
    <s v="AMD"/>
    <x v="0"/>
    <x v="192"/>
    <n v="194"/>
    <x v="1"/>
    <x v="4"/>
    <x v="79"/>
    <x v="606"/>
    <x v="602"/>
    <x v="607"/>
    <x v="0"/>
    <x v="372"/>
  </r>
  <r>
    <x v="608"/>
    <x v="76"/>
    <s v="BLR"/>
    <x v="9"/>
    <x v="414"/>
    <n v="164"/>
    <x v="4"/>
    <x v="14"/>
    <x v="11"/>
    <x v="607"/>
    <x v="603"/>
    <x v="608"/>
    <x v="3"/>
    <x v="556"/>
  </r>
  <r>
    <x v="609"/>
    <x v="86"/>
    <s v="CCU"/>
    <x v="7"/>
    <x v="134"/>
    <n v="119"/>
    <x v="3"/>
    <x v="0"/>
    <x v="24"/>
    <x v="608"/>
    <x v="604"/>
    <x v="609"/>
    <x v="0"/>
    <x v="557"/>
  </r>
  <r>
    <x v="610"/>
    <x v="16"/>
    <s v="PNQ"/>
    <x v="6"/>
    <x v="415"/>
    <n v="92"/>
    <x v="0"/>
    <x v="11"/>
    <x v="100"/>
    <x v="609"/>
    <x v="605"/>
    <x v="610"/>
    <x v="9"/>
    <x v="558"/>
  </r>
  <r>
    <x v="611"/>
    <x v="19"/>
    <s v="BLR"/>
    <x v="6"/>
    <x v="413"/>
    <n v="130"/>
    <x v="3"/>
    <x v="128"/>
    <x v="60"/>
    <x v="610"/>
    <x v="606"/>
    <x v="611"/>
    <x v="8"/>
    <x v="438"/>
  </r>
  <r>
    <x v="612"/>
    <x v="2"/>
    <s v="CCU"/>
    <x v="2"/>
    <x v="386"/>
    <n v="173"/>
    <x v="2"/>
    <x v="122"/>
    <x v="60"/>
    <x v="611"/>
    <x v="607"/>
    <x v="612"/>
    <x v="1"/>
    <x v="222"/>
  </r>
  <r>
    <x v="613"/>
    <x v="11"/>
    <s v="GOI"/>
    <x v="2"/>
    <x v="346"/>
    <n v="83"/>
    <x v="2"/>
    <x v="128"/>
    <x v="55"/>
    <x v="612"/>
    <x v="608"/>
    <x v="613"/>
    <x v="1"/>
    <x v="559"/>
  </r>
  <r>
    <x v="614"/>
    <x v="45"/>
    <s v="JAI"/>
    <x v="4"/>
    <x v="416"/>
    <n v="106"/>
    <x v="1"/>
    <x v="36"/>
    <x v="17"/>
    <x v="613"/>
    <x v="609"/>
    <x v="614"/>
    <x v="11"/>
    <x v="476"/>
  </r>
  <r>
    <x v="615"/>
    <x v="16"/>
    <s v="PNQ"/>
    <x v="6"/>
    <x v="417"/>
    <n v="97"/>
    <x v="0"/>
    <x v="39"/>
    <x v="147"/>
    <x v="614"/>
    <x v="610"/>
    <x v="615"/>
    <x v="10"/>
    <x v="560"/>
  </r>
  <r>
    <x v="616"/>
    <x v="50"/>
    <s v="GOI"/>
    <x v="5"/>
    <x v="122"/>
    <n v="82"/>
    <x v="1"/>
    <x v="64"/>
    <x v="60"/>
    <x v="615"/>
    <x v="611"/>
    <x v="616"/>
    <x v="11"/>
    <x v="561"/>
  </r>
  <r>
    <x v="617"/>
    <x v="5"/>
    <s v="DEL"/>
    <x v="4"/>
    <x v="418"/>
    <n v="82"/>
    <x v="4"/>
    <x v="77"/>
    <x v="128"/>
    <x v="616"/>
    <x v="612"/>
    <x v="617"/>
    <x v="8"/>
    <x v="562"/>
  </r>
  <r>
    <x v="618"/>
    <x v="28"/>
    <s v="MAA"/>
    <x v="5"/>
    <x v="395"/>
    <n v="72"/>
    <x v="0"/>
    <x v="106"/>
    <x v="26"/>
    <x v="617"/>
    <x v="613"/>
    <x v="618"/>
    <x v="5"/>
    <x v="563"/>
  </r>
  <r>
    <x v="619"/>
    <x v="45"/>
    <s v="JAI"/>
    <x v="4"/>
    <x v="419"/>
    <n v="104"/>
    <x v="0"/>
    <x v="94"/>
    <x v="136"/>
    <x v="618"/>
    <x v="614"/>
    <x v="619"/>
    <x v="7"/>
    <x v="564"/>
  </r>
  <r>
    <x v="620"/>
    <x v="72"/>
    <s v="AMD"/>
    <x v="6"/>
    <x v="310"/>
    <n v="165"/>
    <x v="2"/>
    <x v="106"/>
    <x v="125"/>
    <x v="619"/>
    <x v="615"/>
    <x v="620"/>
    <x v="7"/>
    <x v="565"/>
  </r>
  <r>
    <x v="621"/>
    <x v="73"/>
    <s v="AMD"/>
    <x v="2"/>
    <x v="320"/>
    <n v="53"/>
    <x v="3"/>
    <x v="88"/>
    <x v="89"/>
    <x v="620"/>
    <x v="616"/>
    <x v="621"/>
    <x v="1"/>
    <x v="566"/>
  </r>
  <r>
    <x v="622"/>
    <x v="15"/>
    <s v="BLR"/>
    <x v="7"/>
    <x v="235"/>
    <n v="157"/>
    <x v="1"/>
    <x v="60"/>
    <x v="8"/>
    <x v="621"/>
    <x v="617"/>
    <x v="622"/>
    <x v="5"/>
    <x v="567"/>
  </r>
  <r>
    <x v="623"/>
    <x v="0"/>
    <s v="HYD"/>
    <x v="0"/>
    <x v="420"/>
    <n v="233"/>
    <x v="3"/>
    <x v="28"/>
    <x v="51"/>
    <x v="622"/>
    <x v="618"/>
    <x v="623"/>
    <x v="7"/>
    <x v="87"/>
  </r>
  <r>
    <x v="624"/>
    <x v="57"/>
    <s v="GOI"/>
    <x v="0"/>
    <x v="399"/>
    <n v="72"/>
    <x v="3"/>
    <x v="138"/>
    <x v="96"/>
    <x v="623"/>
    <x v="619"/>
    <x v="624"/>
    <x v="2"/>
    <x v="568"/>
  </r>
  <r>
    <x v="625"/>
    <x v="0"/>
    <s v="HYD"/>
    <x v="0"/>
    <x v="332"/>
    <n v="144"/>
    <x v="1"/>
    <x v="86"/>
    <x v="38"/>
    <x v="624"/>
    <x v="620"/>
    <x v="625"/>
    <x v="5"/>
    <x v="569"/>
  </r>
  <r>
    <x v="626"/>
    <x v="70"/>
    <s v="MAA"/>
    <x v="9"/>
    <x v="356"/>
    <n v="87"/>
    <x v="3"/>
    <x v="146"/>
    <x v="134"/>
    <x v="625"/>
    <x v="621"/>
    <x v="626"/>
    <x v="9"/>
    <x v="570"/>
  </r>
  <r>
    <x v="627"/>
    <x v="49"/>
    <s v="AMD"/>
    <x v="8"/>
    <x v="285"/>
    <n v="160"/>
    <x v="4"/>
    <x v="11"/>
    <x v="118"/>
    <x v="626"/>
    <x v="622"/>
    <x v="627"/>
    <x v="4"/>
    <x v="571"/>
  </r>
  <r>
    <x v="628"/>
    <x v="32"/>
    <s v="AMD"/>
    <x v="3"/>
    <x v="421"/>
    <n v="127"/>
    <x v="3"/>
    <x v="94"/>
    <x v="41"/>
    <x v="627"/>
    <x v="623"/>
    <x v="628"/>
    <x v="3"/>
    <x v="572"/>
  </r>
  <r>
    <x v="629"/>
    <x v="62"/>
    <s v="PNQ"/>
    <x v="7"/>
    <x v="422"/>
    <n v="127"/>
    <x v="0"/>
    <x v="73"/>
    <x v="2"/>
    <x v="628"/>
    <x v="624"/>
    <x v="629"/>
    <x v="7"/>
    <x v="573"/>
  </r>
  <r>
    <x v="630"/>
    <x v="86"/>
    <s v="CCU"/>
    <x v="7"/>
    <x v="391"/>
    <n v="226"/>
    <x v="3"/>
    <x v="9"/>
    <x v="151"/>
    <x v="629"/>
    <x v="625"/>
    <x v="630"/>
    <x v="2"/>
    <x v="574"/>
  </r>
  <r>
    <x v="631"/>
    <x v="0"/>
    <s v="HYD"/>
    <x v="0"/>
    <x v="190"/>
    <n v="130"/>
    <x v="1"/>
    <x v="34"/>
    <x v="34"/>
    <x v="504"/>
    <x v="626"/>
    <x v="631"/>
    <x v="2"/>
    <x v="575"/>
  </r>
  <r>
    <x v="632"/>
    <x v="30"/>
    <s v="HYD"/>
    <x v="2"/>
    <x v="290"/>
    <n v="231"/>
    <x v="3"/>
    <x v="80"/>
    <x v="66"/>
    <x v="630"/>
    <x v="627"/>
    <x v="632"/>
    <x v="8"/>
    <x v="576"/>
  </r>
  <r>
    <x v="633"/>
    <x v="82"/>
    <s v="BLR"/>
    <x v="0"/>
    <x v="273"/>
    <n v="240"/>
    <x v="2"/>
    <x v="88"/>
    <x v="29"/>
    <x v="631"/>
    <x v="628"/>
    <x v="633"/>
    <x v="7"/>
    <x v="577"/>
  </r>
  <r>
    <x v="634"/>
    <x v="71"/>
    <s v="BOM"/>
    <x v="8"/>
    <x v="423"/>
    <n v="100"/>
    <x v="1"/>
    <x v="47"/>
    <x v="90"/>
    <x v="632"/>
    <x v="629"/>
    <x v="634"/>
    <x v="7"/>
    <x v="578"/>
  </r>
  <r>
    <x v="635"/>
    <x v="84"/>
    <s v="JAI"/>
    <x v="0"/>
    <x v="424"/>
    <n v="185"/>
    <x v="2"/>
    <x v="63"/>
    <x v="84"/>
    <x v="633"/>
    <x v="630"/>
    <x v="635"/>
    <x v="7"/>
    <x v="579"/>
  </r>
  <r>
    <x v="636"/>
    <x v="14"/>
    <s v="BOM"/>
    <x v="1"/>
    <x v="425"/>
    <n v="82"/>
    <x v="4"/>
    <x v="19"/>
    <x v="152"/>
    <x v="634"/>
    <x v="631"/>
    <x v="636"/>
    <x v="3"/>
    <x v="580"/>
  </r>
  <r>
    <x v="637"/>
    <x v="54"/>
    <s v="BOM"/>
    <x v="5"/>
    <x v="331"/>
    <n v="90"/>
    <x v="0"/>
    <x v="97"/>
    <x v="134"/>
    <x v="635"/>
    <x v="632"/>
    <x v="637"/>
    <x v="11"/>
    <x v="9"/>
  </r>
  <r>
    <x v="638"/>
    <x v="61"/>
    <s v="PNQ"/>
    <x v="9"/>
    <x v="317"/>
    <n v="68"/>
    <x v="2"/>
    <x v="69"/>
    <x v="5"/>
    <x v="636"/>
    <x v="633"/>
    <x v="638"/>
    <x v="3"/>
    <x v="581"/>
  </r>
  <r>
    <x v="639"/>
    <x v="69"/>
    <s v="GOI"/>
    <x v="7"/>
    <x v="426"/>
    <n v="165"/>
    <x v="0"/>
    <x v="73"/>
    <x v="36"/>
    <x v="637"/>
    <x v="634"/>
    <x v="639"/>
    <x v="4"/>
    <x v="582"/>
  </r>
  <r>
    <x v="640"/>
    <x v="31"/>
    <s v="HYD"/>
    <x v="6"/>
    <x v="340"/>
    <n v="223"/>
    <x v="0"/>
    <x v="26"/>
    <x v="98"/>
    <x v="638"/>
    <x v="635"/>
    <x v="640"/>
    <x v="1"/>
    <x v="583"/>
  </r>
  <r>
    <x v="641"/>
    <x v="55"/>
    <s v="DEL"/>
    <x v="8"/>
    <x v="313"/>
    <n v="199"/>
    <x v="2"/>
    <x v="108"/>
    <x v="120"/>
    <x v="639"/>
    <x v="636"/>
    <x v="641"/>
    <x v="6"/>
    <x v="584"/>
  </r>
  <r>
    <x v="642"/>
    <x v="42"/>
    <s v="JAI"/>
    <x v="9"/>
    <x v="177"/>
    <n v="202"/>
    <x v="1"/>
    <x v="72"/>
    <x v="153"/>
    <x v="640"/>
    <x v="637"/>
    <x v="642"/>
    <x v="10"/>
    <x v="585"/>
  </r>
  <r>
    <x v="643"/>
    <x v="45"/>
    <s v="JAI"/>
    <x v="4"/>
    <x v="45"/>
    <n v="119"/>
    <x v="0"/>
    <x v="71"/>
    <x v="26"/>
    <x v="641"/>
    <x v="638"/>
    <x v="643"/>
    <x v="6"/>
    <x v="586"/>
  </r>
  <r>
    <x v="644"/>
    <x v="7"/>
    <s v="DEL"/>
    <x v="2"/>
    <x v="112"/>
    <n v="151"/>
    <x v="3"/>
    <x v="4"/>
    <x v="50"/>
    <x v="642"/>
    <x v="639"/>
    <x v="644"/>
    <x v="7"/>
    <x v="587"/>
  </r>
  <r>
    <x v="645"/>
    <x v="82"/>
    <s v="BLR"/>
    <x v="0"/>
    <x v="427"/>
    <n v="96"/>
    <x v="2"/>
    <x v="136"/>
    <x v="105"/>
    <x v="643"/>
    <x v="640"/>
    <x v="645"/>
    <x v="4"/>
    <x v="588"/>
  </r>
  <r>
    <x v="646"/>
    <x v="85"/>
    <s v="GOI"/>
    <x v="9"/>
    <x v="274"/>
    <n v="74"/>
    <x v="2"/>
    <x v="59"/>
    <x v="51"/>
    <x v="644"/>
    <x v="641"/>
    <x v="646"/>
    <x v="0"/>
    <x v="589"/>
  </r>
  <r>
    <x v="647"/>
    <x v="73"/>
    <s v="AMD"/>
    <x v="2"/>
    <x v="357"/>
    <n v="131"/>
    <x v="3"/>
    <x v="47"/>
    <x v="49"/>
    <x v="645"/>
    <x v="642"/>
    <x v="647"/>
    <x v="6"/>
    <x v="590"/>
  </r>
  <r>
    <x v="648"/>
    <x v="16"/>
    <s v="PNQ"/>
    <x v="6"/>
    <x v="428"/>
    <n v="163"/>
    <x v="3"/>
    <x v="26"/>
    <x v="32"/>
    <x v="646"/>
    <x v="643"/>
    <x v="648"/>
    <x v="6"/>
    <x v="591"/>
  </r>
  <r>
    <x v="649"/>
    <x v="77"/>
    <s v="GOI"/>
    <x v="6"/>
    <x v="134"/>
    <n v="98"/>
    <x v="1"/>
    <x v="117"/>
    <x v="92"/>
    <x v="647"/>
    <x v="644"/>
    <x v="649"/>
    <x v="0"/>
    <x v="592"/>
  </r>
  <r>
    <x v="650"/>
    <x v="38"/>
    <s v="MAA"/>
    <x v="0"/>
    <x v="167"/>
    <n v="141"/>
    <x v="1"/>
    <x v="24"/>
    <x v="125"/>
    <x v="648"/>
    <x v="645"/>
    <x v="650"/>
    <x v="6"/>
    <x v="593"/>
  </r>
  <r>
    <x v="651"/>
    <x v="3"/>
    <s v="MAA"/>
    <x v="1"/>
    <x v="429"/>
    <n v="53"/>
    <x v="2"/>
    <x v="92"/>
    <x v="136"/>
    <x v="649"/>
    <x v="646"/>
    <x v="651"/>
    <x v="6"/>
    <x v="594"/>
  </r>
  <r>
    <x v="652"/>
    <x v="22"/>
    <s v="PNQ"/>
    <x v="2"/>
    <x v="430"/>
    <n v="179"/>
    <x v="2"/>
    <x v="130"/>
    <x v="4"/>
    <x v="650"/>
    <x v="647"/>
    <x v="652"/>
    <x v="1"/>
    <x v="595"/>
  </r>
  <r>
    <x v="653"/>
    <x v="55"/>
    <s v="DEL"/>
    <x v="8"/>
    <x v="32"/>
    <n v="51"/>
    <x v="3"/>
    <x v="11"/>
    <x v="25"/>
    <x v="651"/>
    <x v="648"/>
    <x v="653"/>
    <x v="2"/>
    <x v="596"/>
  </r>
  <r>
    <x v="654"/>
    <x v="11"/>
    <s v="GOI"/>
    <x v="2"/>
    <x v="109"/>
    <n v="81"/>
    <x v="4"/>
    <x v="141"/>
    <x v="32"/>
    <x v="652"/>
    <x v="649"/>
    <x v="654"/>
    <x v="6"/>
    <x v="597"/>
  </r>
  <r>
    <x v="655"/>
    <x v="31"/>
    <s v="HYD"/>
    <x v="6"/>
    <x v="43"/>
    <n v="46"/>
    <x v="2"/>
    <x v="4"/>
    <x v="27"/>
    <x v="653"/>
    <x v="650"/>
    <x v="655"/>
    <x v="9"/>
    <x v="598"/>
  </r>
  <r>
    <x v="656"/>
    <x v="54"/>
    <s v="BOM"/>
    <x v="5"/>
    <x v="399"/>
    <n v="213"/>
    <x v="2"/>
    <x v="54"/>
    <x v="46"/>
    <x v="654"/>
    <x v="651"/>
    <x v="656"/>
    <x v="2"/>
    <x v="599"/>
  </r>
  <r>
    <x v="657"/>
    <x v="76"/>
    <s v="BLR"/>
    <x v="9"/>
    <x v="116"/>
    <n v="181"/>
    <x v="2"/>
    <x v="16"/>
    <x v="28"/>
    <x v="655"/>
    <x v="652"/>
    <x v="657"/>
    <x v="4"/>
    <x v="600"/>
  </r>
  <r>
    <x v="658"/>
    <x v="83"/>
    <s v="MAA"/>
    <x v="7"/>
    <x v="117"/>
    <n v="204"/>
    <x v="1"/>
    <x v="139"/>
    <x v="99"/>
    <x v="656"/>
    <x v="653"/>
    <x v="658"/>
    <x v="0"/>
    <x v="601"/>
  </r>
  <r>
    <x v="659"/>
    <x v="85"/>
    <s v="GOI"/>
    <x v="9"/>
    <x v="431"/>
    <n v="81"/>
    <x v="2"/>
    <x v="120"/>
    <x v="43"/>
    <x v="657"/>
    <x v="654"/>
    <x v="659"/>
    <x v="4"/>
    <x v="602"/>
  </r>
  <r>
    <x v="660"/>
    <x v="42"/>
    <s v="JAI"/>
    <x v="9"/>
    <x v="300"/>
    <n v="158"/>
    <x v="4"/>
    <x v="33"/>
    <x v="26"/>
    <x v="658"/>
    <x v="655"/>
    <x v="660"/>
    <x v="5"/>
    <x v="603"/>
  </r>
  <r>
    <x v="661"/>
    <x v="4"/>
    <s v="DEL"/>
    <x v="3"/>
    <x v="74"/>
    <n v="67"/>
    <x v="3"/>
    <x v="128"/>
    <x v="13"/>
    <x v="659"/>
    <x v="656"/>
    <x v="661"/>
    <x v="3"/>
    <x v="129"/>
  </r>
  <r>
    <x v="662"/>
    <x v="3"/>
    <s v="MAA"/>
    <x v="1"/>
    <x v="432"/>
    <n v="227"/>
    <x v="1"/>
    <x v="134"/>
    <x v="24"/>
    <x v="660"/>
    <x v="657"/>
    <x v="662"/>
    <x v="5"/>
    <x v="604"/>
  </r>
  <r>
    <x v="663"/>
    <x v="55"/>
    <s v="DEL"/>
    <x v="8"/>
    <x v="22"/>
    <n v="161"/>
    <x v="2"/>
    <x v="83"/>
    <x v="144"/>
    <x v="661"/>
    <x v="658"/>
    <x v="663"/>
    <x v="9"/>
    <x v="605"/>
  </r>
  <r>
    <x v="664"/>
    <x v="51"/>
    <s v="JAI"/>
    <x v="2"/>
    <x v="334"/>
    <n v="145"/>
    <x v="0"/>
    <x v="117"/>
    <x v="102"/>
    <x v="662"/>
    <x v="659"/>
    <x v="664"/>
    <x v="0"/>
    <x v="606"/>
  </r>
  <r>
    <x v="665"/>
    <x v="54"/>
    <s v="BOM"/>
    <x v="5"/>
    <x v="433"/>
    <n v="73"/>
    <x v="2"/>
    <x v="118"/>
    <x v="94"/>
    <x v="663"/>
    <x v="660"/>
    <x v="665"/>
    <x v="10"/>
    <x v="456"/>
  </r>
  <r>
    <x v="666"/>
    <x v="80"/>
    <s v="JAI"/>
    <x v="5"/>
    <x v="29"/>
    <n v="71"/>
    <x v="3"/>
    <x v="21"/>
    <x v="34"/>
    <x v="664"/>
    <x v="661"/>
    <x v="666"/>
    <x v="2"/>
    <x v="607"/>
  </r>
  <r>
    <x v="667"/>
    <x v="13"/>
    <s v="MAA"/>
    <x v="6"/>
    <x v="356"/>
    <n v="147"/>
    <x v="1"/>
    <x v="92"/>
    <x v="101"/>
    <x v="665"/>
    <x v="662"/>
    <x v="667"/>
    <x v="9"/>
    <x v="608"/>
  </r>
  <r>
    <x v="668"/>
    <x v="78"/>
    <s v="PNQ"/>
    <x v="1"/>
    <x v="121"/>
    <n v="132"/>
    <x v="0"/>
    <x v="91"/>
    <x v="154"/>
    <x v="666"/>
    <x v="86"/>
    <x v="668"/>
    <x v="11"/>
    <x v="609"/>
  </r>
  <r>
    <x v="669"/>
    <x v="65"/>
    <s v="BLR"/>
    <x v="5"/>
    <x v="434"/>
    <n v="216"/>
    <x v="4"/>
    <x v="120"/>
    <x v="121"/>
    <x v="667"/>
    <x v="663"/>
    <x v="669"/>
    <x v="8"/>
    <x v="610"/>
  </r>
  <r>
    <x v="670"/>
    <x v="61"/>
    <s v="PNQ"/>
    <x v="9"/>
    <x v="435"/>
    <n v="69"/>
    <x v="3"/>
    <x v="62"/>
    <x v="25"/>
    <x v="668"/>
    <x v="664"/>
    <x v="670"/>
    <x v="5"/>
    <x v="611"/>
  </r>
  <r>
    <x v="671"/>
    <x v="4"/>
    <s v="DEL"/>
    <x v="3"/>
    <x v="109"/>
    <n v="171"/>
    <x v="4"/>
    <x v="23"/>
    <x v="93"/>
    <x v="669"/>
    <x v="665"/>
    <x v="671"/>
    <x v="6"/>
    <x v="612"/>
  </r>
  <r>
    <x v="672"/>
    <x v="33"/>
    <s v="BOM"/>
    <x v="4"/>
    <x v="316"/>
    <n v="83"/>
    <x v="3"/>
    <x v="79"/>
    <x v="65"/>
    <x v="670"/>
    <x v="666"/>
    <x v="672"/>
    <x v="8"/>
    <x v="613"/>
  </r>
  <r>
    <x v="673"/>
    <x v="34"/>
    <s v="PNQ"/>
    <x v="4"/>
    <x v="436"/>
    <n v="219"/>
    <x v="2"/>
    <x v="41"/>
    <x v="64"/>
    <x v="671"/>
    <x v="667"/>
    <x v="673"/>
    <x v="5"/>
    <x v="120"/>
  </r>
  <r>
    <x v="674"/>
    <x v="20"/>
    <s v="DEL"/>
    <x v="0"/>
    <x v="191"/>
    <n v="175"/>
    <x v="3"/>
    <x v="42"/>
    <x v="17"/>
    <x v="672"/>
    <x v="668"/>
    <x v="674"/>
    <x v="7"/>
    <x v="614"/>
  </r>
  <r>
    <x v="675"/>
    <x v="57"/>
    <s v="GOI"/>
    <x v="0"/>
    <x v="333"/>
    <n v="225"/>
    <x v="1"/>
    <x v="85"/>
    <x v="4"/>
    <x v="673"/>
    <x v="669"/>
    <x v="675"/>
    <x v="0"/>
    <x v="615"/>
  </r>
  <r>
    <x v="676"/>
    <x v="46"/>
    <s v="HYD"/>
    <x v="3"/>
    <x v="437"/>
    <n v="126"/>
    <x v="3"/>
    <x v="114"/>
    <x v="14"/>
    <x v="674"/>
    <x v="670"/>
    <x v="676"/>
    <x v="4"/>
    <x v="616"/>
  </r>
  <r>
    <x v="677"/>
    <x v="49"/>
    <s v="AMD"/>
    <x v="8"/>
    <x v="237"/>
    <n v="93"/>
    <x v="1"/>
    <x v="112"/>
    <x v="59"/>
    <x v="675"/>
    <x v="671"/>
    <x v="677"/>
    <x v="10"/>
    <x v="26"/>
  </r>
  <r>
    <x v="678"/>
    <x v="10"/>
    <s v="AMD"/>
    <x v="4"/>
    <x v="438"/>
    <n v="63"/>
    <x v="4"/>
    <x v="67"/>
    <x v="43"/>
    <x v="676"/>
    <x v="672"/>
    <x v="678"/>
    <x v="0"/>
    <x v="617"/>
  </r>
  <r>
    <x v="679"/>
    <x v="32"/>
    <s v="AMD"/>
    <x v="3"/>
    <x v="439"/>
    <n v="223"/>
    <x v="1"/>
    <x v="15"/>
    <x v="58"/>
    <x v="677"/>
    <x v="673"/>
    <x v="679"/>
    <x v="9"/>
    <x v="618"/>
  </r>
  <r>
    <x v="680"/>
    <x v="53"/>
    <s v="GOI"/>
    <x v="3"/>
    <x v="251"/>
    <n v="135"/>
    <x v="0"/>
    <x v="106"/>
    <x v="17"/>
    <x v="678"/>
    <x v="674"/>
    <x v="680"/>
    <x v="0"/>
    <x v="619"/>
  </r>
  <r>
    <x v="681"/>
    <x v="19"/>
    <s v="BLR"/>
    <x v="6"/>
    <x v="231"/>
    <n v="150"/>
    <x v="1"/>
    <x v="19"/>
    <x v="78"/>
    <x v="679"/>
    <x v="675"/>
    <x v="681"/>
    <x v="4"/>
    <x v="620"/>
  </r>
  <r>
    <x v="682"/>
    <x v="61"/>
    <s v="PNQ"/>
    <x v="9"/>
    <x v="198"/>
    <n v="193"/>
    <x v="3"/>
    <x v="134"/>
    <x v="49"/>
    <x v="680"/>
    <x v="676"/>
    <x v="682"/>
    <x v="9"/>
    <x v="621"/>
  </r>
  <r>
    <x v="683"/>
    <x v="69"/>
    <s v="GOI"/>
    <x v="7"/>
    <x v="144"/>
    <n v="201"/>
    <x v="4"/>
    <x v="45"/>
    <x v="42"/>
    <x v="681"/>
    <x v="677"/>
    <x v="683"/>
    <x v="2"/>
    <x v="52"/>
  </r>
  <r>
    <x v="684"/>
    <x v="11"/>
    <s v="GOI"/>
    <x v="2"/>
    <x v="385"/>
    <n v="58"/>
    <x v="2"/>
    <x v="79"/>
    <x v="30"/>
    <x v="682"/>
    <x v="678"/>
    <x v="684"/>
    <x v="7"/>
    <x v="622"/>
  </r>
  <r>
    <x v="685"/>
    <x v="61"/>
    <s v="PNQ"/>
    <x v="9"/>
    <x v="118"/>
    <n v="135"/>
    <x v="2"/>
    <x v="116"/>
    <x v="50"/>
    <x v="683"/>
    <x v="679"/>
    <x v="685"/>
    <x v="11"/>
    <x v="623"/>
  </r>
  <r>
    <x v="686"/>
    <x v="70"/>
    <s v="MAA"/>
    <x v="9"/>
    <x v="28"/>
    <n v="206"/>
    <x v="3"/>
    <x v="39"/>
    <x v="80"/>
    <x v="684"/>
    <x v="680"/>
    <x v="686"/>
    <x v="11"/>
    <x v="624"/>
  </r>
  <r>
    <x v="687"/>
    <x v="38"/>
    <s v="MAA"/>
    <x v="0"/>
    <x v="375"/>
    <n v="169"/>
    <x v="4"/>
    <x v="42"/>
    <x v="20"/>
    <x v="685"/>
    <x v="681"/>
    <x v="687"/>
    <x v="4"/>
    <x v="625"/>
  </r>
  <r>
    <x v="688"/>
    <x v="41"/>
    <s v="AMD"/>
    <x v="9"/>
    <x v="104"/>
    <n v="110"/>
    <x v="4"/>
    <x v="145"/>
    <x v="27"/>
    <x v="686"/>
    <x v="682"/>
    <x v="688"/>
    <x v="4"/>
    <x v="626"/>
  </r>
  <r>
    <x v="689"/>
    <x v="61"/>
    <s v="PNQ"/>
    <x v="9"/>
    <x v="106"/>
    <n v="111"/>
    <x v="0"/>
    <x v="25"/>
    <x v="58"/>
    <x v="687"/>
    <x v="683"/>
    <x v="689"/>
    <x v="2"/>
    <x v="627"/>
  </r>
  <r>
    <x v="690"/>
    <x v="5"/>
    <s v="DEL"/>
    <x v="4"/>
    <x v="147"/>
    <n v="84"/>
    <x v="3"/>
    <x v="92"/>
    <x v="155"/>
    <x v="688"/>
    <x v="684"/>
    <x v="690"/>
    <x v="7"/>
    <x v="628"/>
  </r>
  <r>
    <x v="691"/>
    <x v="73"/>
    <s v="AMD"/>
    <x v="2"/>
    <x v="4"/>
    <n v="232"/>
    <x v="2"/>
    <x v="96"/>
    <x v="48"/>
    <x v="689"/>
    <x v="685"/>
    <x v="691"/>
    <x v="1"/>
    <x v="629"/>
  </r>
  <r>
    <x v="692"/>
    <x v="49"/>
    <s v="AMD"/>
    <x v="8"/>
    <x v="440"/>
    <n v="166"/>
    <x v="2"/>
    <x v="47"/>
    <x v="113"/>
    <x v="690"/>
    <x v="686"/>
    <x v="692"/>
    <x v="3"/>
    <x v="630"/>
  </r>
  <r>
    <x v="693"/>
    <x v="22"/>
    <s v="PNQ"/>
    <x v="2"/>
    <x v="342"/>
    <n v="180"/>
    <x v="3"/>
    <x v="88"/>
    <x v="95"/>
    <x v="691"/>
    <x v="687"/>
    <x v="693"/>
    <x v="10"/>
    <x v="631"/>
  </r>
  <r>
    <x v="694"/>
    <x v="57"/>
    <s v="GOI"/>
    <x v="0"/>
    <x v="22"/>
    <n v="181"/>
    <x v="2"/>
    <x v="91"/>
    <x v="116"/>
    <x v="692"/>
    <x v="688"/>
    <x v="694"/>
    <x v="9"/>
    <x v="632"/>
  </r>
  <r>
    <x v="695"/>
    <x v="43"/>
    <s v="DEL"/>
    <x v="9"/>
    <x v="441"/>
    <n v="194"/>
    <x v="3"/>
    <x v="22"/>
    <x v="101"/>
    <x v="693"/>
    <x v="689"/>
    <x v="695"/>
    <x v="8"/>
    <x v="633"/>
  </r>
  <r>
    <x v="696"/>
    <x v="79"/>
    <s v="AMD"/>
    <x v="1"/>
    <x v="259"/>
    <n v="47"/>
    <x v="4"/>
    <x v="14"/>
    <x v="1"/>
    <x v="694"/>
    <x v="690"/>
    <x v="696"/>
    <x v="5"/>
    <x v="634"/>
  </r>
  <r>
    <x v="697"/>
    <x v="55"/>
    <s v="DEL"/>
    <x v="8"/>
    <x v="128"/>
    <n v="101"/>
    <x v="2"/>
    <x v="84"/>
    <x v="11"/>
    <x v="695"/>
    <x v="691"/>
    <x v="697"/>
    <x v="6"/>
    <x v="451"/>
  </r>
  <r>
    <x v="698"/>
    <x v="20"/>
    <s v="DEL"/>
    <x v="0"/>
    <x v="239"/>
    <n v="213"/>
    <x v="0"/>
    <x v="73"/>
    <x v="13"/>
    <x v="696"/>
    <x v="692"/>
    <x v="698"/>
    <x v="7"/>
    <x v="635"/>
  </r>
  <r>
    <x v="699"/>
    <x v="32"/>
    <s v="AMD"/>
    <x v="3"/>
    <x v="146"/>
    <n v="240"/>
    <x v="1"/>
    <x v="106"/>
    <x v="4"/>
    <x v="697"/>
    <x v="693"/>
    <x v="699"/>
    <x v="8"/>
    <x v="636"/>
  </r>
  <r>
    <x v="700"/>
    <x v="62"/>
    <s v="PNQ"/>
    <x v="7"/>
    <x v="201"/>
    <n v="161"/>
    <x v="2"/>
    <x v="108"/>
    <x v="83"/>
    <x v="698"/>
    <x v="694"/>
    <x v="700"/>
    <x v="4"/>
    <x v="637"/>
  </r>
  <r>
    <x v="701"/>
    <x v="38"/>
    <s v="MAA"/>
    <x v="0"/>
    <x v="442"/>
    <n v="144"/>
    <x v="2"/>
    <x v="122"/>
    <x v="79"/>
    <x v="699"/>
    <x v="695"/>
    <x v="701"/>
    <x v="0"/>
    <x v="638"/>
  </r>
  <r>
    <x v="702"/>
    <x v="55"/>
    <s v="DEL"/>
    <x v="8"/>
    <x v="443"/>
    <n v="201"/>
    <x v="3"/>
    <x v="62"/>
    <x v="43"/>
    <x v="700"/>
    <x v="696"/>
    <x v="702"/>
    <x v="5"/>
    <x v="639"/>
  </r>
  <r>
    <x v="703"/>
    <x v="88"/>
    <s v="HYD"/>
    <x v="4"/>
    <x v="363"/>
    <n v="209"/>
    <x v="4"/>
    <x v="144"/>
    <x v="109"/>
    <x v="701"/>
    <x v="697"/>
    <x v="703"/>
    <x v="7"/>
    <x v="640"/>
  </r>
  <r>
    <x v="704"/>
    <x v="43"/>
    <s v="DEL"/>
    <x v="9"/>
    <x v="350"/>
    <n v="49"/>
    <x v="3"/>
    <x v="34"/>
    <x v="1"/>
    <x v="702"/>
    <x v="698"/>
    <x v="704"/>
    <x v="9"/>
    <x v="641"/>
  </r>
  <r>
    <x v="705"/>
    <x v="28"/>
    <s v="MAA"/>
    <x v="5"/>
    <x v="444"/>
    <n v="129"/>
    <x v="3"/>
    <x v="19"/>
    <x v="1"/>
    <x v="703"/>
    <x v="699"/>
    <x v="705"/>
    <x v="6"/>
    <x v="642"/>
  </r>
  <r>
    <x v="706"/>
    <x v="46"/>
    <s v="HYD"/>
    <x v="3"/>
    <x v="445"/>
    <n v="183"/>
    <x v="0"/>
    <x v="71"/>
    <x v="38"/>
    <x v="704"/>
    <x v="700"/>
    <x v="706"/>
    <x v="11"/>
    <x v="139"/>
  </r>
  <r>
    <x v="707"/>
    <x v="85"/>
    <s v="GOI"/>
    <x v="9"/>
    <x v="446"/>
    <n v="219"/>
    <x v="2"/>
    <x v="46"/>
    <x v="4"/>
    <x v="705"/>
    <x v="701"/>
    <x v="707"/>
    <x v="6"/>
    <x v="643"/>
  </r>
  <r>
    <x v="708"/>
    <x v="86"/>
    <s v="CCU"/>
    <x v="7"/>
    <x v="447"/>
    <n v="239"/>
    <x v="2"/>
    <x v="133"/>
    <x v="136"/>
    <x v="706"/>
    <x v="702"/>
    <x v="708"/>
    <x v="9"/>
    <x v="644"/>
  </r>
  <r>
    <x v="709"/>
    <x v="76"/>
    <s v="BLR"/>
    <x v="9"/>
    <x v="448"/>
    <n v="144"/>
    <x v="4"/>
    <x v="85"/>
    <x v="43"/>
    <x v="707"/>
    <x v="703"/>
    <x v="709"/>
    <x v="6"/>
    <x v="645"/>
  </r>
  <r>
    <x v="710"/>
    <x v="65"/>
    <s v="BLR"/>
    <x v="5"/>
    <x v="317"/>
    <n v="94"/>
    <x v="4"/>
    <x v="82"/>
    <x v="43"/>
    <x v="708"/>
    <x v="704"/>
    <x v="710"/>
    <x v="3"/>
    <x v="646"/>
  </r>
  <r>
    <x v="711"/>
    <x v="27"/>
    <s v="MAA"/>
    <x v="8"/>
    <x v="6"/>
    <n v="160"/>
    <x v="4"/>
    <x v="105"/>
    <x v="50"/>
    <x v="709"/>
    <x v="705"/>
    <x v="711"/>
    <x v="5"/>
    <x v="167"/>
  </r>
  <r>
    <x v="712"/>
    <x v="25"/>
    <s v="HYD"/>
    <x v="7"/>
    <x v="214"/>
    <n v="212"/>
    <x v="1"/>
    <x v="113"/>
    <x v="9"/>
    <x v="710"/>
    <x v="706"/>
    <x v="712"/>
    <x v="1"/>
    <x v="647"/>
  </r>
  <r>
    <x v="713"/>
    <x v="20"/>
    <s v="DEL"/>
    <x v="0"/>
    <x v="295"/>
    <n v="170"/>
    <x v="4"/>
    <x v="65"/>
    <x v="41"/>
    <x v="711"/>
    <x v="707"/>
    <x v="713"/>
    <x v="10"/>
    <x v="648"/>
  </r>
  <r>
    <x v="714"/>
    <x v="24"/>
    <s v="AMD"/>
    <x v="0"/>
    <x v="449"/>
    <n v="206"/>
    <x v="4"/>
    <x v="38"/>
    <x v="35"/>
    <x v="712"/>
    <x v="708"/>
    <x v="714"/>
    <x v="2"/>
    <x v="42"/>
  </r>
  <r>
    <x v="715"/>
    <x v="81"/>
    <s v="AMD"/>
    <x v="7"/>
    <x v="136"/>
    <n v="74"/>
    <x v="3"/>
    <x v="51"/>
    <x v="105"/>
    <x v="713"/>
    <x v="709"/>
    <x v="715"/>
    <x v="9"/>
    <x v="649"/>
  </r>
  <r>
    <x v="716"/>
    <x v="37"/>
    <s v="HYD"/>
    <x v="9"/>
    <x v="305"/>
    <n v="220"/>
    <x v="1"/>
    <x v="76"/>
    <x v="55"/>
    <x v="714"/>
    <x v="710"/>
    <x v="716"/>
    <x v="10"/>
    <x v="650"/>
  </r>
  <r>
    <x v="717"/>
    <x v="80"/>
    <s v="JAI"/>
    <x v="5"/>
    <x v="428"/>
    <n v="61"/>
    <x v="4"/>
    <x v="48"/>
    <x v="95"/>
    <x v="715"/>
    <x v="711"/>
    <x v="717"/>
    <x v="6"/>
    <x v="651"/>
  </r>
  <r>
    <x v="718"/>
    <x v="50"/>
    <s v="GOI"/>
    <x v="5"/>
    <x v="81"/>
    <n v="107"/>
    <x v="1"/>
    <x v="27"/>
    <x v="105"/>
    <x v="716"/>
    <x v="712"/>
    <x v="718"/>
    <x v="11"/>
    <x v="87"/>
  </r>
  <r>
    <x v="719"/>
    <x v="12"/>
    <s v="HYD"/>
    <x v="5"/>
    <x v="159"/>
    <n v="169"/>
    <x v="4"/>
    <x v="98"/>
    <x v="1"/>
    <x v="717"/>
    <x v="713"/>
    <x v="719"/>
    <x v="0"/>
    <x v="652"/>
  </r>
  <r>
    <x v="720"/>
    <x v="51"/>
    <s v="JAI"/>
    <x v="2"/>
    <x v="331"/>
    <n v="222"/>
    <x v="3"/>
    <x v="42"/>
    <x v="93"/>
    <x v="718"/>
    <x v="714"/>
    <x v="720"/>
    <x v="11"/>
    <x v="653"/>
  </r>
  <r>
    <x v="721"/>
    <x v="53"/>
    <s v="GOI"/>
    <x v="3"/>
    <x v="450"/>
    <n v="106"/>
    <x v="0"/>
    <x v="105"/>
    <x v="27"/>
    <x v="719"/>
    <x v="715"/>
    <x v="721"/>
    <x v="3"/>
    <x v="654"/>
  </r>
  <r>
    <x v="722"/>
    <x v="43"/>
    <s v="DEL"/>
    <x v="9"/>
    <x v="84"/>
    <n v="152"/>
    <x v="4"/>
    <x v="63"/>
    <x v="42"/>
    <x v="720"/>
    <x v="716"/>
    <x v="722"/>
    <x v="6"/>
    <x v="655"/>
  </r>
  <r>
    <x v="723"/>
    <x v="39"/>
    <s v="DEL"/>
    <x v="1"/>
    <x v="150"/>
    <n v="174"/>
    <x v="0"/>
    <x v="22"/>
    <x v="84"/>
    <x v="721"/>
    <x v="717"/>
    <x v="723"/>
    <x v="5"/>
    <x v="283"/>
  </r>
  <r>
    <x v="724"/>
    <x v="5"/>
    <s v="DEL"/>
    <x v="4"/>
    <x v="7"/>
    <n v="166"/>
    <x v="3"/>
    <x v="62"/>
    <x v="34"/>
    <x v="722"/>
    <x v="718"/>
    <x v="724"/>
    <x v="6"/>
    <x v="12"/>
  </r>
  <r>
    <x v="725"/>
    <x v="2"/>
    <s v="CCU"/>
    <x v="2"/>
    <x v="340"/>
    <n v="156"/>
    <x v="2"/>
    <x v="44"/>
    <x v="134"/>
    <x v="723"/>
    <x v="719"/>
    <x v="725"/>
    <x v="1"/>
    <x v="656"/>
  </r>
  <r>
    <x v="726"/>
    <x v="23"/>
    <s v="BOM"/>
    <x v="6"/>
    <x v="451"/>
    <n v="85"/>
    <x v="4"/>
    <x v="25"/>
    <x v="110"/>
    <x v="724"/>
    <x v="720"/>
    <x v="726"/>
    <x v="2"/>
    <x v="657"/>
  </r>
  <r>
    <x v="727"/>
    <x v="61"/>
    <s v="PNQ"/>
    <x v="9"/>
    <x v="59"/>
    <n v="95"/>
    <x v="2"/>
    <x v="6"/>
    <x v="4"/>
    <x v="725"/>
    <x v="721"/>
    <x v="727"/>
    <x v="11"/>
    <x v="658"/>
  </r>
  <r>
    <x v="728"/>
    <x v="35"/>
    <s v="BLR"/>
    <x v="3"/>
    <x v="41"/>
    <n v="141"/>
    <x v="0"/>
    <x v="18"/>
    <x v="28"/>
    <x v="726"/>
    <x v="722"/>
    <x v="728"/>
    <x v="5"/>
    <x v="396"/>
  </r>
  <r>
    <x v="729"/>
    <x v="73"/>
    <s v="AMD"/>
    <x v="2"/>
    <x v="452"/>
    <n v="161"/>
    <x v="0"/>
    <x v="140"/>
    <x v="75"/>
    <x v="727"/>
    <x v="723"/>
    <x v="729"/>
    <x v="7"/>
    <x v="659"/>
  </r>
  <r>
    <x v="730"/>
    <x v="2"/>
    <s v="CCU"/>
    <x v="2"/>
    <x v="261"/>
    <n v="130"/>
    <x v="0"/>
    <x v="89"/>
    <x v="39"/>
    <x v="728"/>
    <x v="724"/>
    <x v="730"/>
    <x v="5"/>
    <x v="660"/>
  </r>
  <r>
    <x v="731"/>
    <x v="55"/>
    <s v="DEL"/>
    <x v="8"/>
    <x v="453"/>
    <n v="152"/>
    <x v="0"/>
    <x v="59"/>
    <x v="118"/>
    <x v="729"/>
    <x v="725"/>
    <x v="731"/>
    <x v="9"/>
    <x v="661"/>
  </r>
  <r>
    <x v="732"/>
    <x v="80"/>
    <s v="JAI"/>
    <x v="5"/>
    <x v="4"/>
    <n v="186"/>
    <x v="0"/>
    <x v="135"/>
    <x v="99"/>
    <x v="730"/>
    <x v="726"/>
    <x v="732"/>
    <x v="1"/>
    <x v="662"/>
  </r>
  <r>
    <x v="733"/>
    <x v="89"/>
    <s v="JAI"/>
    <x v="3"/>
    <x v="454"/>
    <n v="116"/>
    <x v="4"/>
    <x v="108"/>
    <x v="23"/>
    <x v="731"/>
    <x v="727"/>
    <x v="733"/>
    <x v="9"/>
    <x v="663"/>
  </r>
  <r>
    <x v="734"/>
    <x v="45"/>
    <s v="JAI"/>
    <x v="4"/>
    <x v="140"/>
    <n v="83"/>
    <x v="1"/>
    <x v="98"/>
    <x v="99"/>
    <x v="732"/>
    <x v="728"/>
    <x v="734"/>
    <x v="1"/>
    <x v="664"/>
  </r>
  <r>
    <x v="735"/>
    <x v="57"/>
    <s v="GOI"/>
    <x v="0"/>
    <x v="373"/>
    <n v="180"/>
    <x v="3"/>
    <x v="118"/>
    <x v="86"/>
    <x v="733"/>
    <x v="729"/>
    <x v="735"/>
    <x v="11"/>
    <x v="665"/>
  </r>
  <r>
    <x v="736"/>
    <x v="59"/>
    <s v="DEL"/>
    <x v="6"/>
    <x v="221"/>
    <n v="222"/>
    <x v="3"/>
    <x v="148"/>
    <x v="79"/>
    <x v="734"/>
    <x v="730"/>
    <x v="736"/>
    <x v="0"/>
    <x v="666"/>
  </r>
  <r>
    <x v="737"/>
    <x v="20"/>
    <s v="DEL"/>
    <x v="0"/>
    <x v="455"/>
    <n v="216"/>
    <x v="2"/>
    <x v="5"/>
    <x v="19"/>
    <x v="735"/>
    <x v="731"/>
    <x v="737"/>
    <x v="10"/>
    <x v="667"/>
  </r>
  <r>
    <x v="738"/>
    <x v="21"/>
    <s v="PNQ"/>
    <x v="8"/>
    <x v="339"/>
    <n v="225"/>
    <x v="3"/>
    <x v="106"/>
    <x v="5"/>
    <x v="736"/>
    <x v="732"/>
    <x v="738"/>
    <x v="10"/>
    <x v="367"/>
  </r>
  <r>
    <x v="739"/>
    <x v="54"/>
    <s v="BOM"/>
    <x v="5"/>
    <x v="456"/>
    <n v="221"/>
    <x v="2"/>
    <x v="31"/>
    <x v="105"/>
    <x v="737"/>
    <x v="733"/>
    <x v="739"/>
    <x v="0"/>
    <x v="668"/>
  </r>
  <r>
    <x v="740"/>
    <x v="26"/>
    <s v="JAI"/>
    <x v="8"/>
    <x v="457"/>
    <n v="98"/>
    <x v="4"/>
    <x v="44"/>
    <x v="103"/>
    <x v="738"/>
    <x v="734"/>
    <x v="740"/>
    <x v="1"/>
    <x v="669"/>
  </r>
  <r>
    <x v="741"/>
    <x v="54"/>
    <s v="BOM"/>
    <x v="5"/>
    <x v="90"/>
    <n v="138"/>
    <x v="3"/>
    <x v="27"/>
    <x v="61"/>
    <x v="739"/>
    <x v="735"/>
    <x v="741"/>
    <x v="0"/>
    <x v="670"/>
  </r>
  <r>
    <x v="742"/>
    <x v="69"/>
    <s v="GOI"/>
    <x v="7"/>
    <x v="412"/>
    <n v="226"/>
    <x v="0"/>
    <x v="49"/>
    <x v="104"/>
    <x v="740"/>
    <x v="666"/>
    <x v="742"/>
    <x v="5"/>
    <x v="671"/>
  </r>
  <r>
    <x v="743"/>
    <x v="34"/>
    <s v="PNQ"/>
    <x v="4"/>
    <x v="346"/>
    <n v="127"/>
    <x v="2"/>
    <x v="37"/>
    <x v="0"/>
    <x v="741"/>
    <x v="736"/>
    <x v="743"/>
    <x v="1"/>
    <x v="672"/>
  </r>
  <r>
    <x v="744"/>
    <x v="39"/>
    <s v="DEL"/>
    <x v="1"/>
    <x v="92"/>
    <n v="160"/>
    <x v="3"/>
    <x v="11"/>
    <x v="156"/>
    <x v="742"/>
    <x v="737"/>
    <x v="744"/>
    <x v="6"/>
    <x v="673"/>
  </r>
  <r>
    <x v="745"/>
    <x v="11"/>
    <s v="GOI"/>
    <x v="2"/>
    <x v="119"/>
    <n v="203"/>
    <x v="2"/>
    <x v="10"/>
    <x v="38"/>
    <x v="743"/>
    <x v="738"/>
    <x v="745"/>
    <x v="9"/>
    <x v="674"/>
  </r>
  <r>
    <x v="746"/>
    <x v="12"/>
    <s v="HYD"/>
    <x v="5"/>
    <x v="85"/>
    <n v="64"/>
    <x v="4"/>
    <x v="24"/>
    <x v="55"/>
    <x v="744"/>
    <x v="739"/>
    <x v="746"/>
    <x v="4"/>
    <x v="675"/>
  </r>
  <r>
    <x v="747"/>
    <x v="8"/>
    <s v="PNQ"/>
    <x v="5"/>
    <x v="458"/>
    <n v="178"/>
    <x v="4"/>
    <x v="146"/>
    <x v="84"/>
    <x v="745"/>
    <x v="740"/>
    <x v="747"/>
    <x v="5"/>
    <x v="676"/>
  </r>
  <r>
    <x v="748"/>
    <x v="40"/>
    <s v="CCU"/>
    <x v="3"/>
    <x v="459"/>
    <n v="233"/>
    <x v="4"/>
    <x v="116"/>
    <x v="11"/>
    <x v="746"/>
    <x v="741"/>
    <x v="748"/>
    <x v="11"/>
    <x v="280"/>
  </r>
  <r>
    <x v="749"/>
    <x v="85"/>
    <s v="GOI"/>
    <x v="9"/>
    <x v="450"/>
    <n v="193"/>
    <x v="2"/>
    <x v="99"/>
    <x v="43"/>
    <x v="747"/>
    <x v="742"/>
    <x v="749"/>
    <x v="3"/>
    <x v="4"/>
  </r>
  <r>
    <x v="750"/>
    <x v="22"/>
    <s v="PNQ"/>
    <x v="2"/>
    <x v="8"/>
    <n v="78"/>
    <x v="2"/>
    <x v="124"/>
    <x v="32"/>
    <x v="748"/>
    <x v="743"/>
    <x v="750"/>
    <x v="1"/>
    <x v="677"/>
  </r>
  <r>
    <x v="751"/>
    <x v="38"/>
    <s v="MAA"/>
    <x v="0"/>
    <x v="460"/>
    <n v="135"/>
    <x v="2"/>
    <x v="138"/>
    <x v="104"/>
    <x v="749"/>
    <x v="744"/>
    <x v="751"/>
    <x v="2"/>
    <x v="678"/>
  </r>
  <r>
    <x v="752"/>
    <x v="10"/>
    <s v="AMD"/>
    <x v="4"/>
    <x v="45"/>
    <n v="222"/>
    <x v="0"/>
    <x v="5"/>
    <x v="28"/>
    <x v="750"/>
    <x v="745"/>
    <x v="752"/>
    <x v="6"/>
    <x v="679"/>
  </r>
  <r>
    <x v="753"/>
    <x v="80"/>
    <s v="JAI"/>
    <x v="5"/>
    <x v="105"/>
    <n v="111"/>
    <x v="2"/>
    <x v="106"/>
    <x v="99"/>
    <x v="751"/>
    <x v="746"/>
    <x v="753"/>
    <x v="11"/>
    <x v="680"/>
  </r>
  <r>
    <x v="754"/>
    <x v="60"/>
    <s v="CCU"/>
    <x v="1"/>
    <x v="460"/>
    <n v="140"/>
    <x v="3"/>
    <x v="50"/>
    <x v="48"/>
    <x v="752"/>
    <x v="747"/>
    <x v="754"/>
    <x v="2"/>
    <x v="681"/>
  </r>
  <r>
    <x v="755"/>
    <x v="48"/>
    <s v="BOM"/>
    <x v="3"/>
    <x v="171"/>
    <n v="82"/>
    <x v="3"/>
    <x v="77"/>
    <x v="46"/>
    <x v="753"/>
    <x v="748"/>
    <x v="755"/>
    <x v="10"/>
    <x v="682"/>
  </r>
  <r>
    <x v="756"/>
    <x v="2"/>
    <s v="CCU"/>
    <x v="2"/>
    <x v="461"/>
    <n v="119"/>
    <x v="1"/>
    <x v="149"/>
    <x v="45"/>
    <x v="754"/>
    <x v="749"/>
    <x v="756"/>
    <x v="10"/>
    <x v="683"/>
  </r>
  <r>
    <x v="757"/>
    <x v="47"/>
    <s v="PNQ"/>
    <x v="0"/>
    <x v="237"/>
    <n v="218"/>
    <x v="1"/>
    <x v="87"/>
    <x v="46"/>
    <x v="755"/>
    <x v="750"/>
    <x v="757"/>
    <x v="10"/>
    <x v="684"/>
  </r>
  <r>
    <x v="758"/>
    <x v="74"/>
    <s v="BLR"/>
    <x v="8"/>
    <x v="166"/>
    <n v="68"/>
    <x v="2"/>
    <x v="26"/>
    <x v="27"/>
    <x v="756"/>
    <x v="751"/>
    <x v="758"/>
    <x v="0"/>
    <x v="685"/>
  </r>
  <r>
    <x v="759"/>
    <x v="76"/>
    <s v="BLR"/>
    <x v="9"/>
    <x v="462"/>
    <n v="50"/>
    <x v="4"/>
    <x v="3"/>
    <x v="123"/>
    <x v="757"/>
    <x v="752"/>
    <x v="759"/>
    <x v="5"/>
    <x v="686"/>
  </r>
  <r>
    <x v="760"/>
    <x v="74"/>
    <s v="BLR"/>
    <x v="8"/>
    <x v="418"/>
    <n v="199"/>
    <x v="1"/>
    <x v="9"/>
    <x v="4"/>
    <x v="758"/>
    <x v="753"/>
    <x v="760"/>
    <x v="8"/>
    <x v="687"/>
  </r>
  <r>
    <x v="761"/>
    <x v="37"/>
    <s v="HYD"/>
    <x v="9"/>
    <x v="156"/>
    <n v="140"/>
    <x v="4"/>
    <x v="97"/>
    <x v="36"/>
    <x v="759"/>
    <x v="754"/>
    <x v="761"/>
    <x v="0"/>
    <x v="492"/>
  </r>
  <r>
    <x v="762"/>
    <x v="69"/>
    <s v="GOI"/>
    <x v="7"/>
    <x v="282"/>
    <n v="231"/>
    <x v="3"/>
    <x v="75"/>
    <x v="70"/>
    <x v="760"/>
    <x v="755"/>
    <x v="762"/>
    <x v="1"/>
    <x v="688"/>
  </r>
  <r>
    <x v="763"/>
    <x v="12"/>
    <s v="HYD"/>
    <x v="5"/>
    <x v="102"/>
    <n v="198"/>
    <x v="4"/>
    <x v="67"/>
    <x v="99"/>
    <x v="761"/>
    <x v="756"/>
    <x v="763"/>
    <x v="1"/>
    <x v="689"/>
  </r>
  <r>
    <x v="764"/>
    <x v="86"/>
    <s v="CCU"/>
    <x v="7"/>
    <x v="463"/>
    <n v="238"/>
    <x v="3"/>
    <x v="135"/>
    <x v="1"/>
    <x v="762"/>
    <x v="757"/>
    <x v="764"/>
    <x v="1"/>
    <x v="41"/>
  </r>
  <r>
    <x v="765"/>
    <x v="12"/>
    <s v="HYD"/>
    <x v="5"/>
    <x v="347"/>
    <n v="163"/>
    <x v="1"/>
    <x v="49"/>
    <x v="86"/>
    <x v="763"/>
    <x v="758"/>
    <x v="765"/>
    <x v="5"/>
    <x v="690"/>
  </r>
  <r>
    <x v="766"/>
    <x v="53"/>
    <s v="GOI"/>
    <x v="3"/>
    <x v="364"/>
    <n v="122"/>
    <x v="1"/>
    <x v="43"/>
    <x v="23"/>
    <x v="764"/>
    <x v="759"/>
    <x v="766"/>
    <x v="3"/>
    <x v="123"/>
  </r>
  <r>
    <x v="767"/>
    <x v="67"/>
    <s v="BOM"/>
    <x v="7"/>
    <x v="348"/>
    <n v="112"/>
    <x v="2"/>
    <x v="65"/>
    <x v="3"/>
    <x v="765"/>
    <x v="760"/>
    <x v="767"/>
    <x v="2"/>
    <x v="691"/>
  </r>
  <r>
    <x v="768"/>
    <x v="34"/>
    <s v="PNQ"/>
    <x v="4"/>
    <x v="464"/>
    <n v="75"/>
    <x v="2"/>
    <x v="102"/>
    <x v="89"/>
    <x v="766"/>
    <x v="761"/>
    <x v="768"/>
    <x v="0"/>
    <x v="692"/>
  </r>
  <r>
    <x v="769"/>
    <x v="9"/>
    <s v="JAI"/>
    <x v="1"/>
    <x v="465"/>
    <n v="205"/>
    <x v="3"/>
    <x v="57"/>
    <x v="61"/>
    <x v="767"/>
    <x v="762"/>
    <x v="769"/>
    <x v="7"/>
    <x v="693"/>
  </r>
  <r>
    <x v="770"/>
    <x v="28"/>
    <s v="MAA"/>
    <x v="5"/>
    <x v="466"/>
    <n v="59"/>
    <x v="0"/>
    <x v="77"/>
    <x v="6"/>
    <x v="768"/>
    <x v="763"/>
    <x v="770"/>
    <x v="1"/>
    <x v="694"/>
  </r>
  <r>
    <x v="771"/>
    <x v="63"/>
    <s v="BOM"/>
    <x v="9"/>
    <x v="349"/>
    <n v="152"/>
    <x v="2"/>
    <x v="86"/>
    <x v="95"/>
    <x v="769"/>
    <x v="764"/>
    <x v="771"/>
    <x v="0"/>
    <x v="110"/>
  </r>
  <r>
    <x v="772"/>
    <x v="59"/>
    <s v="DEL"/>
    <x v="6"/>
    <x v="467"/>
    <n v="205"/>
    <x v="0"/>
    <x v="93"/>
    <x v="27"/>
    <x v="770"/>
    <x v="765"/>
    <x v="772"/>
    <x v="5"/>
    <x v="695"/>
  </r>
  <r>
    <x v="773"/>
    <x v="2"/>
    <s v="CCU"/>
    <x v="2"/>
    <x v="431"/>
    <n v="220"/>
    <x v="2"/>
    <x v="93"/>
    <x v="16"/>
    <x v="771"/>
    <x v="766"/>
    <x v="773"/>
    <x v="4"/>
    <x v="696"/>
  </r>
  <r>
    <x v="774"/>
    <x v="72"/>
    <s v="AMD"/>
    <x v="6"/>
    <x v="185"/>
    <n v="140"/>
    <x v="3"/>
    <x v="92"/>
    <x v="52"/>
    <x v="772"/>
    <x v="767"/>
    <x v="774"/>
    <x v="4"/>
    <x v="697"/>
  </r>
  <r>
    <x v="775"/>
    <x v="72"/>
    <s v="AMD"/>
    <x v="6"/>
    <x v="137"/>
    <n v="93"/>
    <x v="1"/>
    <x v="109"/>
    <x v="113"/>
    <x v="773"/>
    <x v="768"/>
    <x v="775"/>
    <x v="1"/>
    <x v="698"/>
  </r>
  <r>
    <x v="776"/>
    <x v="56"/>
    <s v="HYD"/>
    <x v="8"/>
    <x v="226"/>
    <n v="74"/>
    <x v="0"/>
    <x v="53"/>
    <x v="28"/>
    <x v="774"/>
    <x v="769"/>
    <x v="776"/>
    <x v="11"/>
    <x v="699"/>
  </r>
  <r>
    <x v="777"/>
    <x v="49"/>
    <s v="AMD"/>
    <x v="8"/>
    <x v="248"/>
    <n v="178"/>
    <x v="2"/>
    <x v="130"/>
    <x v="27"/>
    <x v="775"/>
    <x v="770"/>
    <x v="777"/>
    <x v="7"/>
    <x v="700"/>
  </r>
  <r>
    <x v="778"/>
    <x v="10"/>
    <s v="AMD"/>
    <x v="4"/>
    <x v="468"/>
    <n v="103"/>
    <x v="2"/>
    <x v="42"/>
    <x v="93"/>
    <x v="776"/>
    <x v="771"/>
    <x v="778"/>
    <x v="6"/>
    <x v="653"/>
  </r>
  <r>
    <x v="779"/>
    <x v="52"/>
    <s v="DEL"/>
    <x v="5"/>
    <x v="134"/>
    <n v="168"/>
    <x v="3"/>
    <x v="27"/>
    <x v="38"/>
    <x v="777"/>
    <x v="772"/>
    <x v="779"/>
    <x v="0"/>
    <x v="701"/>
  </r>
  <r>
    <x v="780"/>
    <x v="57"/>
    <s v="GOI"/>
    <x v="0"/>
    <x v="75"/>
    <n v="75"/>
    <x v="2"/>
    <x v="4"/>
    <x v="7"/>
    <x v="778"/>
    <x v="773"/>
    <x v="780"/>
    <x v="9"/>
    <x v="702"/>
  </r>
  <r>
    <x v="781"/>
    <x v="52"/>
    <s v="DEL"/>
    <x v="5"/>
    <x v="469"/>
    <n v="97"/>
    <x v="1"/>
    <x v="133"/>
    <x v="61"/>
    <x v="779"/>
    <x v="774"/>
    <x v="781"/>
    <x v="7"/>
    <x v="703"/>
  </r>
  <r>
    <x v="782"/>
    <x v="41"/>
    <s v="AMD"/>
    <x v="9"/>
    <x v="470"/>
    <n v="134"/>
    <x v="2"/>
    <x v="5"/>
    <x v="0"/>
    <x v="780"/>
    <x v="775"/>
    <x v="782"/>
    <x v="1"/>
    <x v="704"/>
  </r>
  <r>
    <x v="783"/>
    <x v="52"/>
    <s v="DEL"/>
    <x v="5"/>
    <x v="471"/>
    <n v="240"/>
    <x v="4"/>
    <x v="31"/>
    <x v="53"/>
    <x v="781"/>
    <x v="776"/>
    <x v="783"/>
    <x v="1"/>
    <x v="705"/>
  </r>
  <r>
    <x v="784"/>
    <x v="57"/>
    <s v="GOI"/>
    <x v="0"/>
    <x v="113"/>
    <n v="99"/>
    <x v="1"/>
    <x v="47"/>
    <x v="78"/>
    <x v="782"/>
    <x v="777"/>
    <x v="784"/>
    <x v="9"/>
    <x v="706"/>
  </r>
  <r>
    <x v="785"/>
    <x v="79"/>
    <s v="AMD"/>
    <x v="1"/>
    <x v="472"/>
    <n v="153"/>
    <x v="0"/>
    <x v="139"/>
    <x v="19"/>
    <x v="783"/>
    <x v="778"/>
    <x v="785"/>
    <x v="0"/>
    <x v="707"/>
  </r>
  <r>
    <x v="786"/>
    <x v="55"/>
    <s v="DEL"/>
    <x v="8"/>
    <x v="473"/>
    <n v="178"/>
    <x v="0"/>
    <x v="102"/>
    <x v="59"/>
    <x v="784"/>
    <x v="779"/>
    <x v="786"/>
    <x v="9"/>
    <x v="708"/>
  </r>
  <r>
    <x v="787"/>
    <x v="39"/>
    <s v="DEL"/>
    <x v="1"/>
    <x v="474"/>
    <n v="74"/>
    <x v="3"/>
    <x v="97"/>
    <x v="19"/>
    <x v="785"/>
    <x v="780"/>
    <x v="787"/>
    <x v="10"/>
    <x v="709"/>
  </r>
  <r>
    <x v="788"/>
    <x v="19"/>
    <s v="BLR"/>
    <x v="6"/>
    <x v="353"/>
    <n v="119"/>
    <x v="3"/>
    <x v="103"/>
    <x v="105"/>
    <x v="786"/>
    <x v="781"/>
    <x v="788"/>
    <x v="3"/>
    <x v="710"/>
  </r>
  <r>
    <x v="789"/>
    <x v="24"/>
    <s v="AMD"/>
    <x v="0"/>
    <x v="341"/>
    <n v="170"/>
    <x v="4"/>
    <x v="56"/>
    <x v="15"/>
    <x v="787"/>
    <x v="782"/>
    <x v="789"/>
    <x v="8"/>
    <x v="141"/>
  </r>
  <r>
    <x v="790"/>
    <x v="5"/>
    <s v="DEL"/>
    <x v="4"/>
    <x v="194"/>
    <n v="147"/>
    <x v="1"/>
    <x v="2"/>
    <x v="5"/>
    <x v="788"/>
    <x v="783"/>
    <x v="790"/>
    <x v="3"/>
    <x v="711"/>
  </r>
  <r>
    <x v="791"/>
    <x v="29"/>
    <s v="BLR"/>
    <x v="1"/>
    <x v="443"/>
    <n v="197"/>
    <x v="3"/>
    <x v="73"/>
    <x v="4"/>
    <x v="789"/>
    <x v="784"/>
    <x v="791"/>
    <x v="5"/>
    <x v="712"/>
  </r>
  <r>
    <x v="792"/>
    <x v="51"/>
    <s v="JAI"/>
    <x v="2"/>
    <x v="475"/>
    <n v="147"/>
    <x v="2"/>
    <x v="47"/>
    <x v="137"/>
    <x v="790"/>
    <x v="785"/>
    <x v="792"/>
    <x v="4"/>
    <x v="713"/>
  </r>
  <r>
    <x v="793"/>
    <x v="49"/>
    <s v="AMD"/>
    <x v="8"/>
    <x v="336"/>
    <n v="76"/>
    <x v="2"/>
    <x v="60"/>
    <x v="131"/>
    <x v="791"/>
    <x v="786"/>
    <x v="793"/>
    <x v="9"/>
    <x v="714"/>
  </r>
  <r>
    <x v="794"/>
    <x v="54"/>
    <s v="BOM"/>
    <x v="5"/>
    <x v="414"/>
    <n v="62"/>
    <x v="3"/>
    <x v="94"/>
    <x v="41"/>
    <x v="792"/>
    <x v="787"/>
    <x v="794"/>
    <x v="3"/>
    <x v="572"/>
  </r>
  <r>
    <x v="795"/>
    <x v="41"/>
    <s v="AMD"/>
    <x v="9"/>
    <x v="127"/>
    <n v="204"/>
    <x v="4"/>
    <x v="100"/>
    <x v="104"/>
    <x v="793"/>
    <x v="788"/>
    <x v="795"/>
    <x v="7"/>
    <x v="715"/>
  </r>
  <r>
    <x v="796"/>
    <x v="76"/>
    <s v="BLR"/>
    <x v="9"/>
    <x v="66"/>
    <n v="172"/>
    <x v="3"/>
    <x v="32"/>
    <x v="109"/>
    <x v="794"/>
    <x v="789"/>
    <x v="796"/>
    <x v="8"/>
    <x v="716"/>
  </r>
  <r>
    <x v="797"/>
    <x v="57"/>
    <s v="GOI"/>
    <x v="0"/>
    <x v="210"/>
    <n v="155"/>
    <x v="4"/>
    <x v="112"/>
    <x v="33"/>
    <x v="795"/>
    <x v="790"/>
    <x v="797"/>
    <x v="3"/>
    <x v="717"/>
  </r>
  <r>
    <x v="798"/>
    <x v="47"/>
    <s v="PNQ"/>
    <x v="0"/>
    <x v="476"/>
    <n v="90"/>
    <x v="1"/>
    <x v="43"/>
    <x v="88"/>
    <x v="796"/>
    <x v="791"/>
    <x v="798"/>
    <x v="3"/>
    <x v="718"/>
  </r>
  <r>
    <x v="799"/>
    <x v="41"/>
    <s v="AMD"/>
    <x v="9"/>
    <x v="60"/>
    <n v="169"/>
    <x v="4"/>
    <x v="131"/>
    <x v="157"/>
    <x v="797"/>
    <x v="792"/>
    <x v="799"/>
    <x v="3"/>
    <x v="719"/>
  </r>
  <r>
    <x v="800"/>
    <x v="53"/>
    <s v="GOI"/>
    <x v="3"/>
    <x v="304"/>
    <n v="188"/>
    <x v="0"/>
    <x v="32"/>
    <x v="4"/>
    <x v="798"/>
    <x v="793"/>
    <x v="800"/>
    <x v="10"/>
    <x v="720"/>
  </r>
  <r>
    <x v="801"/>
    <x v="9"/>
    <s v="JAI"/>
    <x v="1"/>
    <x v="477"/>
    <n v="218"/>
    <x v="2"/>
    <x v="97"/>
    <x v="48"/>
    <x v="799"/>
    <x v="725"/>
    <x v="801"/>
    <x v="7"/>
    <x v="721"/>
  </r>
  <r>
    <x v="802"/>
    <x v="33"/>
    <s v="BOM"/>
    <x v="4"/>
    <x v="323"/>
    <n v="134"/>
    <x v="1"/>
    <x v="94"/>
    <x v="50"/>
    <x v="800"/>
    <x v="794"/>
    <x v="802"/>
    <x v="0"/>
    <x v="722"/>
  </r>
  <r>
    <x v="803"/>
    <x v="60"/>
    <s v="CCU"/>
    <x v="1"/>
    <x v="450"/>
    <n v="134"/>
    <x v="4"/>
    <x v="45"/>
    <x v="3"/>
    <x v="801"/>
    <x v="795"/>
    <x v="803"/>
    <x v="3"/>
    <x v="723"/>
  </r>
  <r>
    <x v="804"/>
    <x v="66"/>
    <s v="JAI"/>
    <x v="7"/>
    <x v="468"/>
    <n v="61"/>
    <x v="2"/>
    <x v="87"/>
    <x v="50"/>
    <x v="802"/>
    <x v="796"/>
    <x v="804"/>
    <x v="6"/>
    <x v="724"/>
  </r>
  <r>
    <x v="805"/>
    <x v="36"/>
    <s v="CCU"/>
    <x v="0"/>
    <x v="478"/>
    <n v="213"/>
    <x v="3"/>
    <x v="131"/>
    <x v="110"/>
    <x v="803"/>
    <x v="797"/>
    <x v="805"/>
    <x v="9"/>
    <x v="725"/>
  </r>
  <r>
    <x v="806"/>
    <x v="47"/>
    <s v="PNQ"/>
    <x v="0"/>
    <x v="193"/>
    <n v="141"/>
    <x v="1"/>
    <x v="140"/>
    <x v="83"/>
    <x v="804"/>
    <x v="798"/>
    <x v="806"/>
    <x v="8"/>
    <x v="726"/>
  </r>
  <r>
    <x v="807"/>
    <x v="7"/>
    <s v="DEL"/>
    <x v="2"/>
    <x v="479"/>
    <n v="172"/>
    <x v="1"/>
    <x v="110"/>
    <x v="50"/>
    <x v="805"/>
    <x v="799"/>
    <x v="807"/>
    <x v="6"/>
    <x v="727"/>
  </r>
  <r>
    <x v="808"/>
    <x v="74"/>
    <s v="BLR"/>
    <x v="8"/>
    <x v="480"/>
    <n v="64"/>
    <x v="1"/>
    <x v="7"/>
    <x v="39"/>
    <x v="806"/>
    <x v="800"/>
    <x v="808"/>
    <x v="4"/>
    <x v="620"/>
  </r>
  <r>
    <x v="809"/>
    <x v="9"/>
    <s v="JAI"/>
    <x v="1"/>
    <x v="320"/>
    <n v="204"/>
    <x v="4"/>
    <x v="39"/>
    <x v="11"/>
    <x v="807"/>
    <x v="801"/>
    <x v="809"/>
    <x v="1"/>
    <x v="728"/>
  </r>
  <r>
    <x v="810"/>
    <x v="26"/>
    <s v="JAI"/>
    <x v="8"/>
    <x v="433"/>
    <n v="154"/>
    <x v="0"/>
    <x v="61"/>
    <x v="138"/>
    <x v="808"/>
    <x v="802"/>
    <x v="810"/>
    <x v="10"/>
    <x v="729"/>
  </r>
  <r>
    <x v="811"/>
    <x v="11"/>
    <s v="GOI"/>
    <x v="2"/>
    <x v="481"/>
    <n v="214"/>
    <x v="1"/>
    <x v="28"/>
    <x v="86"/>
    <x v="809"/>
    <x v="803"/>
    <x v="811"/>
    <x v="11"/>
    <x v="730"/>
  </r>
  <r>
    <x v="812"/>
    <x v="26"/>
    <s v="JAI"/>
    <x v="8"/>
    <x v="13"/>
    <n v="216"/>
    <x v="1"/>
    <x v="137"/>
    <x v="30"/>
    <x v="810"/>
    <x v="804"/>
    <x v="812"/>
    <x v="9"/>
    <x v="731"/>
  </r>
  <r>
    <x v="813"/>
    <x v="34"/>
    <s v="PNQ"/>
    <x v="4"/>
    <x v="316"/>
    <n v="235"/>
    <x v="3"/>
    <x v="37"/>
    <x v="120"/>
    <x v="811"/>
    <x v="805"/>
    <x v="813"/>
    <x v="8"/>
    <x v="732"/>
  </r>
  <r>
    <x v="814"/>
    <x v="84"/>
    <s v="JAI"/>
    <x v="0"/>
    <x v="335"/>
    <n v="96"/>
    <x v="2"/>
    <x v="22"/>
    <x v="112"/>
    <x v="812"/>
    <x v="806"/>
    <x v="814"/>
    <x v="2"/>
    <x v="733"/>
  </r>
  <r>
    <x v="815"/>
    <x v="46"/>
    <s v="HYD"/>
    <x v="3"/>
    <x v="212"/>
    <n v="61"/>
    <x v="0"/>
    <x v="92"/>
    <x v="12"/>
    <x v="813"/>
    <x v="807"/>
    <x v="815"/>
    <x v="8"/>
    <x v="734"/>
  </r>
  <r>
    <x v="816"/>
    <x v="64"/>
    <s v="MAA"/>
    <x v="4"/>
    <x v="48"/>
    <n v="106"/>
    <x v="4"/>
    <x v="34"/>
    <x v="11"/>
    <x v="814"/>
    <x v="808"/>
    <x v="816"/>
    <x v="3"/>
    <x v="532"/>
  </r>
  <r>
    <x v="817"/>
    <x v="21"/>
    <s v="PNQ"/>
    <x v="8"/>
    <x v="482"/>
    <n v="156"/>
    <x v="3"/>
    <x v="105"/>
    <x v="38"/>
    <x v="815"/>
    <x v="809"/>
    <x v="817"/>
    <x v="5"/>
    <x v="735"/>
  </r>
  <r>
    <x v="818"/>
    <x v="63"/>
    <s v="BOM"/>
    <x v="9"/>
    <x v="5"/>
    <n v="213"/>
    <x v="1"/>
    <x v="62"/>
    <x v="2"/>
    <x v="816"/>
    <x v="810"/>
    <x v="818"/>
    <x v="4"/>
    <x v="736"/>
  </r>
  <r>
    <x v="819"/>
    <x v="39"/>
    <s v="DEL"/>
    <x v="1"/>
    <x v="469"/>
    <n v="121"/>
    <x v="4"/>
    <x v="78"/>
    <x v="78"/>
    <x v="817"/>
    <x v="811"/>
    <x v="819"/>
    <x v="7"/>
    <x v="737"/>
  </r>
  <r>
    <x v="820"/>
    <x v="15"/>
    <s v="BLR"/>
    <x v="7"/>
    <x v="483"/>
    <n v="233"/>
    <x v="1"/>
    <x v="57"/>
    <x v="32"/>
    <x v="818"/>
    <x v="812"/>
    <x v="820"/>
    <x v="1"/>
    <x v="738"/>
  </r>
  <r>
    <x v="821"/>
    <x v="7"/>
    <s v="DEL"/>
    <x v="2"/>
    <x v="484"/>
    <n v="76"/>
    <x v="2"/>
    <x v="117"/>
    <x v="63"/>
    <x v="819"/>
    <x v="813"/>
    <x v="821"/>
    <x v="7"/>
    <x v="739"/>
  </r>
  <r>
    <x v="822"/>
    <x v="65"/>
    <s v="BLR"/>
    <x v="5"/>
    <x v="222"/>
    <n v="89"/>
    <x v="0"/>
    <x v="48"/>
    <x v="45"/>
    <x v="820"/>
    <x v="814"/>
    <x v="822"/>
    <x v="9"/>
    <x v="57"/>
  </r>
  <r>
    <x v="823"/>
    <x v="71"/>
    <s v="BOM"/>
    <x v="8"/>
    <x v="6"/>
    <n v="140"/>
    <x v="4"/>
    <x v="77"/>
    <x v="116"/>
    <x v="821"/>
    <x v="815"/>
    <x v="823"/>
    <x v="5"/>
    <x v="740"/>
  </r>
  <r>
    <x v="824"/>
    <x v="28"/>
    <s v="MAA"/>
    <x v="5"/>
    <x v="485"/>
    <n v="166"/>
    <x v="2"/>
    <x v="38"/>
    <x v="30"/>
    <x v="822"/>
    <x v="816"/>
    <x v="824"/>
    <x v="0"/>
    <x v="741"/>
  </r>
  <r>
    <x v="825"/>
    <x v="76"/>
    <s v="BLR"/>
    <x v="9"/>
    <x v="88"/>
    <n v="143"/>
    <x v="2"/>
    <x v="13"/>
    <x v="33"/>
    <x v="823"/>
    <x v="817"/>
    <x v="825"/>
    <x v="5"/>
    <x v="742"/>
  </r>
  <r>
    <x v="826"/>
    <x v="78"/>
    <s v="PNQ"/>
    <x v="1"/>
    <x v="393"/>
    <n v="145"/>
    <x v="2"/>
    <x v="43"/>
    <x v="41"/>
    <x v="824"/>
    <x v="818"/>
    <x v="826"/>
    <x v="0"/>
    <x v="743"/>
  </r>
  <r>
    <x v="827"/>
    <x v="49"/>
    <s v="AMD"/>
    <x v="8"/>
    <x v="145"/>
    <n v="126"/>
    <x v="3"/>
    <x v="89"/>
    <x v="89"/>
    <x v="825"/>
    <x v="819"/>
    <x v="827"/>
    <x v="4"/>
    <x v="744"/>
  </r>
  <r>
    <x v="828"/>
    <x v="37"/>
    <s v="HYD"/>
    <x v="9"/>
    <x v="24"/>
    <n v="70"/>
    <x v="0"/>
    <x v="132"/>
    <x v="0"/>
    <x v="826"/>
    <x v="820"/>
    <x v="828"/>
    <x v="11"/>
    <x v="745"/>
  </r>
  <r>
    <x v="829"/>
    <x v="26"/>
    <s v="JAI"/>
    <x v="8"/>
    <x v="411"/>
    <n v="161"/>
    <x v="4"/>
    <x v="96"/>
    <x v="48"/>
    <x v="827"/>
    <x v="821"/>
    <x v="829"/>
    <x v="6"/>
    <x v="629"/>
  </r>
  <r>
    <x v="830"/>
    <x v="24"/>
    <s v="AMD"/>
    <x v="0"/>
    <x v="76"/>
    <n v="96"/>
    <x v="2"/>
    <x v="28"/>
    <x v="77"/>
    <x v="828"/>
    <x v="822"/>
    <x v="830"/>
    <x v="3"/>
    <x v="150"/>
  </r>
  <r>
    <x v="831"/>
    <x v="19"/>
    <s v="BLR"/>
    <x v="6"/>
    <x v="486"/>
    <n v="211"/>
    <x v="0"/>
    <x v="92"/>
    <x v="120"/>
    <x v="829"/>
    <x v="823"/>
    <x v="831"/>
    <x v="0"/>
    <x v="746"/>
  </r>
  <r>
    <x v="832"/>
    <x v="28"/>
    <s v="MAA"/>
    <x v="5"/>
    <x v="487"/>
    <n v="196"/>
    <x v="2"/>
    <x v="97"/>
    <x v="86"/>
    <x v="830"/>
    <x v="824"/>
    <x v="832"/>
    <x v="6"/>
    <x v="747"/>
  </r>
  <r>
    <x v="833"/>
    <x v="32"/>
    <s v="AMD"/>
    <x v="3"/>
    <x v="488"/>
    <n v="191"/>
    <x v="0"/>
    <x v="54"/>
    <x v="71"/>
    <x v="831"/>
    <x v="825"/>
    <x v="833"/>
    <x v="0"/>
    <x v="748"/>
  </r>
  <r>
    <x v="834"/>
    <x v="15"/>
    <s v="BLR"/>
    <x v="7"/>
    <x v="454"/>
    <n v="95"/>
    <x v="2"/>
    <x v="124"/>
    <x v="98"/>
    <x v="832"/>
    <x v="826"/>
    <x v="834"/>
    <x v="9"/>
    <x v="749"/>
  </r>
  <r>
    <x v="835"/>
    <x v="51"/>
    <s v="JAI"/>
    <x v="2"/>
    <x v="489"/>
    <n v="67"/>
    <x v="2"/>
    <x v="124"/>
    <x v="64"/>
    <x v="833"/>
    <x v="827"/>
    <x v="835"/>
    <x v="2"/>
    <x v="750"/>
  </r>
  <r>
    <x v="836"/>
    <x v="56"/>
    <s v="HYD"/>
    <x v="8"/>
    <x v="249"/>
    <n v="171"/>
    <x v="4"/>
    <x v="74"/>
    <x v="99"/>
    <x v="834"/>
    <x v="828"/>
    <x v="836"/>
    <x v="8"/>
    <x v="751"/>
  </r>
  <r>
    <x v="837"/>
    <x v="78"/>
    <s v="PNQ"/>
    <x v="1"/>
    <x v="490"/>
    <n v="155"/>
    <x v="0"/>
    <x v="148"/>
    <x v="39"/>
    <x v="835"/>
    <x v="829"/>
    <x v="837"/>
    <x v="10"/>
    <x v="752"/>
  </r>
  <r>
    <x v="838"/>
    <x v="12"/>
    <s v="HYD"/>
    <x v="5"/>
    <x v="464"/>
    <n v="119"/>
    <x v="2"/>
    <x v="101"/>
    <x v="158"/>
    <x v="836"/>
    <x v="830"/>
    <x v="838"/>
    <x v="0"/>
    <x v="753"/>
  </r>
  <r>
    <x v="839"/>
    <x v="89"/>
    <s v="JAI"/>
    <x v="3"/>
    <x v="16"/>
    <n v="47"/>
    <x v="3"/>
    <x v="121"/>
    <x v="48"/>
    <x v="837"/>
    <x v="831"/>
    <x v="839"/>
    <x v="11"/>
    <x v="754"/>
  </r>
  <r>
    <x v="840"/>
    <x v="46"/>
    <s v="HYD"/>
    <x v="3"/>
    <x v="248"/>
    <n v="110"/>
    <x v="4"/>
    <x v="93"/>
    <x v="55"/>
    <x v="838"/>
    <x v="832"/>
    <x v="840"/>
    <x v="7"/>
    <x v="755"/>
  </r>
  <r>
    <x v="841"/>
    <x v="74"/>
    <s v="BLR"/>
    <x v="8"/>
    <x v="39"/>
    <n v="200"/>
    <x v="1"/>
    <x v="4"/>
    <x v="1"/>
    <x v="839"/>
    <x v="833"/>
    <x v="841"/>
    <x v="6"/>
    <x v="756"/>
  </r>
  <r>
    <x v="842"/>
    <x v="30"/>
    <s v="HYD"/>
    <x v="2"/>
    <x v="194"/>
    <n v="216"/>
    <x v="2"/>
    <x v="33"/>
    <x v="2"/>
    <x v="840"/>
    <x v="834"/>
    <x v="842"/>
    <x v="3"/>
    <x v="757"/>
  </r>
  <r>
    <x v="843"/>
    <x v="53"/>
    <s v="GOI"/>
    <x v="3"/>
    <x v="167"/>
    <n v="164"/>
    <x v="0"/>
    <x v="135"/>
    <x v="34"/>
    <x v="841"/>
    <x v="835"/>
    <x v="843"/>
    <x v="6"/>
    <x v="758"/>
  </r>
  <r>
    <x v="844"/>
    <x v="83"/>
    <s v="MAA"/>
    <x v="7"/>
    <x v="491"/>
    <n v="56"/>
    <x v="0"/>
    <x v="72"/>
    <x v="97"/>
    <x v="842"/>
    <x v="836"/>
    <x v="844"/>
    <x v="8"/>
    <x v="759"/>
  </r>
  <r>
    <x v="845"/>
    <x v="70"/>
    <s v="MAA"/>
    <x v="9"/>
    <x v="368"/>
    <n v="125"/>
    <x v="3"/>
    <x v="24"/>
    <x v="60"/>
    <x v="843"/>
    <x v="837"/>
    <x v="845"/>
    <x v="2"/>
    <x v="419"/>
  </r>
  <r>
    <x v="846"/>
    <x v="47"/>
    <s v="PNQ"/>
    <x v="0"/>
    <x v="492"/>
    <n v="83"/>
    <x v="4"/>
    <x v="6"/>
    <x v="61"/>
    <x v="844"/>
    <x v="838"/>
    <x v="846"/>
    <x v="5"/>
    <x v="760"/>
  </r>
  <r>
    <x v="847"/>
    <x v="49"/>
    <s v="AMD"/>
    <x v="8"/>
    <x v="493"/>
    <n v="74"/>
    <x v="3"/>
    <x v="27"/>
    <x v="118"/>
    <x v="845"/>
    <x v="839"/>
    <x v="847"/>
    <x v="11"/>
    <x v="303"/>
  </r>
  <r>
    <x v="848"/>
    <x v="21"/>
    <s v="PNQ"/>
    <x v="8"/>
    <x v="198"/>
    <n v="229"/>
    <x v="0"/>
    <x v="73"/>
    <x v="136"/>
    <x v="846"/>
    <x v="840"/>
    <x v="848"/>
    <x v="9"/>
    <x v="503"/>
  </r>
  <r>
    <x v="849"/>
    <x v="10"/>
    <s v="AMD"/>
    <x v="4"/>
    <x v="29"/>
    <n v="114"/>
    <x v="1"/>
    <x v="90"/>
    <x v="17"/>
    <x v="847"/>
    <x v="841"/>
    <x v="849"/>
    <x v="2"/>
    <x v="761"/>
  </r>
  <r>
    <x v="850"/>
    <x v="32"/>
    <s v="AMD"/>
    <x v="3"/>
    <x v="226"/>
    <n v="108"/>
    <x v="3"/>
    <x v="93"/>
    <x v="50"/>
    <x v="848"/>
    <x v="842"/>
    <x v="850"/>
    <x v="11"/>
    <x v="762"/>
  </r>
  <r>
    <x v="851"/>
    <x v="37"/>
    <s v="HYD"/>
    <x v="9"/>
    <x v="463"/>
    <n v="72"/>
    <x v="2"/>
    <x v="36"/>
    <x v="26"/>
    <x v="849"/>
    <x v="843"/>
    <x v="851"/>
    <x v="1"/>
    <x v="763"/>
  </r>
  <r>
    <x v="852"/>
    <x v="21"/>
    <s v="PNQ"/>
    <x v="8"/>
    <x v="494"/>
    <n v="113"/>
    <x v="1"/>
    <x v="98"/>
    <x v="50"/>
    <x v="850"/>
    <x v="844"/>
    <x v="852"/>
    <x v="4"/>
    <x v="764"/>
  </r>
  <r>
    <x v="853"/>
    <x v="61"/>
    <s v="PNQ"/>
    <x v="9"/>
    <x v="264"/>
    <n v="78"/>
    <x v="0"/>
    <x v="86"/>
    <x v="48"/>
    <x v="851"/>
    <x v="845"/>
    <x v="853"/>
    <x v="1"/>
    <x v="765"/>
  </r>
  <r>
    <x v="854"/>
    <x v="59"/>
    <s v="DEL"/>
    <x v="6"/>
    <x v="469"/>
    <n v="142"/>
    <x v="4"/>
    <x v="46"/>
    <x v="40"/>
    <x v="852"/>
    <x v="846"/>
    <x v="854"/>
    <x v="7"/>
    <x v="766"/>
  </r>
  <r>
    <x v="855"/>
    <x v="20"/>
    <s v="DEL"/>
    <x v="0"/>
    <x v="495"/>
    <n v="86"/>
    <x v="3"/>
    <x v="114"/>
    <x v="64"/>
    <x v="853"/>
    <x v="847"/>
    <x v="855"/>
    <x v="1"/>
    <x v="767"/>
  </r>
  <r>
    <x v="856"/>
    <x v="78"/>
    <s v="PNQ"/>
    <x v="1"/>
    <x v="165"/>
    <n v="220"/>
    <x v="1"/>
    <x v="33"/>
    <x v="13"/>
    <x v="854"/>
    <x v="848"/>
    <x v="856"/>
    <x v="8"/>
    <x v="768"/>
  </r>
  <r>
    <x v="857"/>
    <x v="74"/>
    <s v="BLR"/>
    <x v="8"/>
    <x v="350"/>
    <n v="144"/>
    <x v="3"/>
    <x v="37"/>
    <x v="64"/>
    <x v="855"/>
    <x v="849"/>
    <x v="857"/>
    <x v="9"/>
    <x v="769"/>
  </r>
  <r>
    <x v="858"/>
    <x v="68"/>
    <s v="CCU"/>
    <x v="5"/>
    <x v="322"/>
    <n v="206"/>
    <x v="3"/>
    <x v="23"/>
    <x v="30"/>
    <x v="856"/>
    <x v="850"/>
    <x v="858"/>
    <x v="11"/>
    <x v="339"/>
  </r>
  <r>
    <x v="859"/>
    <x v="65"/>
    <s v="BLR"/>
    <x v="5"/>
    <x v="94"/>
    <n v="179"/>
    <x v="1"/>
    <x v="52"/>
    <x v="95"/>
    <x v="857"/>
    <x v="851"/>
    <x v="859"/>
    <x v="10"/>
    <x v="770"/>
  </r>
  <r>
    <x v="860"/>
    <x v="22"/>
    <s v="PNQ"/>
    <x v="2"/>
    <x v="489"/>
    <n v="77"/>
    <x v="2"/>
    <x v="119"/>
    <x v="109"/>
    <x v="858"/>
    <x v="90"/>
    <x v="860"/>
    <x v="2"/>
    <x v="771"/>
  </r>
  <r>
    <x v="861"/>
    <x v="23"/>
    <s v="BOM"/>
    <x v="6"/>
    <x v="226"/>
    <n v="56"/>
    <x v="1"/>
    <x v="21"/>
    <x v="20"/>
    <x v="859"/>
    <x v="852"/>
    <x v="861"/>
    <x v="11"/>
    <x v="772"/>
  </r>
  <r>
    <x v="862"/>
    <x v="22"/>
    <s v="PNQ"/>
    <x v="2"/>
    <x v="289"/>
    <n v="110"/>
    <x v="1"/>
    <x v="134"/>
    <x v="125"/>
    <x v="860"/>
    <x v="853"/>
    <x v="862"/>
    <x v="6"/>
    <x v="773"/>
  </r>
  <r>
    <x v="863"/>
    <x v="8"/>
    <s v="PNQ"/>
    <x v="5"/>
    <x v="394"/>
    <n v="145"/>
    <x v="4"/>
    <x v="52"/>
    <x v="99"/>
    <x v="861"/>
    <x v="854"/>
    <x v="863"/>
    <x v="5"/>
    <x v="774"/>
  </r>
  <r>
    <x v="864"/>
    <x v="21"/>
    <s v="PNQ"/>
    <x v="8"/>
    <x v="46"/>
    <n v="112"/>
    <x v="2"/>
    <x v="106"/>
    <x v="68"/>
    <x v="862"/>
    <x v="855"/>
    <x v="864"/>
    <x v="4"/>
    <x v="775"/>
  </r>
  <r>
    <x v="865"/>
    <x v="83"/>
    <s v="MAA"/>
    <x v="7"/>
    <x v="322"/>
    <n v="181"/>
    <x v="4"/>
    <x v="98"/>
    <x v="86"/>
    <x v="863"/>
    <x v="856"/>
    <x v="865"/>
    <x v="11"/>
    <x v="776"/>
  </r>
  <r>
    <x v="866"/>
    <x v="21"/>
    <s v="PNQ"/>
    <x v="8"/>
    <x v="496"/>
    <n v="148"/>
    <x v="1"/>
    <x v="25"/>
    <x v="111"/>
    <x v="864"/>
    <x v="857"/>
    <x v="866"/>
    <x v="6"/>
    <x v="777"/>
  </r>
  <r>
    <x v="867"/>
    <x v="83"/>
    <s v="MAA"/>
    <x v="7"/>
    <x v="497"/>
    <n v="79"/>
    <x v="4"/>
    <x v="103"/>
    <x v="4"/>
    <x v="865"/>
    <x v="858"/>
    <x v="867"/>
    <x v="10"/>
    <x v="778"/>
  </r>
  <r>
    <x v="868"/>
    <x v="18"/>
    <s v="BOM"/>
    <x v="2"/>
    <x v="498"/>
    <n v="211"/>
    <x v="0"/>
    <x v="82"/>
    <x v="53"/>
    <x v="866"/>
    <x v="859"/>
    <x v="868"/>
    <x v="10"/>
    <x v="779"/>
  </r>
  <r>
    <x v="869"/>
    <x v="27"/>
    <s v="MAA"/>
    <x v="8"/>
    <x v="460"/>
    <n v="166"/>
    <x v="3"/>
    <x v="54"/>
    <x v="108"/>
    <x v="867"/>
    <x v="860"/>
    <x v="869"/>
    <x v="2"/>
    <x v="780"/>
  </r>
  <r>
    <x v="870"/>
    <x v="21"/>
    <s v="PNQ"/>
    <x v="8"/>
    <x v="499"/>
    <n v="160"/>
    <x v="1"/>
    <x v="45"/>
    <x v="86"/>
    <x v="868"/>
    <x v="861"/>
    <x v="870"/>
    <x v="0"/>
    <x v="781"/>
  </r>
  <r>
    <x v="871"/>
    <x v="14"/>
    <s v="BOM"/>
    <x v="1"/>
    <x v="393"/>
    <n v="71"/>
    <x v="3"/>
    <x v="75"/>
    <x v="10"/>
    <x v="869"/>
    <x v="862"/>
    <x v="871"/>
    <x v="0"/>
    <x v="782"/>
  </r>
  <r>
    <x v="872"/>
    <x v="38"/>
    <s v="MAA"/>
    <x v="0"/>
    <x v="500"/>
    <n v="147"/>
    <x v="3"/>
    <x v="139"/>
    <x v="76"/>
    <x v="870"/>
    <x v="863"/>
    <x v="872"/>
    <x v="10"/>
    <x v="783"/>
  </r>
  <r>
    <x v="873"/>
    <x v="57"/>
    <s v="GOI"/>
    <x v="0"/>
    <x v="24"/>
    <n v="192"/>
    <x v="2"/>
    <x v="17"/>
    <x v="79"/>
    <x v="871"/>
    <x v="864"/>
    <x v="873"/>
    <x v="11"/>
    <x v="784"/>
  </r>
  <r>
    <x v="874"/>
    <x v="62"/>
    <s v="PNQ"/>
    <x v="7"/>
    <x v="501"/>
    <n v="204"/>
    <x v="2"/>
    <x v="150"/>
    <x v="154"/>
    <x v="872"/>
    <x v="865"/>
    <x v="874"/>
    <x v="10"/>
    <x v="785"/>
  </r>
  <r>
    <x v="875"/>
    <x v="74"/>
    <s v="BLR"/>
    <x v="8"/>
    <x v="388"/>
    <n v="157"/>
    <x v="0"/>
    <x v="32"/>
    <x v="45"/>
    <x v="873"/>
    <x v="866"/>
    <x v="875"/>
    <x v="6"/>
    <x v="786"/>
  </r>
  <r>
    <x v="876"/>
    <x v="8"/>
    <s v="PNQ"/>
    <x v="5"/>
    <x v="502"/>
    <n v="230"/>
    <x v="3"/>
    <x v="75"/>
    <x v="59"/>
    <x v="874"/>
    <x v="867"/>
    <x v="876"/>
    <x v="4"/>
    <x v="142"/>
  </r>
  <r>
    <x v="877"/>
    <x v="76"/>
    <s v="BLR"/>
    <x v="9"/>
    <x v="343"/>
    <n v="236"/>
    <x v="4"/>
    <x v="123"/>
    <x v="32"/>
    <x v="875"/>
    <x v="868"/>
    <x v="877"/>
    <x v="6"/>
    <x v="787"/>
  </r>
  <r>
    <x v="878"/>
    <x v="89"/>
    <s v="JAI"/>
    <x v="3"/>
    <x v="503"/>
    <n v="151"/>
    <x v="3"/>
    <x v="43"/>
    <x v="28"/>
    <x v="876"/>
    <x v="869"/>
    <x v="878"/>
    <x v="9"/>
    <x v="148"/>
  </r>
  <r>
    <x v="879"/>
    <x v="14"/>
    <s v="BOM"/>
    <x v="1"/>
    <x v="315"/>
    <n v="136"/>
    <x v="0"/>
    <x v="130"/>
    <x v="0"/>
    <x v="877"/>
    <x v="870"/>
    <x v="879"/>
    <x v="7"/>
    <x v="788"/>
  </r>
  <r>
    <x v="880"/>
    <x v="25"/>
    <s v="HYD"/>
    <x v="7"/>
    <x v="97"/>
    <n v="103"/>
    <x v="4"/>
    <x v="8"/>
    <x v="106"/>
    <x v="878"/>
    <x v="871"/>
    <x v="880"/>
    <x v="7"/>
    <x v="789"/>
  </r>
  <r>
    <x v="881"/>
    <x v="36"/>
    <s v="CCU"/>
    <x v="0"/>
    <x v="504"/>
    <n v="113"/>
    <x v="0"/>
    <x v="139"/>
    <x v="152"/>
    <x v="879"/>
    <x v="872"/>
    <x v="881"/>
    <x v="5"/>
    <x v="790"/>
  </r>
  <r>
    <x v="882"/>
    <x v="21"/>
    <s v="PNQ"/>
    <x v="8"/>
    <x v="505"/>
    <n v="72"/>
    <x v="1"/>
    <x v="2"/>
    <x v="128"/>
    <x v="880"/>
    <x v="873"/>
    <x v="882"/>
    <x v="9"/>
    <x v="32"/>
  </r>
  <r>
    <x v="883"/>
    <x v="5"/>
    <s v="DEL"/>
    <x v="4"/>
    <x v="506"/>
    <n v="75"/>
    <x v="0"/>
    <x v="13"/>
    <x v="34"/>
    <x v="881"/>
    <x v="874"/>
    <x v="883"/>
    <x v="4"/>
    <x v="641"/>
  </r>
  <r>
    <x v="884"/>
    <x v="62"/>
    <s v="PNQ"/>
    <x v="7"/>
    <x v="348"/>
    <n v="210"/>
    <x v="2"/>
    <x v="44"/>
    <x v="127"/>
    <x v="882"/>
    <x v="875"/>
    <x v="884"/>
    <x v="2"/>
    <x v="791"/>
  </r>
  <r>
    <x v="885"/>
    <x v="78"/>
    <s v="PNQ"/>
    <x v="1"/>
    <x v="274"/>
    <n v="107"/>
    <x v="3"/>
    <x v="59"/>
    <x v="39"/>
    <x v="883"/>
    <x v="876"/>
    <x v="885"/>
    <x v="0"/>
    <x v="792"/>
  </r>
  <r>
    <x v="886"/>
    <x v="3"/>
    <s v="MAA"/>
    <x v="1"/>
    <x v="57"/>
    <n v="137"/>
    <x v="0"/>
    <x v="34"/>
    <x v="37"/>
    <x v="884"/>
    <x v="877"/>
    <x v="886"/>
    <x v="11"/>
    <x v="174"/>
  </r>
  <r>
    <x v="887"/>
    <x v="46"/>
    <s v="HYD"/>
    <x v="3"/>
    <x v="507"/>
    <n v="162"/>
    <x v="1"/>
    <x v="13"/>
    <x v="144"/>
    <x v="885"/>
    <x v="878"/>
    <x v="887"/>
    <x v="3"/>
    <x v="423"/>
  </r>
  <r>
    <x v="888"/>
    <x v="23"/>
    <s v="BOM"/>
    <x v="6"/>
    <x v="445"/>
    <n v="66"/>
    <x v="2"/>
    <x v="28"/>
    <x v="57"/>
    <x v="886"/>
    <x v="879"/>
    <x v="888"/>
    <x v="11"/>
    <x v="793"/>
  </r>
  <r>
    <x v="889"/>
    <x v="0"/>
    <s v="HYD"/>
    <x v="0"/>
    <x v="316"/>
    <n v="209"/>
    <x v="0"/>
    <x v="19"/>
    <x v="4"/>
    <x v="887"/>
    <x v="880"/>
    <x v="889"/>
    <x v="8"/>
    <x v="794"/>
  </r>
  <r>
    <x v="890"/>
    <x v="31"/>
    <s v="HYD"/>
    <x v="6"/>
    <x v="508"/>
    <n v="229"/>
    <x v="2"/>
    <x v="61"/>
    <x v="71"/>
    <x v="888"/>
    <x v="881"/>
    <x v="890"/>
    <x v="8"/>
    <x v="795"/>
  </r>
  <r>
    <x v="891"/>
    <x v="32"/>
    <s v="AMD"/>
    <x v="3"/>
    <x v="350"/>
    <n v="209"/>
    <x v="0"/>
    <x v="76"/>
    <x v="159"/>
    <x v="889"/>
    <x v="882"/>
    <x v="891"/>
    <x v="9"/>
    <x v="796"/>
  </r>
  <r>
    <x v="892"/>
    <x v="88"/>
    <s v="HYD"/>
    <x v="4"/>
    <x v="509"/>
    <n v="66"/>
    <x v="4"/>
    <x v="3"/>
    <x v="69"/>
    <x v="890"/>
    <x v="883"/>
    <x v="892"/>
    <x v="8"/>
    <x v="797"/>
  </r>
  <r>
    <x v="893"/>
    <x v="11"/>
    <s v="GOI"/>
    <x v="2"/>
    <x v="26"/>
    <n v="68"/>
    <x v="1"/>
    <x v="17"/>
    <x v="158"/>
    <x v="891"/>
    <x v="884"/>
    <x v="893"/>
    <x v="1"/>
    <x v="798"/>
  </r>
  <r>
    <x v="894"/>
    <x v="24"/>
    <s v="AMD"/>
    <x v="0"/>
    <x v="510"/>
    <n v="183"/>
    <x v="1"/>
    <x v="132"/>
    <x v="28"/>
    <x v="892"/>
    <x v="885"/>
    <x v="894"/>
    <x v="0"/>
    <x v="799"/>
  </r>
  <r>
    <x v="895"/>
    <x v="20"/>
    <s v="DEL"/>
    <x v="0"/>
    <x v="511"/>
    <n v="111"/>
    <x v="1"/>
    <x v="20"/>
    <x v="22"/>
    <x v="893"/>
    <x v="886"/>
    <x v="895"/>
    <x v="0"/>
    <x v="7"/>
  </r>
  <r>
    <x v="896"/>
    <x v="22"/>
    <s v="PNQ"/>
    <x v="2"/>
    <x v="204"/>
    <n v="233"/>
    <x v="4"/>
    <x v="138"/>
    <x v="54"/>
    <x v="894"/>
    <x v="887"/>
    <x v="896"/>
    <x v="1"/>
    <x v="800"/>
  </r>
  <r>
    <x v="897"/>
    <x v="6"/>
    <s v="GOI"/>
    <x v="4"/>
    <x v="126"/>
    <n v="121"/>
    <x v="2"/>
    <x v="120"/>
    <x v="157"/>
    <x v="895"/>
    <x v="888"/>
    <x v="897"/>
    <x v="6"/>
    <x v="801"/>
  </r>
  <r>
    <x v="898"/>
    <x v="15"/>
    <s v="BLR"/>
    <x v="7"/>
    <x v="109"/>
    <n v="177"/>
    <x v="1"/>
    <x v="143"/>
    <x v="58"/>
    <x v="896"/>
    <x v="889"/>
    <x v="898"/>
    <x v="6"/>
    <x v="802"/>
  </r>
  <r>
    <x v="899"/>
    <x v="46"/>
    <s v="HYD"/>
    <x v="3"/>
    <x v="512"/>
    <n v="68"/>
    <x v="4"/>
    <x v="15"/>
    <x v="32"/>
    <x v="897"/>
    <x v="890"/>
    <x v="899"/>
    <x v="11"/>
    <x v="803"/>
  </r>
  <r>
    <x v="900"/>
    <x v="39"/>
    <s v="DEL"/>
    <x v="1"/>
    <x v="283"/>
    <n v="179"/>
    <x v="3"/>
    <x v="68"/>
    <x v="150"/>
    <x v="898"/>
    <x v="891"/>
    <x v="900"/>
    <x v="8"/>
    <x v="804"/>
  </r>
  <r>
    <x v="901"/>
    <x v="89"/>
    <s v="JAI"/>
    <x v="3"/>
    <x v="513"/>
    <n v="153"/>
    <x v="3"/>
    <x v="60"/>
    <x v="63"/>
    <x v="899"/>
    <x v="892"/>
    <x v="901"/>
    <x v="4"/>
    <x v="805"/>
  </r>
  <r>
    <x v="902"/>
    <x v="49"/>
    <s v="AMD"/>
    <x v="8"/>
    <x v="514"/>
    <n v="162"/>
    <x v="0"/>
    <x v="139"/>
    <x v="160"/>
    <x v="900"/>
    <x v="893"/>
    <x v="902"/>
    <x v="6"/>
    <x v="806"/>
  </r>
  <r>
    <x v="903"/>
    <x v="21"/>
    <s v="PNQ"/>
    <x v="8"/>
    <x v="476"/>
    <n v="236"/>
    <x v="0"/>
    <x v="8"/>
    <x v="103"/>
    <x v="901"/>
    <x v="894"/>
    <x v="903"/>
    <x v="3"/>
    <x v="807"/>
  </r>
  <r>
    <x v="904"/>
    <x v="52"/>
    <s v="DEL"/>
    <x v="5"/>
    <x v="302"/>
    <n v="191"/>
    <x v="2"/>
    <x v="27"/>
    <x v="32"/>
    <x v="902"/>
    <x v="895"/>
    <x v="904"/>
    <x v="0"/>
    <x v="808"/>
  </r>
  <r>
    <x v="905"/>
    <x v="3"/>
    <s v="MAA"/>
    <x v="1"/>
    <x v="515"/>
    <n v="120"/>
    <x v="3"/>
    <x v="81"/>
    <x v="49"/>
    <x v="903"/>
    <x v="896"/>
    <x v="905"/>
    <x v="8"/>
    <x v="86"/>
  </r>
  <r>
    <x v="906"/>
    <x v="63"/>
    <s v="BOM"/>
    <x v="9"/>
    <x v="516"/>
    <n v="100"/>
    <x v="0"/>
    <x v="60"/>
    <x v="1"/>
    <x v="904"/>
    <x v="897"/>
    <x v="906"/>
    <x v="4"/>
    <x v="809"/>
  </r>
  <r>
    <x v="907"/>
    <x v="20"/>
    <s v="DEL"/>
    <x v="0"/>
    <x v="416"/>
    <n v="168"/>
    <x v="1"/>
    <x v="104"/>
    <x v="64"/>
    <x v="905"/>
    <x v="898"/>
    <x v="907"/>
    <x v="11"/>
    <x v="810"/>
  </r>
  <r>
    <x v="908"/>
    <x v="8"/>
    <s v="PNQ"/>
    <x v="5"/>
    <x v="339"/>
    <n v="174"/>
    <x v="3"/>
    <x v="129"/>
    <x v="123"/>
    <x v="906"/>
    <x v="899"/>
    <x v="908"/>
    <x v="10"/>
    <x v="811"/>
  </r>
  <r>
    <x v="909"/>
    <x v="9"/>
    <s v="JAI"/>
    <x v="1"/>
    <x v="345"/>
    <n v="104"/>
    <x v="3"/>
    <x v="110"/>
    <x v="116"/>
    <x v="907"/>
    <x v="900"/>
    <x v="909"/>
    <x v="3"/>
    <x v="812"/>
  </r>
  <r>
    <x v="910"/>
    <x v="83"/>
    <s v="MAA"/>
    <x v="7"/>
    <x v="17"/>
    <n v="226"/>
    <x v="4"/>
    <x v="120"/>
    <x v="62"/>
    <x v="908"/>
    <x v="901"/>
    <x v="910"/>
    <x v="2"/>
    <x v="282"/>
  </r>
  <r>
    <x v="911"/>
    <x v="59"/>
    <s v="DEL"/>
    <x v="6"/>
    <x v="16"/>
    <n v="94"/>
    <x v="1"/>
    <x v="50"/>
    <x v="161"/>
    <x v="909"/>
    <x v="902"/>
    <x v="911"/>
    <x v="11"/>
    <x v="813"/>
  </r>
  <r>
    <x v="912"/>
    <x v="74"/>
    <s v="BLR"/>
    <x v="8"/>
    <x v="517"/>
    <n v="49"/>
    <x v="4"/>
    <x v="79"/>
    <x v="58"/>
    <x v="910"/>
    <x v="903"/>
    <x v="912"/>
    <x v="10"/>
    <x v="603"/>
  </r>
  <r>
    <x v="913"/>
    <x v="74"/>
    <s v="BLR"/>
    <x v="8"/>
    <x v="277"/>
    <n v="181"/>
    <x v="1"/>
    <x v="69"/>
    <x v="57"/>
    <x v="911"/>
    <x v="904"/>
    <x v="913"/>
    <x v="11"/>
    <x v="814"/>
  </r>
  <r>
    <x v="914"/>
    <x v="40"/>
    <s v="CCU"/>
    <x v="3"/>
    <x v="518"/>
    <n v="151"/>
    <x v="4"/>
    <x v="31"/>
    <x v="120"/>
    <x v="912"/>
    <x v="905"/>
    <x v="914"/>
    <x v="5"/>
    <x v="815"/>
  </r>
  <r>
    <x v="915"/>
    <x v="52"/>
    <s v="DEL"/>
    <x v="5"/>
    <x v="519"/>
    <n v="88"/>
    <x v="2"/>
    <x v="67"/>
    <x v="61"/>
    <x v="913"/>
    <x v="906"/>
    <x v="915"/>
    <x v="5"/>
    <x v="816"/>
  </r>
  <r>
    <x v="916"/>
    <x v="17"/>
    <s v="MAA"/>
    <x v="3"/>
    <x v="153"/>
    <n v="88"/>
    <x v="4"/>
    <x v="99"/>
    <x v="61"/>
    <x v="914"/>
    <x v="907"/>
    <x v="916"/>
    <x v="8"/>
    <x v="817"/>
  </r>
  <r>
    <x v="917"/>
    <x v="25"/>
    <s v="HYD"/>
    <x v="7"/>
    <x v="56"/>
    <n v="81"/>
    <x v="3"/>
    <x v="69"/>
    <x v="32"/>
    <x v="915"/>
    <x v="908"/>
    <x v="917"/>
    <x v="8"/>
    <x v="818"/>
  </r>
  <r>
    <x v="918"/>
    <x v="44"/>
    <s v="BLR"/>
    <x v="2"/>
    <x v="248"/>
    <n v="195"/>
    <x v="0"/>
    <x v="102"/>
    <x v="162"/>
    <x v="916"/>
    <x v="909"/>
    <x v="918"/>
    <x v="7"/>
    <x v="819"/>
  </r>
  <r>
    <x v="919"/>
    <x v="38"/>
    <s v="MAA"/>
    <x v="0"/>
    <x v="418"/>
    <n v="163"/>
    <x v="1"/>
    <x v="78"/>
    <x v="79"/>
    <x v="917"/>
    <x v="910"/>
    <x v="919"/>
    <x v="8"/>
    <x v="820"/>
  </r>
  <r>
    <x v="920"/>
    <x v="82"/>
    <s v="BLR"/>
    <x v="0"/>
    <x v="231"/>
    <n v="186"/>
    <x v="1"/>
    <x v="142"/>
    <x v="22"/>
    <x v="918"/>
    <x v="911"/>
    <x v="920"/>
    <x v="4"/>
    <x v="821"/>
  </r>
  <r>
    <x v="921"/>
    <x v="17"/>
    <s v="MAA"/>
    <x v="3"/>
    <x v="350"/>
    <n v="66"/>
    <x v="1"/>
    <x v="127"/>
    <x v="95"/>
    <x v="919"/>
    <x v="912"/>
    <x v="921"/>
    <x v="9"/>
    <x v="822"/>
  </r>
  <r>
    <x v="922"/>
    <x v="19"/>
    <s v="BLR"/>
    <x v="6"/>
    <x v="27"/>
    <n v="187"/>
    <x v="3"/>
    <x v="27"/>
    <x v="1"/>
    <x v="920"/>
    <x v="913"/>
    <x v="922"/>
    <x v="11"/>
    <x v="129"/>
  </r>
  <r>
    <x v="923"/>
    <x v="24"/>
    <s v="AMD"/>
    <x v="0"/>
    <x v="520"/>
    <n v="168"/>
    <x v="2"/>
    <x v="84"/>
    <x v="52"/>
    <x v="921"/>
    <x v="914"/>
    <x v="923"/>
    <x v="11"/>
    <x v="823"/>
  </r>
  <r>
    <x v="924"/>
    <x v="19"/>
    <s v="BLR"/>
    <x v="6"/>
    <x v="185"/>
    <n v="56"/>
    <x v="0"/>
    <x v="79"/>
    <x v="133"/>
    <x v="922"/>
    <x v="915"/>
    <x v="924"/>
    <x v="4"/>
    <x v="824"/>
  </r>
  <r>
    <x v="925"/>
    <x v="25"/>
    <s v="HYD"/>
    <x v="7"/>
    <x v="110"/>
    <n v="230"/>
    <x v="1"/>
    <x v="1"/>
    <x v="53"/>
    <x v="923"/>
    <x v="916"/>
    <x v="925"/>
    <x v="10"/>
    <x v="825"/>
  </r>
  <r>
    <x v="926"/>
    <x v="60"/>
    <s v="CCU"/>
    <x v="1"/>
    <x v="480"/>
    <n v="111"/>
    <x v="3"/>
    <x v="107"/>
    <x v="3"/>
    <x v="924"/>
    <x v="713"/>
    <x v="926"/>
    <x v="4"/>
    <x v="826"/>
  </r>
  <r>
    <x v="927"/>
    <x v="61"/>
    <s v="PNQ"/>
    <x v="9"/>
    <x v="159"/>
    <n v="222"/>
    <x v="0"/>
    <x v="71"/>
    <x v="46"/>
    <x v="925"/>
    <x v="917"/>
    <x v="927"/>
    <x v="0"/>
    <x v="827"/>
  </r>
  <r>
    <x v="928"/>
    <x v="32"/>
    <s v="AMD"/>
    <x v="3"/>
    <x v="347"/>
    <n v="223"/>
    <x v="3"/>
    <x v="128"/>
    <x v="34"/>
    <x v="926"/>
    <x v="918"/>
    <x v="928"/>
    <x v="5"/>
    <x v="828"/>
  </r>
  <r>
    <x v="929"/>
    <x v="62"/>
    <s v="PNQ"/>
    <x v="7"/>
    <x v="521"/>
    <n v="141"/>
    <x v="1"/>
    <x v="85"/>
    <x v="125"/>
    <x v="927"/>
    <x v="919"/>
    <x v="929"/>
    <x v="6"/>
    <x v="829"/>
  </r>
  <r>
    <x v="930"/>
    <x v="55"/>
    <s v="DEL"/>
    <x v="8"/>
    <x v="213"/>
    <n v="94"/>
    <x v="3"/>
    <x v="29"/>
    <x v="4"/>
    <x v="928"/>
    <x v="920"/>
    <x v="930"/>
    <x v="0"/>
    <x v="142"/>
  </r>
  <r>
    <x v="931"/>
    <x v="15"/>
    <s v="BLR"/>
    <x v="7"/>
    <x v="363"/>
    <n v="205"/>
    <x v="2"/>
    <x v="51"/>
    <x v="29"/>
    <x v="929"/>
    <x v="921"/>
    <x v="931"/>
    <x v="7"/>
    <x v="583"/>
  </r>
  <r>
    <x v="932"/>
    <x v="27"/>
    <s v="MAA"/>
    <x v="8"/>
    <x v="133"/>
    <n v="225"/>
    <x v="1"/>
    <x v="111"/>
    <x v="1"/>
    <x v="930"/>
    <x v="922"/>
    <x v="932"/>
    <x v="6"/>
    <x v="830"/>
  </r>
  <r>
    <x v="933"/>
    <x v="43"/>
    <s v="DEL"/>
    <x v="9"/>
    <x v="264"/>
    <n v="173"/>
    <x v="3"/>
    <x v="124"/>
    <x v="115"/>
    <x v="931"/>
    <x v="923"/>
    <x v="933"/>
    <x v="1"/>
    <x v="831"/>
  </r>
  <r>
    <x v="934"/>
    <x v="80"/>
    <s v="JAI"/>
    <x v="5"/>
    <x v="522"/>
    <n v="195"/>
    <x v="0"/>
    <x v="10"/>
    <x v="105"/>
    <x v="932"/>
    <x v="924"/>
    <x v="934"/>
    <x v="11"/>
    <x v="832"/>
  </r>
  <r>
    <x v="935"/>
    <x v="11"/>
    <s v="GOI"/>
    <x v="2"/>
    <x v="72"/>
    <n v="218"/>
    <x v="4"/>
    <x v="79"/>
    <x v="163"/>
    <x v="933"/>
    <x v="925"/>
    <x v="935"/>
    <x v="5"/>
    <x v="833"/>
  </r>
  <r>
    <x v="936"/>
    <x v="47"/>
    <s v="PNQ"/>
    <x v="0"/>
    <x v="123"/>
    <n v="209"/>
    <x v="4"/>
    <x v="69"/>
    <x v="53"/>
    <x v="934"/>
    <x v="926"/>
    <x v="936"/>
    <x v="11"/>
    <x v="834"/>
  </r>
  <r>
    <x v="937"/>
    <x v="53"/>
    <s v="GOI"/>
    <x v="3"/>
    <x v="94"/>
    <n v="137"/>
    <x v="1"/>
    <x v="4"/>
    <x v="4"/>
    <x v="935"/>
    <x v="927"/>
    <x v="937"/>
    <x v="10"/>
    <x v="4"/>
  </r>
  <r>
    <x v="938"/>
    <x v="53"/>
    <s v="GOI"/>
    <x v="3"/>
    <x v="31"/>
    <n v="46"/>
    <x v="3"/>
    <x v="143"/>
    <x v="104"/>
    <x v="936"/>
    <x v="928"/>
    <x v="938"/>
    <x v="8"/>
    <x v="835"/>
  </r>
  <r>
    <x v="939"/>
    <x v="35"/>
    <s v="BLR"/>
    <x v="3"/>
    <x v="299"/>
    <n v="108"/>
    <x v="0"/>
    <x v="24"/>
    <x v="104"/>
    <x v="937"/>
    <x v="929"/>
    <x v="939"/>
    <x v="11"/>
    <x v="836"/>
  </r>
  <r>
    <x v="940"/>
    <x v="20"/>
    <s v="DEL"/>
    <x v="0"/>
    <x v="455"/>
    <n v="155"/>
    <x v="4"/>
    <x v="44"/>
    <x v="81"/>
    <x v="938"/>
    <x v="930"/>
    <x v="940"/>
    <x v="10"/>
    <x v="837"/>
  </r>
  <r>
    <x v="941"/>
    <x v="34"/>
    <s v="PNQ"/>
    <x v="4"/>
    <x v="227"/>
    <n v="58"/>
    <x v="2"/>
    <x v="40"/>
    <x v="42"/>
    <x v="939"/>
    <x v="931"/>
    <x v="941"/>
    <x v="6"/>
    <x v="838"/>
  </r>
  <r>
    <x v="942"/>
    <x v="62"/>
    <s v="PNQ"/>
    <x v="7"/>
    <x v="437"/>
    <n v="159"/>
    <x v="1"/>
    <x v="73"/>
    <x v="2"/>
    <x v="940"/>
    <x v="932"/>
    <x v="942"/>
    <x v="4"/>
    <x v="573"/>
  </r>
  <r>
    <x v="943"/>
    <x v="86"/>
    <s v="CCU"/>
    <x v="7"/>
    <x v="38"/>
    <n v="60"/>
    <x v="3"/>
    <x v="26"/>
    <x v="46"/>
    <x v="941"/>
    <x v="933"/>
    <x v="943"/>
    <x v="10"/>
    <x v="839"/>
  </r>
  <r>
    <x v="944"/>
    <x v="23"/>
    <s v="BOM"/>
    <x v="6"/>
    <x v="195"/>
    <n v="120"/>
    <x v="3"/>
    <x v="46"/>
    <x v="11"/>
    <x v="942"/>
    <x v="934"/>
    <x v="944"/>
    <x v="3"/>
    <x v="840"/>
  </r>
  <r>
    <x v="945"/>
    <x v="84"/>
    <s v="JAI"/>
    <x v="0"/>
    <x v="13"/>
    <n v="143"/>
    <x v="3"/>
    <x v="108"/>
    <x v="86"/>
    <x v="943"/>
    <x v="935"/>
    <x v="945"/>
    <x v="9"/>
    <x v="841"/>
  </r>
  <r>
    <x v="946"/>
    <x v="16"/>
    <s v="PNQ"/>
    <x v="6"/>
    <x v="42"/>
    <n v="195"/>
    <x v="0"/>
    <x v="21"/>
    <x v="98"/>
    <x v="944"/>
    <x v="936"/>
    <x v="946"/>
    <x v="6"/>
    <x v="842"/>
  </r>
  <r>
    <x v="947"/>
    <x v="45"/>
    <s v="JAI"/>
    <x v="4"/>
    <x v="204"/>
    <n v="77"/>
    <x v="1"/>
    <x v="136"/>
    <x v="13"/>
    <x v="945"/>
    <x v="937"/>
    <x v="947"/>
    <x v="1"/>
    <x v="843"/>
  </r>
  <r>
    <x v="948"/>
    <x v="8"/>
    <s v="PNQ"/>
    <x v="5"/>
    <x v="400"/>
    <n v="80"/>
    <x v="4"/>
    <x v="122"/>
    <x v="105"/>
    <x v="946"/>
    <x v="938"/>
    <x v="948"/>
    <x v="7"/>
    <x v="844"/>
  </r>
  <r>
    <x v="949"/>
    <x v="85"/>
    <s v="GOI"/>
    <x v="9"/>
    <x v="272"/>
    <n v="194"/>
    <x v="1"/>
    <x v="149"/>
    <x v="95"/>
    <x v="947"/>
    <x v="939"/>
    <x v="949"/>
    <x v="8"/>
    <x v="845"/>
  </r>
  <r>
    <x v="950"/>
    <x v="2"/>
    <s v="CCU"/>
    <x v="2"/>
    <x v="141"/>
    <n v="47"/>
    <x v="1"/>
    <x v="68"/>
    <x v="164"/>
    <x v="948"/>
    <x v="106"/>
    <x v="950"/>
    <x v="0"/>
    <x v="846"/>
  </r>
  <r>
    <x v="951"/>
    <x v="77"/>
    <s v="GOI"/>
    <x v="6"/>
    <x v="74"/>
    <n v="153"/>
    <x v="2"/>
    <x v="115"/>
    <x v="86"/>
    <x v="949"/>
    <x v="940"/>
    <x v="951"/>
    <x v="3"/>
    <x v="847"/>
  </r>
  <r>
    <x v="952"/>
    <x v="74"/>
    <s v="BLR"/>
    <x v="8"/>
    <x v="523"/>
    <n v="222"/>
    <x v="3"/>
    <x v="117"/>
    <x v="139"/>
    <x v="950"/>
    <x v="941"/>
    <x v="952"/>
    <x v="6"/>
    <x v="848"/>
  </r>
  <r>
    <x v="953"/>
    <x v="51"/>
    <s v="JAI"/>
    <x v="2"/>
    <x v="524"/>
    <n v="129"/>
    <x v="0"/>
    <x v="2"/>
    <x v="29"/>
    <x v="951"/>
    <x v="942"/>
    <x v="953"/>
    <x v="11"/>
    <x v="849"/>
  </r>
  <r>
    <x v="954"/>
    <x v="18"/>
    <s v="BOM"/>
    <x v="2"/>
    <x v="525"/>
    <n v="103"/>
    <x v="3"/>
    <x v="7"/>
    <x v="28"/>
    <x v="952"/>
    <x v="943"/>
    <x v="954"/>
    <x v="6"/>
    <x v="850"/>
  </r>
  <r>
    <x v="955"/>
    <x v="35"/>
    <s v="BLR"/>
    <x v="3"/>
    <x v="526"/>
    <n v="46"/>
    <x v="2"/>
    <x v="29"/>
    <x v="7"/>
    <x v="953"/>
    <x v="944"/>
    <x v="955"/>
    <x v="5"/>
    <x v="301"/>
  </r>
  <r>
    <x v="956"/>
    <x v="5"/>
    <s v="DEL"/>
    <x v="4"/>
    <x v="527"/>
    <n v="157"/>
    <x v="0"/>
    <x v="90"/>
    <x v="59"/>
    <x v="954"/>
    <x v="945"/>
    <x v="956"/>
    <x v="4"/>
    <x v="484"/>
  </r>
  <r>
    <x v="957"/>
    <x v="76"/>
    <s v="BLR"/>
    <x v="9"/>
    <x v="245"/>
    <n v="101"/>
    <x v="2"/>
    <x v="130"/>
    <x v="80"/>
    <x v="955"/>
    <x v="946"/>
    <x v="957"/>
    <x v="2"/>
    <x v="851"/>
  </r>
  <r>
    <x v="958"/>
    <x v="82"/>
    <s v="BLR"/>
    <x v="0"/>
    <x v="451"/>
    <n v="112"/>
    <x v="4"/>
    <x v="54"/>
    <x v="105"/>
    <x v="956"/>
    <x v="947"/>
    <x v="958"/>
    <x v="2"/>
    <x v="852"/>
  </r>
  <r>
    <x v="959"/>
    <x v="75"/>
    <s v="CCU"/>
    <x v="4"/>
    <x v="413"/>
    <n v="161"/>
    <x v="0"/>
    <x v="55"/>
    <x v="137"/>
    <x v="957"/>
    <x v="948"/>
    <x v="959"/>
    <x v="8"/>
    <x v="853"/>
  </r>
  <r>
    <x v="960"/>
    <x v="1"/>
    <s v="GOI"/>
    <x v="1"/>
    <x v="514"/>
    <n v="61"/>
    <x v="4"/>
    <x v="67"/>
    <x v="79"/>
    <x v="66"/>
    <x v="949"/>
    <x v="960"/>
    <x v="6"/>
    <x v="854"/>
  </r>
  <r>
    <x v="961"/>
    <x v="37"/>
    <s v="HYD"/>
    <x v="9"/>
    <x v="418"/>
    <n v="198"/>
    <x v="3"/>
    <x v="45"/>
    <x v="2"/>
    <x v="958"/>
    <x v="950"/>
    <x v="961"/>
    <x v="8"/>
    <x v="249"/>
  </r>
  <r>
    <x v="962"/>
    <x v="79"/>
    <s v="AMD"/>
    <x v="1"/>
    <x v="528"/>
    <n v="58"/>
    <x v="2"/>
    <x v="42"/>
    <x v="17"/>
    <x v="959"/>
    <x v="951"/>
    <x v="962"/>
    <x v="7"/>
    <x v="614"/>
  </r>
  <r>
    <x v="963"/>
    <x v="15"/>
    <s v="BLR"/>
    <x v="7"/>
    <x v="529"/>
    <n v="214"/>
    <x v="1"/>
    <x v="10"/>
    <x v="96"/>
    <x v="960"/>
    <x v="952"/>
    <x v="963"/>
    <x v="9"/>
    <x v="855"/>
  </r>
  <r>
    <x v="964"/>
    <x v="85"/>
    <s v="GOI"/>
    <x v="9"/>
    <x v="530"/>
    <n v="177"/>
    <x v="3"/>
    <x v="62"/>
    <x v="48"/>
    <x v="961"/>
    <x v="953"/>
    <x v="964"/>
    <x v="10"/>
    <x v="856"/>
  </r>
  <r>
    <x v="965"/>
    <x v="21"/>
    <s v="PNQ"/>
    <x v="8"/>
    <x v="531"/>
    <n v="193"/>
    <x v="3"/>
    <x v="90"/>
    <x v="119"/>
    <x v="962"/>
    <x v="954"/>
    <x v="965"/>
    <x v="4"/>
    <x v="857"/>
  </r>
  <r>
    <x v="966"/>
    <x v="74"/>
    <s v="BLR"/>
    <x v="8"/>
    <x v="326"/>
    <n v="146"/>
    <x v="0"/>
    <x v="38"/>
    <x v="17"/>
    <x v="963"/>
    <x v="955"/>
    <x v="966"/>
    <x v="1"/>
    <x v="858"/>
  </r>
  <r>
    <x v="967"/>
    <x v="2"/>
    <s v="CCU"/>
    <x v="2"/>
    <x v="532"/>
    <n v="66"/>
    <x v="0"/>
    <x v="52"/>
    <x v="95"/>
    <x v="964"/>
    <x v="956"/>
    <x v="967"/>
    <x v="5"/>
    <x v="770"/>
  </r>
  <r>
    <x v="968"/>
    <x v="82"/>
    <s v="BLR"/>
    <x v="0"/>
    <x v="49"/>
    <n v="176"/>
    <x v="1"/>
    <x v="110"/>
    <x v="17"/>
    <x v="965"/>
    <x v="957"/>
    <x v="968"/>
    <x v="9"/>
    <x v="859"/>
  </r>
  <r>
    <x v="969"/>
    <x v="37"/>
    <s v="HYD"/>
    <x v="9"/>
    <x v="216"/>
    <n v="126"/>
    <x v="2"/>
    <x v="58"/>
    <x v="98"/>
    <x v="966"/>
    <x v="958"/>
    <x v="969"/>
    <x v="10"/>
    <x v="860"/>
  </r>
  <r>
    <x v="970"/>
    <x v="83"/>
    <s v="MAA"/>
    <x v="7"/>
    <x v="533"/>
    <n v="66"/>
    <x v="2"/>
    <x v="11"/>
    <x v="110"/>
    <x v="967"/>
    <x v="959"/>
    <x v="970"/>
    <x v="0"/>
    <x v="861"/>
  </r>
  <r>
    <x v="971"/>
    <x v="64"/>
    <s v="MAA"/>
    <x v="4"/>
    <x v="241"/>
    <n v="75"/>
    <x v="4"/>
    <x v="13"/>
    <x v="7"/>
    <x v="968"/>
    <x v="960"/>
    <x v="971"/>
    <x v="9"/>
    <x v="862"/>
  </r>
  <r>
    <x v="972"/>
    <x v="29"/>
    <s v="BLR"/>
    <x v="1"/>
    <x v="422"/>
    <n v="122"/>
    <x v="2"/>
    <x v="103"/>
    <x v="111"/>
    <x v="969"/>
    <x v="961"/>
    <x v="972"/>
    <x v="7"/>
    <x v="863"/>
  </r>
  <r>
    <x v="973"/>
    <x v="63"/>
    <s v="BOM"/>
    <x v="9"/>
    <x v="185"/>
    <n v="133"/>
    <x v="3"/>
    <x v="114"/>
    <x v="26"/>
    <x v="970"/>
    <x v="962"/>
    <x v="973"/>
    <x v="4"/>
    <x v="864"/>
  </r>
  <r>
    <x v="974"/>
    <x v="32"/>
    <s v="AMD"/>
    <x v="3"/>
    <x v="228"/>
    <n v="103"/>
    <x v="0"/>
    <x v="47"/>
    <x v="6"/>
    <x v="971"/>
    <x v="963"/>
    <x v="974"/>
    <x v="1"/>
    <x v="865"/>
  </r>
  <r>
    <x v="975"/>
    <x v="21"/>
    <s v="PNQ"/>
    <x v="8"/>
    <x v="227"/>
    <n v="66"/>
    <x v="2"/>
    <x v="103"/>
    <x v="17"/>
    <x v="972"/>
    <x v="964"/>
    <x v="975"/>
    <x v="6"/>
    <x v="866"/>
  </r>
  <r>
    <x v="976"/>
    <x v="16"/>
    <s v="PNQ"/>
    <x v="6"/>
    <x v="0"/>
    <n v="140"/>
    <x v="0"/>
    <x v="19"/>
    <x v="20"/>
    <x v="973"/>
    <x v="965"/>
    <x v="976"/>
    <x v="0"/>
    <x v="867"/>
  </r>
  <r>
    <x v="977"/>
    <x v="60"/>
    <s v="CCU"/>
    <x v="1"/>
    <x v="346"/>
    <n v="152"/>
    <x v="3"/>
    <x v="114"/>
    <x v="114"/>
    <x v="974"/>
    <x v="966"/>
    <x v="977"/>
    <x v="1"/>
    <x v="868"/>
  </r>
  <r>
    <x v="978"/>
    <x v="84"/>
    <s v="JAI"/>
    <x v="0"/>
    <x v="237"/>
    <n v="84"/>
    <x v="2"/>
    <x v="131"/>
    <x v="62"/>
    <x v="975"/>
    <x v="967"/>
    <x v="978"/>
    <x v="10"/>
    <x v="869"/>
  </r>
  <r>
    <x v="979"/>
    <x v="35"/>
    <s v="BLR"/>
    <x v="3"/>
    <x v="374"/>
    <n v="181"/>
    <x v="3"/>
    <x v="103"/>
    <x v="42"/>
    <x v="976"/>
    <x v="968"/>
    <x v="979"/>
    <x v="11"/>
    <x v="870"/>
  </r>
  <r>
    <x v="980"/>
    <x v="22"/>
    <s v="PNQ"/>
    <x v="2"/>
    <x v="148"/>
    <n v="88"/>
    <x v="4"/>
    <x v="17"/>
    <x v="13"/>
    <x v="977"/>
    <x v="969"/>
    <x v="980"/>
    <x v="9"/>
    <x v="871"/>
  </r>
  <r>
    <x v="981"/>
    <x v="47"/>
    <s v="PNQ"/>
    <x v="0"/>
    <x v="534"/>
    <n v="95"/>
    <x v="4"/>
    <x v="112"/>
    <x v="64"/>
    <x v="978"/>
    <x v="970"/>
    <x v="981"/>
    <x v="5"/>
    <x v="4"/>
  </r>
  <r>
    <x v="982"/>
    <x v="69"/>
    <s v="GOI"/>
    <x v="7"/>
    <x v="257"/>
    <n v="59"/>
    <x v="2"/>
    <x v="141"/>
    <x v="30"/>
    <x v="979"/>
    <x v="971"/>
    <x v="982"/>
    <x v="9"/>
    <x v="872"/>
  </r>
  <r>
    <x v="983"/>
    <x v="12"/>
    <s v="HYD"/>
    <x v="5"/>
    <x v="505"/>
    <n v="78"/>
    <x v="1"/>
    <x v="95"/>
    <x v="87"/>
    <x v="980"/>
    <x v="972"/>
    <x v="983"/>
    <x v="9"/>
    <x v="873"/>
  </r>
  <r>
    <x v="984"/>
    <x v="73"/>
    <s v="AMD"/>
    <x v="2"/>
    <x v="165"/>
    <n v="155"/>
    <x v="3"/>
    <x v="64"/>
    <x v="25"/>
    <x v="981"/>
    <x v="973"/>
    <x v="984"/>
    <x v="8"/>
    <x v="874"/>
  </r>
  <r>
    <x v="985"/>
    <x v="64"/>
    <s v="MAA"/>
    <x v="4"/>
    <x v="351"/>
    <n v="81"/>
    <x v="3"/>
    <x v="10"/>
    <x v="86"/>
    <x v="982"/>
    <x v="974"/>
    <x v="985"/>
    <x v="0"/>
    <x v="875"/>
  </r>
  <r>
    <x v="986"/>
    <x v="89"/>
    <s v="JAI"/>
    <x v="3"/>
    <x v="478"/>
    <n v="163"/>
    <x v="1"/>
    <x v="27"/>
    <x v="2"/>
    <x v="983"/>
    <x v="975"/>
    <x v="986"/>
    <x v="9"/>
    <x v="876"/>
  </r>
  <r>
    <x v="987"/>
    <x v="2"/>
    <s v="CCU"/>
    <x v="2"/>
    <x v="535"/>
    <n v="201"/>
    <x v="0"/>
    <x v="75"/>
    <x v="23"/>
    <x v="984"/>
    <x v="976"/>
    <x v="987"/>
    <x v="3"/>
    <x v="877"/>
  </r>
  <r>
    <x v="988"/>
    <x v="78"/>
    <s v="PNQ"/>
    <x v="1"/>
    <x v="536"/>
    <n v="91"/>
    <x v="1"/>
    <x v="93"/>
    <x v="86"/>
    <x v="985"/>
    <x v="977"/>
    <x v="988"/>
    <x v="8"/>
    <x v="878"/>
  </r>
  <r>
    <x v="989"/>
    <x v="13"/>
    <s v="MAA"/>
    <x v="6"/>
    <x v="89"/>
    <n v="215"/>
    <x v="4"/>
    <x v="148"/>
    <x v="23"/>
    <x v="986"/>
    <x v="978"/>
    <x v="989"/>
    <x v="4"/>
    <x v="879"/>
  </r>
  <r>
    <x v="990"/>
    <x v="86"/>
    <s v="CCU"/>
    <x v="7"/>
    <x v="243"/>
    <n v="174"/>
    <x v="2"/>
    <x v="78"/>
    <x v="33"/>
    <x v="987"/>
    <x v="979"/>
    <x v="990"/>
    <x v="9"/>
    <x v="880"/>
  </r>
  <r>
    <x v="991"/>
    <x v="57"/>
    <s v="GOI"/>
    <x v="0"/>
    <x v="454"/>
    <n v="51"/>
    <x v="4"/>
    <x v="22"/>
    <x v="14"/>
    <x v="988"/>
    <x v="980"/>
    <x v="991"/>
    <x v="9"/>
    <x v="881"/>
  </r>
  <r>
    <x v="992"/>
    <x v="0"/>
    <s v="HYD"/>
    <x v="0"/>
    <x v="537"/>
    <n v="109"/>
    <x v="4"/>
    <x v="121"/>
    <x v="48"/>
    <x v="989"/>
    <x v="981"/>
    <x v="992"/>
    <x v="0"/>
    <x v="754"/>
  </r>
  <r>
    <x v="993"/>
    <x v="52"/>
    <s v="DEL"/>
    <x v="5"/>
    <x v="54"/>
    <n v="213"/>
    <x v="0"/>
    <x v="16"/>
    <x v="55"/>
    <x v="990"/>
    <x v="982"/>
    <x v="993"/>
    <x v="5"/>
    <x v="882"/>
  </r>
  <r>
    <x v="994"/>
    <x v="24"/>
    <s v="AMD"/>
    <x v="0"/>
    <x v="182"/>
    <n v="70"/>
    <x v="0"/>
    <x v="146"/>
    <x v="22"/>
    <x v="991"/>
    <x v="983"/>
    <x v="994"/>
    <x v="7"/>
    <x v="883"/>
  </r>
  <r>
    <x v="995"/>
    <x v="20"/>
    <s v="DEL"/>
    <x v="0"/>
    <x v="283"/>
    <n v="114"/>
    <x v="0"/>
    <x v="16"/>
    <x v="117"/>
    <x v="992"/>
    <x v="984"/>
    <x v="995"/>
    <x v="8"/>
    <x v="884"/>
  </r>
  <r>
    <x v="996"/>
    <x v="6"/>
    <s v="GOI"/>
    <x v="4"/>
    <x v="538"/>
    <n v="223"/>
    <x v="4"/>
    <x v="40"/>
    <x v="99"/>
    <x v="993"/>
    <x v="985"/>
    <x v="996"/>
    <x v="11"/>
    <x v="885"/>
  </r>
  <r>
    <x v="997"/>
    <x v="47"/>
    <s v="PNQ"/>
    <x v="0"/>
    <x v="238"/>
    <n v="46"/>
    <x v="4"/>
    <x v="126"/>
    <x v="155"/>
    <x v="994"/>
    <x v="986"/>
    <x v="997"/>
    <x v="7"/>
    <x v="886"/>
  </r>
  <r>
    <x v="998"/>
    <x v="44"/>
    <s v="BLR"/>
    <x v="2"/>
    <x v="205"/>
    <n v="49"/>
    <x v="3"/>
    <x v="81"/>
    <x v="1"/>
    <x v="995"/>
    <x v="987"/>
    <x v="998"/>
    <x v="9"/>
    <x v="887"/>
  </r>
  <r>
    <x v="999"/>
    <x v="90"/>
    <m/>
    <x v="10"/>
    <x v="539"/>
    <m/>
    <x v="5"/>
    <x v="151"/>
    <x v="165"/>
    <x v="996"/>
    <x v="988"/>
    <x v="999"/>
    <x v="0"/>
    <x v="8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7926E1-76B3-471A-A14B-2CCA83849DC8}" name="PivotTable5" cacheId="6"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N1:O3" firstHeaderRow="1" firstDataRow="1" firstDataCol="1"/>
  <pivotFields count="14">
    <pivotField showAll="0"/>
    <pivotField showAll="0">
      <items count="92">
        <item x="10"/>
        <item x="24"/>
        <item x="41"/>
        <item x="81"/>
        <item x="49"/>
        <item x="79"/>
        <item x="72"/>
        <item x="73"/>
        <item x="32"/>
        <item x="65"/>
        <item x="82"/>
        <item x="76"/>
        <item x="15"/>
        <item x="74"/>
        <item x="29"/>
        <item x="19"/>
        <item x="44"/>
        <item x="35"/>
        <item x="54"/>
        <item x="33"/>
        <item x="63"/>
        <item x="67"/>
        <item x="71"/>
        <item x="14"/>
        <item x="23"/>
        <item x="18"/>
        <item x="48"/>
        <item x="68"/>
        <item x="75"/>
        <item x="36"/>
        <item x="86"/>
        <item x="87"/>
        <item x="60"/>
        <item x="58"/>
        <item x="2"/>
        <item x="40"/>
        <item x="52"/>
        <item x="5"/>
        <item x="20"/>
        <item x="43"/>
        <item x="55"/>
        <item x="39"/>
        <item x="59"/>
        <item x="7"/>
        <item x="4"/>
        <item x="50"/>
        <item x="6"/>
        <item x="57"/>
        <item x="85"/>
        <item x="69"/>
        <item x="1"/>
        <item x="77"/>
        <item x="11"/>
        <item x="53"/>
        <item x="12"/>
        <item x="88"/>
        <item x="0"/>
        <item x="37"/>
        <item x="25"/>
        <item x="56"/>
        <item x="31"/>
        <item x="30"/>
        <item x="46"/>
        <item x="80"/>
        <item x="45"/>
        <item x="84"/>
        <item x="42"/>
        <item x="66"/>
        <item x="26"/>
        <item x="9"/>
        <item x="51"/>
        <item x="89"/>
        <item x="28"/>
        <item x="64"/>
        <item x="38"/>
        <item x="70"/>
        <item x="83"/>
        <item x="27"/>
        <item x="3"/>
        <item x="13"/>
        <item x="17"/>
        <item x="8"/>
        <item x="34"/>
        <item x="47"/>
        <item x="61"/>
        <item x="62"/>
        <item x="21"/>
        <item x="78"/>
        <item x="16"/>
        <item x="22"/>
        <item x="90"/>
        <item t="default"/>
      </items>
    </pivotField>
    <pivotField showAll="0"/>
    <pivotField showAll="0"/>
    <pivotField showAll="0"/>
    <pivotField showAll="0"/>
    <pivotField showAll="0"/>
    <pivotField dataField="1" showAll="0"/>
    <pivotField dataField="1" showAll="0">
      <items count="167">
        <item x="1"/>
        <item x="71"/>
        <item x="30"/>
        <item x="26"/>
        <item x="7"/>
        <item x="2"/>
        <item x="98"/>
        <item x="108"/>
        <item x="105"/>
        <item x="49"/>
        <item x="96"/>
        <item x="41"/>
        <item x="38"/>
        <item x="93"/>
        <item x="4"/>
        <item x="22"/>
        <item x="79"/>
        <item x="89"/>
        <item x="95"/>
        <item x="46"/>
        <item x="34"/>
        <item x="50"/>
        <item x="136"/>
        <item x="61"/>
        <item x="11"/>
        <item x="86"/>
        <item x="99"/>
        <item x="68"/>
        <item x="118"/>
        <item x="29"/>
        <item x="28"/>
        <item x="3"/>
        <item x="20"/>
        <item x="32"/>
        <item x="16"/>
        <item x="55"/>
        <item x="39"/>
        <item x="112"/>
        <item x="27"/>
        <item x="25"/>
        <item x="60"/>
        <item x="48"/>
        <item x="104"/>
        <item x="80"/>
        <item x="36"/>
        <item x="13"/>
        <item x="58"/>
        <item x="5"/>
        <item x="24"/>
        <item x="125"/>
        <item x="51"/>
        <item x="57"/>
        <item x="128"/>
        <item x="84"/>
        <item x="17"/>
        <item x="53"/>
        <item x="45"/>
        <item x="106"/>
        <item x="19"/>
        <item x="6"/>
        <item x="42"/>
        <item x="101"/>
        <item x="43"/>
        <item x="23"/>
        <item x="0"/>
        <item x="40"/>
        <item x="109"/>
        <item x="37"/>
        <item x="12"/>
        <item x="116"/>
        <item x="115"/>
        <item x="97"/>
        <item x="64"/>
        <item x="77"/>
        <item x="65"/>
        <item x="73"/>
        <item x="114"/>
        <item x="111"/>
        <item x="134"/>
        <item x="158"/>
        <item x="66"/>
        <item x="120"/>
        <item x="83"/>
        <item x="8"/>
        <item x="141"/>
        <item x="69"/>
        <item x="54"/>
        <item x="52"/>
        <item x="122"/>
        <item x="67"/>
        <item x="88"/>
        <item x="117"/>
        <item x="59"/>
        <item x="78"/>
        <item x="103"/>
        <item x="75"/>
        <item x="74"/>
        <item x="14"/>
        <item x="155"/>
        <item x="129"/>
        <item x="102"/>
        <item x="138"/>
        <item x="92"/>
        <item x="137"/>
        <item x="127"/>
        <item x="35"/>
        <item x="63"/>
        <item x="81"/>
        <item x="149"/>
        <item x="139"/>
        <item x="143"/>
        <item x="154"/>
        <item x="15"/>
        <item x="70"/>
        <item x="123"/>
        <item x="33"/>
        <item x="90"/>
        <item x="100"/>
        <item x="94"/>
        <item x="47"/>
        <item x="144"/>
        <item x="21"/>
        <item x="87"/>
        <item x="72"/>
        <item x="121"/>
        <item x="31"/>
        <item x="10"/>
        <item x="131"/>
        <item x="132"/>
        <item x="124"/>
        <item x="162"/>
        <item x="110"/>
        <item x="18"/>
        <item x="153"/>
        <item x="156"/>
        <item x="160"/>
        <item x="113"/>
        <item x="9"/>
        <item x="147"/>
        <item x="142"/>
        <item x="85"/>
        <item x="107"/>
        <item x="56"/>
        <item x="150"/>
        <item x="133"/>
        <item x="161"/>
        <item x="130"/>
        <item x="76"/>
        <item x="44"/>
        <item x="152"/>
        <item x="151"/>
        <item x="163"/>
        <item x="159"/>
        <item x="62"/>
        <item x="145"/>
        <item x="146"/>
        <item x="148"/>
        <item x="82"/>
        <item x="119"/>
        <item x="164"/>
        <item x="91"/>
        <item x="157"/>
        <item x="140"/>
        <item x="126"/>
        <item x="135"/>
        <item x="165"/>
        <item t="default"/>
      </items>
    </pivotField>
    <pivotField showAll="0"/>
    <pivotField showAll="0"/>
    <pivotField showAll="0"/>
    <pivotField showAll="0"/>
    <pivotField showAll="0">
      <items count="890">
        <item x="309"/>
        <item x="642"/>
        <item x="472"/>
        <item x="236"/>
        <item x="622"/>
        <item x="92"/>
        <item x="34"/>
        <item x="809"/>
        <item x="872"/>
        <item x="488"/>
        <item x="431"/>
        <item x="95"/>
        <item x="668"/>
        <item x="230"/>
        <item x="370"/>
        <item x="864"/>
        <item x="794"/>
        <item x="433"/>
        <item x="424"/>
        <item x="590"/>
        <item x="466"/>
        <item x="795"/>
        <item x="784"/>
        <item x="525"/>
        <item x="648"/>
        <item x="568"/>
        <item x="687"/>
        <item x="720"/>
        <item x="862"/>
        <item x="281"/>
        <item x="486"/>
        <item x="292"/>
        <item x="860"/>
        <item x="54"/>
        <item x="540"/>
        <item x="375"/>
        <item x="1"/>
        <item x="741"/>
        <item x="299"/>
        <item x="331"/>
        <item x="390"/>
        <item x="692"/>
        <item x="157"/>
        <item x="728"/>
        <item x="543"/>
        <item x="358"/>
        <item x="277"/>
        <item x="235"/>
        <item x="481"/>
        <item x="200"/>
        <item x="225"/>
        <item x="156"/>
        <item x="643"/>
        <item x="459"/>
        <item x="420"/>
        <item x="308"/>
        <item x="527"/>
        <item x="820"/>
        <item x="163"/>
        <item x="885"/>
        <item x="830"/>
        <item x="601"/>
        <item x="191"/>
        <item x="51"/>
        <item x="867"/>
        <item x="535"/>
        <item x="615"/>
        <item x="665"/>
        <item x="172"/>
        <item x="249"/>
        <item x="521"/>
        <item x="212"/>
        <item x="3"/>
        <item x="170"/>
        <item x="571"/>
        <item x="7"/>
        <item x="45"/>
        <item x="743"/>
        <item x="828"/>
        <item x="594"/>
        <item x="588"/>
        <item x="327"/>
        <item x="650"/>
        <item x="135"/>
        <item x="597"/>
        <item x="731"/>
        <item x="841"/>
        <item x="439"/>
        <item x="541"/>
        <item x="563"/>
        <item x="294"/>
        <item x="101"/>
        <item x="641"/>
        <item x="340"/>
        <item x="67"/>
        <item x="840"/>
        <item x="371"/>
        <item x="460"/>
        <item x="691"/>
        <item x="35"/>
        <item x="401"/>
        <item x="346"/>
        <item x="787"/>
        <item x="883"/>
        <item x="624"/>
        <item x="649"/>
        <item x="600"/>
        <item x="681"/>
        <item x="366"/>
        <item x="255"/>
        <item x="682"/>
        <item x="727"/>
        <item x="736"/>
        <item x="279"/>
        <item x="510"/>
        <item x="763"/>
        <item x="173"/>
        <item x="183"/>
        <item x="512"/>
        <item x="151"/>
        <item x="596"/>
        <item x="453"/>
        <item x="305"/>
        <item x="82"/>
        <item x="323"/>
        <item x="871"/>
        <item x="237"/>
        <item x="393"/>
        <item x="295"/>
        <item x="98"/>
        <item x="710"/>
        <item x="749"/>
        <item x="27"/>
        <item x="38"/>
        <item x="154"/>
        <item x="313"/>
        <item x="733"/>
        <item x="803"/>
        <item x="359"/>
        <item x="817"/>
        <item x="882"/>
        <item x="651"/>
        <item x="603"/>
        <item x="552"/>
        <item x="658"/>
        <item x="546"/>
        <item x="160"/>
        <item x="623"/>
        <item x="99"/>
        <item x="519"/>
        <item x="177"/>
        <item x="761"/>
        <item x="13"/>
        <item x="469"/>
        <item x="275"/>
        <item x="661"/>
        <item x="730"/>
        <item x="41"/>
        <item x="757"/>
        <item x="579"/>
        <item x="380"/>
        <item x="505"/>
        <item x="220"/>
        <item x="128"/>
        <item x="678"/>
        <item x="559"/>
        <item x="267"/>
        <item x="627"/>
        <item x="280"/>
        <item x="470"/>
        <item x="382"/>
        <item x="573"/>
        <item x="450"/>
        <item x="256"/>
        <item x="93"/>
        <item x="666"/>
        <item x="253"/>
        <item x="166"/>
        <item x="539"/>
        <item x="344"/>
        <item x="339"/>
        <item x="106"/>
        <item x="534"/>
        <item x="789"/>
        <item x="490"/>
        <item x="778"/>
        <item x="747"/>
        <item x="186"/>
        <item x="634"/>
        <item x="326"/>
        <item x="219"/>
        <item x="636"/>
        <item x="89"/>
        <item x="496"/>
        <item x="364"/>
        <item x="705"/>
        <item x="483"/>
        <item x="332"/>
        <item x="19"/>
        <item x="176"/>
        <item x="412"/>
        <item x="31"/>
        <item x="508"/>
        <item x="2"/>
        <item x="438"/>
        <item x="502"/>
        <item x="655"/>
        <item x="270"/>
        <item x="602"/>
        <item x="140"/>
        <item x="251"/>
        <item x="455"/>
        <item x="595"/>
        <item x="229"/>
        <item x="842"/>
        <item x="192"/>
        <item x="822"/>
        <item x="360"/>
        <item x="148"/>
        <item x="451"/>
        <item x="74"/>
        <item x="373"/>
        <item x="250"/>
        <item x="369"/>
        <item x="213"/>
        <item x="818"/>
        <item x="413"/>
        <item x="786"/>
        <item x="108"/>
        <item x="618"/>
        <item x="792"/>
        <item x="417"/>
        <item x="707"/>
        <item x="333"/>
        <item x="44"/>
        <item x="425"/>
        <item x="760"/>
        <item x="781"/>
        <item x="838"/>
        <item x="756"/>
        <item x="283"/>
        <item x="528"/>
        <item x="399"/>
        <item x="129"/>
        <item x="231"/>
        <item x="48"/>
        <item x="826"/>
        <item x="409"/>
        <item x="274"/>
        <item x="28"/>
        <item x="644"/>
        <item x="471"/>
        <item x="799"/>
        <item x="194"/>
        <item x="474"/>
        <item x="224"/>
        <item x="288"/>
        <item x="49"/>
        <item x="865"/>
        <item x="887"/>
        <item x="653"/>
        <item x="751"/>
        <item x="703"/>
        <item x="12"/>
        <item x="555"/>
        <item x="187"/>
        <item x="310"/>
        <item x="68"/>
        <item x="226"/>
        <item x="402"/>
        <item x="397"/>
        <item x="17"/>
        <item x="854"/>
        <item x="257"/>
        <item x="716"/>
        <item x="161"/>
        <item x="550"/>
        <item x="712"/>
        <item x="376"/>
        <item x="378"/>
        <item x="633"/>
        <item x="324"/>
        <item x="723"/>
        <item x="499"/>
        <item x="238"/>
        <item x="209"/>
        <item x="847"/>
        <item x="227"/>
        <item x="845"/>
        <item x="702"/>
        <item x="621"/>
        <item x="109"/>
        <item x="748"/>
        <item x="223"/>
        <item x="583"/>
        <item x="24"/>
        <item x="284"/>
        <item x="185"/>
        <item x="338"/>
        <item x="829"/>
        <item x="613"/>
        <item x="368"/>
        <item x="130"/>
        <item x="575"/>
        <item x="479"/>
        <item x="832"/>
        <item x="198"/>
        <item x="218"/>
        <item x="233"/>
        <item x="58"/>
        <item x="876"/>
        <item x="652"/>
        <item x="759"/>
        <item x="426"/>
        <item x="798"/>
        <item x="680"/>
        <item x="850"/>
        <item x="844"/>
        <item x="354"/>
        <item x="23"/>
        <item x="356"/>
        <item x="612"/>
        <item x="721"/>
        <item x="273"/>
        <item x="581"/>
        <item x="775"/>
        <item x="406"/>
        <item x="589"/>
        <item x="663"/>
        <item x="266"/>
        <item x="427"/>
        <item x="608"/>
        <item x="363"/>
        <item x="821"/>
        <item x="640"/>
        <item x="516"/>
        <item x="855"/>
        <item x="509"/>
        <item x="342"/>
        <item x="877"/>
        <item x="491"/>
        <item x="72"/>
        <item x="22"/>
        <item x="478"/>
        <item x="815"/>
        <item x="145"/>
        <item x="319"/>
        <item x="492"/>
        <item x="432"/>
        <item x="341"/>
        <item x="532"/>
        <item x="53"/>
        <item x="816"/>
        <item x="210"/>
        <item x="77"/>
        <item x="43"/>
        <item x="684"/>
        <item x="112"/>
        <item x="814"/>
        <item x="87"/>
        <item x="524"/>
        <item x="859"/>
        <item x="484"/>
        <item x="180"/>
        <item x="777"/>
        <item x="537"/>
        <item x="797"/>
        <item x="514"/>
        <item x="674"/>
        <item x="632"/>
        <item x="793"/>
        <item x="482"/>
        <item x="752"/>
        <item x="330"/>
        <item x="562"/>
        <item x="766"/>
        <item x="301"/>
        <item x="430"/>
        <item x="620"/>
        <item x="304"/>
        <item x="343"/>
        <item x="503"/>
        <item x="586"/>
        <item x="293"/>
        <item x="188"/>
        <item x="724"/>
        <item x="734"/>
        <item x="421"/>
        <item x="379"/>
        <item x="607"/>
        <item x="690"/>
        <item x="418"/>
        <item x="689"/>
        <item x="834"/>
        <item x="445"/>
        <item x="780"/>
        <item x="221"/>
        <item x="289"/>
        <item x="807"/>
        <item x="843"/>
        <item x="693"/>
        <item x="381"/>
        <item x="679"/>
        <item x="567"/>
        <item x="60"/>
        <item x="457"/>
        <item x="645"/>
        <item x="569"/>
        <item x="858"/>
        <item x="86"/>
        <item x="258"/>
        <item x="770"/>
        <item x="70"/>
        <item x="118"/>
        <item x="852"/>
        <item x="676"/>
        <item x="495"/>
        <item x="40"/>
        <item x="152"/>
        <item x="464"/>
        <item x="677"/>
        <item x="362"/>
        <item x="271"/>
        <item x="767"/>
        <item x="265"/>
        <item x="436"/>
        <item x="762"/>
        <item x="701"/>
        <item x="404"/>
        <item x="103"/>
        <item x="758"/>
        <item x="66"/>
        <item x="461"/>
        <item x="385"/>
        <item x="554"/>
        <item x="694"/>
        <item x="429"/>
        <item x="735"/>
        <item x="638"/>
        <item x="452"/>
        <item x="165"/>
        <item x="475"/>
        <item x="107"/>
        <item x="4"/>
        <item x="522"/>
        <item x="675"/>
        <item x="868"/>
        <item x="199"/>
        <item x="572"/>
        <item x="708"/>
        <item x="825"/>
        <item x="389"/>
        <item x="584"/>
        <item x="548"/>
        <item x="321"/>
        <item x="800"/>
        <item x="80"/>
        <item x="184"/>
        <item x="449"/>
        <item x="637"/>
        <item x="557"/>
        <item x="700"/>
        <item x="217"/>
        <item x="520"/>
        <item x="57"/>
        <item x="384"/>
        <item x="159"/>
        <item x="611"/>
        <item x="203"/>
        <item x="259"/>
        <item x="349"/>
        <item x="84"/>
        <item x="835"/>
        <item x="709"/>
        <item x="506"/>
        <item x="442"/>
        <item x="372"/>
        <item x="746"/>
        <item x="878"/>
        <item x="416"/>
        <item x="269"/>
        <item x="706"/>
        <item x="119"/>
        <item x="812"/>
        <item x="123"/>
        <item x="336"/>
        <item x="114"/>
        <item x="839"/>
        <item x="392"/>
        <item x="856"/>
        <item x="463"/>
        <item x="625"/>
        <item x="124"/>
        <item x="110"/>
        <item x="386"/>
        <item x="37"/>
        <item x="162"/>
        <item x="196"/>
        <item x="545"/>
        <item x="47"/>
        <item x="415"/>
        <item x="419"/>
        <item x="662"/>
        <item x="874"/>
        <item x="849"/>
        <item x="272"/>
        <item x="884"/>
        <item x="136"/>
        <item x="291"/>
        <item x="740"/>
        <item x="726"/>
        <item x="76"/>
        <item x="802"/>
        <item x="241"/>
        <item x="374"/>
        <item x="411"/>
        <item x="779"/>
        <item x="774"/>
        <item x="697"/>
        <item x="465"/>
        <item x="561"/>
        <item x="523"/>
        <item x="851"/>
        <item x="881"/>
        <item x="738"/>
        <item x="744"/>
        <item x="113"/>
        <item x="133"/>
        <item x="836"/>
        <item x="181"/>
        <item x="300"/>
        <item x="556"/>
        <item x="247"/>
        <item x="489"/>
        <item x="335"/>
        <item x="353"/>
        <item x="504"/>
        <item x="21"/>
        <item x="772"/>
        <item x="139"/>
        <item x="248"/>
        <item x="367"/>
        <item x="686"/>
        <item x="11"/>
        <item x="164"/>
        <item x="551"/>
        <item x="713"/>
        <item x="805"/>
        <item x="142"/>
        <item x="810"/>
        <item x="529"/>
        <item x="587"/>
        <item x="150"/>
        <item x="672"/>
        <item x="477"/>
        <item x="73"/>
        <item x="206"/>
        <item x="875"/>
        <item x="85"/>
        <item x="52"/>
        <item x="610"/>
        <item x="565"/>
        <item x="656"/>
        <item x="245"/>
        <item x="737"/>
        <item x="59"/>
        <item x="745"/>
        <item x="357"/>
        <item x="311"/>
        <item x="120"/>
        <item x="211"/>
        <item x="458"/>
        <item x="182"/>
        <item x="264"/>
        <item x="167"/>
        <item x="97"/>
        <item x="646"/>
        <item x="754"/>
        <item x="515"/>
        <item x="566"/>
        <item x="671"/>
        <item x="314"/>
        <item x="5"/>
        <item x="81"/>
        <item x="352"/>
        <item x="440"/>
        <item x="26"/>
        <item x="111"/>
        <item x="599"/>
        <item x="696"/>
        <item x="670"/>
        <item x="102"/>
        <item x="628"/>
        <item x="146"/>
        <item x="398"/>
        <item x="473"/>
        <item x="64"/>
        <item x="616"/>
        <item x="558"/>
        <item x="394"/>
        <item x="631"/>
        <item x="593"/>
        <item x="725"/>
        <item x="396"/>
        <item x="626"/>
        <item x="866"/>
        <item x="771"/>
        <item x="755"/>
        <item x="659"/>
        <item x="513"/>
        <item x="722"/>
        <item x="619"/>
        <item x="260"/>
        <item x="155"/>
        <item x="0"/>
        <item x="544"/>
        <item x="125"/>
        <item x="153"/>
        <item x="61"/>
        <item x="216"/>
        <item x="56"/>
        <item x="769"/>
        <item x="290"/>
        <item x="383"/>
        <item x="434"/>
        <item x="232"/>
        <item x="570"/>
        <item x="131"/>
        <item x="315"/>
        <item x="564"/>
        <item x="117"/>
        <item x="518"/>
        <item x="560"/>
        <item x="578"/>
        <item x="542"/>
        <item x="20"/>
        <item x="190"/>
        <item x="785"/>
        <item x="242"/>
        <item x="134"/>
        <item x="94"/>
        <item x="456"/>
        <item x="485"/>
        <item x="879"/>
        <item x="768"/>
        <item x="530"/>
        <item x="36"/>
        <item x="322"/>
        <item x="695"/>
        <item x="10"/>
        <item x="14"/>
        <item x="9"/>
        <item x="387"/>
        <item x="886"/>
        <item x="582"/>
        <item x="804"/>
        <item x="811"/>
        <item x="511"/>
        <item x="334"/>
        <item x="169"/>
        <item x="91"/>
        <item x="395"/>
        <item x="609"/>
        <item x="328"/>
        <item x="317"/>
        <item x="576"/>
        <item x="635"/>
        <item x="827"/>
        <item x="507"/>
        <item x="337"/>
        <item x="605"/>
        <item x="50"/>
        <item x="316"/>
        <item x="329"/>
        <item x="870"/>
        <item x="158"/>
        <item x="263"/>
        <item x="303"/>
        <item x="16"/>
        <item x="228"/>
        <item x="318"/>
        <item x="531"/>
        <item x="178"/>
        <item x="240"/>
        <item x="276"/>
        <item x="121"/>
        <item x="355"/>
        <item x="278"/>
        <item x="714"/>
        <item x="168"/>
        <item x="143"/>
        <item x="261"/>
        <item x="764"/>
        <item x="78"/>
        <item x="244"/>
        <item x="400"/>
        <item x="476"/>
        <item x="698"/>
        <item x="861"/>
        <item x="669"/>
        <item x="454"/>
        <item x="448"/>
        <item x="517"/>
        <item x="243"/>
        <item x="446"/>
        <item x="819"/>
        <item x="347"/>
        <item x="208"/>
        <item x="171"/>
        <item x="591"/>
        <item x="688"/>
        <item x="179"/>
        <item x="806"/>
        <item x="500"/>
        <item x="96"/>
        <item x="71"/>
        <item x="46"/>
        <item x="853"/>
        <item x="193"/>
        <item x="204"/>
        <item x="207"/>
        <item x="88"/>
        <item x="732"/>
        <item x="90"/>
        <item x="585"/>
        <item x="673"/>
        <item x="325"/>
        <item x="497"/>
        <item x="205"/>
        <item x="144"/>
        <item x="657"/>
        <item x="667"/>
        <item x="62"/>
        <item x="501"/>
        <item x="718"/>
        <item x="306"/>
        <item x="408"/>
        <item x="639"/>
        <item x="175"/>
        <item x="147"/>
        <item x="553"/>
        <item x="141"/>
        <item x="189"/>
        <item x="63"/>
        <item x="880"/>
        <item x="388"/>
        <item x="6"/>
        <item x="729"/>
        <item x="824"/>
        <item x="580"/>
        <item x="104"/>
        <item x="447"/>
        <item x="29"/>
        <item x="683"/>
        <item x="813"/>
        <item x="536"/>
        <item x="69"/>
        <item x="215"/>
        <item x="132"/>
        <item x="55"/>
        <item x="351"/>
        <item x="268"/>
        <item x="410"/>
        <item x="493"/>
        <item x="711"/>
        <item x="606"/>
        <item x="197"/>
        <item x="296"/>
        <item x="788"/>
        <item x="808"/>
        <item x="345"/>
        <item x="246"/>
        <item x="873"/>
        <item x="753"/>
        <item x="776"/>
        <item x="405"/>
        <item x="286"/>
        <item x="302"/>
        <item x="202"/>
        <item x="435"/>
        <item x="715"/>
        <item x="630"/>
        <item x="614"/>
        <item x="592"/>
        <item x="717"/>
        <item x="138"/>
        <item x="350"/>
        <item x="100"/>
        <item x="83"/>
        <item x="494"/>
        <item x="252"/>
        <item x="685"/>
        <item x="791"/>
        <item x="664"/>
        <item x="122"/>
        <item x="282"/>
        <item x="239"/>
        <item x="75"/>
        <item x="254"/>
        <item x="391"/>
        <item x="869"/>
        <item x="704"/>
        <item x="15"/>
        <item x="116"/>
        <item x="857"/>
        <item x="222"/>
        <item x="201"/>
        <item x="79"/>
        <item x="782"/>
        <item x="533"/>
        <item x="18"/>
        <item x="577"/>
        <item x="846"/>
        <item x="699"/>
        <item x="25"/>
        <item x="647"/>
        <item x="361"/>
        <item x="307"/>
        <item x="823"/>
        <item x="739"/>
        <item x="549"/>
        <item x="837"/>
        <item x="468"/>
        <item x="365"/>
        <item x="467"/>
        <item x="783"/>
        <item x="39"/>
        <item x="115"/>
        <item x="796"/>
        <item x="487"/>
        <item x="234"/>
        <item x="33"/>
        <item x="833"/>
        <item x="742"/>
        <item x="195"/>
        <item x="287"/>
        <item x="32"/>
        <item x="441"/>
        <item x="617"/>
        <item x="598"/>
        <item x="437"/>
        <item x="105"/>
        <item x="790"/>
        <item x="538"/>
        <item x="848"/>
        <item x="547"/>
        <item x="831"/>
        <item x="498"/>
        <item x="660"/>
        <item x="214"/>
        <item x="443"/>
        <item x="629"/>
        <item x="348"/>
        <item x="262"/>
        <item x="604"/>
        <item x="320"/>
        <item x="42"/>
        <item x="574"/>
        <item x="312"/>
        <item x="126"/>
        <item x="801"/>
        <item x="137"/>
        <item x="285"/>
        <item x="407"/>
        <item x="127"/>
        <item x="719"/>
        <item x="403"/>
        <item x="654"/>
        <item x="30"/>
        <item x="423"/>
        <item x="765"/>
        <item x="444"/>
        <item x="773"/>
        <item x="480"/>
        <item x="422"/>
        <item x="298"/>
        <item x="297"/>
        <item x="149"/>
        <item x="414"/>
        <item x="174"/>
        <item x="526"/>
        <item x="750"/>
        <item x="863"/>
        <item x="377"/>
        <item x="8"/>
        <item x="428"/>
        <item x="462"/>
        <item x="65"/>
        <item x="888"/>
        <item t="default"/>
      </items>
    </pivotField>
  </pivotFields>
  <rowFields count="1">
    <field x="-2"/>
  </rowFields>
  <rowItems count="2">
    <i>
      <x/>
    </i>
    <i i="1">
      <x v="1"/>
    </i>
  </rowItems>
  <colItems count="1">
    <i/>
  </colItems>
  <dataFields count="2">
    <dataField name="Sum of SeatsAvailable" fld="7" baseField="0" baseItem="0"/>
    <dataField name="Sum of SeatsSold" fld="8" baseField="0" baseItem="0"/>
  </dataFields>
  <chartFormats count="6">
    <chartFormat chart="2" format="0" series="1">
      <pivotArea type="data" outline="0" fieldPosition="0">
        <references count="1">
          <reference field="4294967294" count="1" selected="0">
            <x v="0"/>
          </reference>
        </references>
      </pivotArea>
    </chartFormat>
    <chartFormat chart="13" format="169" series="1">
      <pivotArea type="data" outline="0" fieldPosition="0">
        <references count="1">
          <reference field="4294967294" count="1" selected="0">
            <x v="0"/>
          </reference>
        </references>
      </pivotArea>
    </chartFormat>
    <chartFormat chart="13" format="170">
      <pivotArea type="data" outline="0" fieldPosition="0">
        <references count="1">
          <reference field="4294967294" count="1" selected="0">
            <x v="0"/>
          </reference>
        </references>
      </pivotArea>
    </chartFormat>
    <chartFormat chart="13" format="171" series="1">
      <pivotArea type="data" outline="0" fieldPosition="0">
        <references count="1">
          <reference field="4294967294" count="1" selected="0">
            <x v="1"/>
          </reference>
        </references>
      </pivotArea>
    </chartFormat>
    <chartFormat chart="2" format="167" series="1">
      <pivotArea type="data" outline="0" fieldPosition="0">
        <references count="1">
          <reference field="4294967294" count="1" selected="0">
            <x v="1"/>
          </reference>
        </references>
      </pivotArea>
    </chartFormat>
    <chartFormat chart="13" format="172">
      <pivotArea type="data" outline="0" fieldPosition="0">
        <references count="1">
          <reference field="4294967294" count="1" selected="0">
            <x v="1"/>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3C5DD3-585D-4324-84BB-28138D4F93CC}"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G1:H14" firstHeaderRow="1" firstDataRow="1" firstDataCol="1"/>
  <pivotFields count="14">
    <pivotField showAll="0">
      <items count="1001">
        <item h="1" x="0"/>
        <item h="1" x="1"/>
        <item h="1" x="2"/>
        <item h="1" x="3"/>
        <item h="1" x="4"/>
        <item h="1" x="5"/>
        <item h="1" x="6"/>
        <item h="1" x="7"/>
        <item h="1" x="8"/>
        <item h="1" x="9"/>
        <item h="1" x="10"/>
        <item h="1" x="11"/>
        <item h="1" x="12"/>
        <item h="1" x="13"/>
        <item h="1" x="14"/>
        <item h="1" x="15"/>
        <item h="1" x="16"/>
        <item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t="default"/>
      </items>
    </pivotField>
    <pivotField showAll="0"/>
    <pivotField showAll="0"/>
    <pivotField showAll="0">
      <items count="12">
        <item h="1" x="5"/>
        <item h="1" x="4"/>
        <item h="1" x="0"/>
        <item x="9"/>
        <item h="1" x="7"/>
        <item h="1" x="8"/>
        <item h="1" x="1"/>
        <item h="1" x="6"/>
        <item h="1" x="2"/>
        <item h="1" x="3"/>
        <item h="1" x="10"/>
        <item t="default"/>
      </items>
    </pivotField>
    <pivotField showAll="0">
      <items count="541">
        <item x="333"/>
        <item x="247"/>
        <item x="274"/>
        <item x="351"/>
        <item x="393"/>
        <item x="37"/>
        <item x="537"/>
        <item x="438"/>
        <item x="221"/>
        <item x="265"/>
        <item x="117"/>
        <item x="159"/>
        <item x="69"/>
        <item x="134"/>
        <item x="499"/>
        <item x="230"/>
        <item x="510"/>
        <item x="464"/>
        <item x="0"/>
        <item x="64"/>
        <item x="210"/>
        <item x="476"/>
        <item x="317"/>
        <item x="425"/>
        <item x="307"/>
        <item x="187"/>
        <item x="407"/>
        <item x="142"/>
        <item x="364"/>
        <item x="3"/>
        <item x="36"/>
        <item x="207"/>
        <item x="270"/>
        <item x="296"/>
        <item x="308"/>
        <item x="328"/>
        <item x="195"/>
        <item x="414"/>
        <item x="74"/>
        <item x="211"/>
        <item x="292"/>
        <item x="520"/>
        <item x="28"/>
        <item x="374"/>
        <item x="522"/>
        <item x="121"/>
        <item x="20"/>
        <item x="445"/>
        <item x="79"/>
        <item x="390"/>
        <item x="181"/>
        <item x="299"/>
        <item x="361"/>
        <item x="226"/>
        <item x="100"/>
        <item x="512"/>
        <item x="252"/>
        <item x="266"/>
        <item x="277"/>
        <item x="16"/>
        <item x="306"/>
        <item x="415"/>
        <item x="401"/>
        <item x="184"/>
        <item x="205"/>
        <item x="148"/>
        <item x="284"/>
        <item x="329"/>
        <item x="406"/>
        <item x="22"/>
        <item x="241"/>
        <item x="113"/>
        <item x="503"/>
        <item x="143"/>
        <item x="243"/>
        <item x="136"/>
        <item x="222"/>
        <item x="336"/>
        <item x="360"/>
        <item x="473"/>
        <item x="505"/>
        <item x="198"/>
        <item x="325"/>
        <item x="135"/>
        <item x="43"/>
        <item x="250"/>
        <item x="268"/>
        <item x="305"/>
        <item x="158"/>
        <item x="114"/>
        <item x="262"/>
        <item x="154"/>
        <item x="497"/>
        <item x="38"/>
        <item x="177"/>
        <item x="490"/>
        <item x="417"/>
        <item x="21"/>
        <item x="163"/>
        <item x="337"/>
        <item x="164"/>
        <item x="157"/>
        <item x="339"/>
        <item x="237"/>
        <item x="110"/>
        <item x="295"/>
        <item x="276"/>
        <item x="169"/>
        <item x="342"/>
        <item x="397"/>
        <item x="51"/>
        <item x="460"/>
        <item x="489"/>
        <item x="371"/>
        <item x="218"/>
        <item x="348"/>
        <item x="2"/>
        <item x="354"/>
        <item x="196"/>
        <item x="288"/>
        <item x="355"/>
        <item x="267"/>
        <item x="280"/>
        <item x="17"/>
        <item x="98"/>
        <item x="321"/>
        <item x="253"/>
        <item x="190"/>
        <item x="179"/>
        <item x="449"/>
        <item x="311"/>
        <item x="245"/>
        <item x="106"/>
        <item x="451"/>
        <item x="235"/>
        <item x="518"/>
        <item x="151"/>
        <item x="394"/>
        <item x="526"/>
        <item x="405"/>
        <item x="246"/>
        <item x="534"/>
        <item x="395"/>
        <item x="492"/>
        <item x="183"/>
        <item x="72"/>
        <item x="467"/>
        <item x="186"/>
        <item x="462"/>
        <item x="432"/>
        <item x="41"/>
        <item x="443"/>
        <item x="261"/>
        <item x="35"/>
        <item x="458"/>
        <item x="436"/>
        <item x="244"/>
        <item x="495"/>
        <item x="340"/>
        <item x="367"/>
        <item x="214"/>
        <item x="68"/>
        <item x="26"/>
        <item x="286"/>
        <item x="282"/>
        <item x="430"/>
        <item x="52"/>
        <item x="1"/>
        <item x="137"/>
        <item x="155"/>
        <item x="344"/>
        <item x="346"/>
        <item x="320"/>
        <item x="228"/>
        <item x="82"/>
        <item x="370"/>
        <item x="409"/>
        <item x="93"/>
        <item x="326"/>
        <item x="386"/>
        <item x="103"/>
        <item x="423"/>
        <item x="377"/>
        <item x="160"/>
        <item x="400"/>
        <item x="424"/>
        <item x="528"/>
        <item x="263"/>
        <item x="256"/>
        <item x="422"/>
        <item x="63"/>
        <item x="162"/>
        <item x="101"/>
        <item x="219"/>
        <item x="465"/>
        <item x="62"/>
        <item x="315"/>
        <item x="34"/>
        <item x="9"/>
        <item x="91"/>
        <item x="531"/>
        <item x="231"/>
        <item x="324"/>
        <item x="431"/>
        <item x="312"/>
        <item x="104"/>
        <item x="116"/>
        <item x="5"/>
        <item x="236"/>
        <item x="185"/>
        <item x="215"/>
        <item x="516"/>
        <item x="197"/>
        <item x="376"/>
        <item x="375"/>
        <item x="87"/>
        <item x="85"/>
        <item x="132"/>
        <item x="527"/>
        <item x="89"/>
        <item x="426"/>
        <item x="502"/>
        <item x="298"/>
        <item x="73"/>
        <item x="77"/>
        <item x="314"/>
        <item x="232"/>
        <item x="223"/>
        <item x="509"/>
        <item x="515"/>
        <item x="508"/>
        <item x="413"/>
        <item x="71"/>
        <item x="281"/>
        <item x="290"/>
        <item x="165"/>
        <item x="272"/>
        <item x="65"/>
        <item x="491"/>
        <item x="44"/>
        <item x="31"/>
        <item x="193"/>
        <item x="418"/>
        <item x="212"/>
        <item x="56"/>
        <item x="271"/>
        <item x="178"/>
        <item x="384"/>
        <item x="411"/>
        <item x="109"/>
        <item x="42"/>
        <item x="199"/>
        <item x="357"/>
        <item x="40"/>
        <item x="446"/>
        <item x="428"/>
        <item x="479"/>
        <item x="19"/>
        <item x="167"/>
        <item x="227"/>
        <item x="149"/>
        <item x="396"/>
        <item x="388"/>
        <item x="92"/>
        <item x="379"/>
        <item x="84"/>
        <item x="126"/>
        <item x="128"/>
        <item x="125"/>
        <item x="521"/>
        <item x="39"/>
        <item x="289"/>
        <item x="166"/>
        <item x="533"/>
        <item x="349"/>
        <item x="10"/>
        <item x="485"/>
        <item x="334"/>
        <item x="108"/>
        <item x="323"/>
        <item x="141"/>
        <item x="302"/>
        <item x="213"/>
        <item x="511"/>
        <item x="220"/>
        <item x="242"/>
        <item x="297"/>
        <item x="192"/>
        <item x="488"/>
        <item x="472"/>
        <item x="398"/>
        <item x="442"/>
        <item x="90"/>
        <item x="251"/>
        <item x="456"/>
        <item x="156"/>
        <item x="345"/>
        <item x="111"/>
        <item x="60"/>
        <item x="535"/>
        <item x="194"/>
        <item x="175"/>
        <item x="440"/>
        <item x="76"/>
        <item x="23"/>
        <item x="48"/>
        <item x="380"/>
        <item x="353"/>
        <item x="78"/>
        <item x="507"/>
        <item x="450"/>
        <item x="421"/>
        <item x="57"/>
        <item x="202"/>
        <item x="331"/>
        <item x="416"/>
        <item x="524"/>
        <item x="59"/>
        <item x="318"/>
        <item x="118"/>
        <item x="24"/>
        <item x="27"/>
        <item x="373"/>
        <item x="123"/>
        <item x="359"/>
        <item x="122"/>
        <item x="99"/>
        <item x="481"/>
        <item x="322"/>
        <item x="278"/>
        <item x="493"/>
        <item x="293"/>
        <item x="33"/>
        <item x="81"/>
        <item x="234"/>
        <item x="105"/>
        <item x="538"/>
        <item x="131"/>
        <item x="459"/>
        <item x="350"/>
        <item x="203"/>
        <item x="408"/>
        <item x="369"/>
        <item x="404"/>
        <item x="119"/>
        <item x="279"/>
        <item x="13"/>
        <item x="257"/>
        <item x="439"/>
        <item x="95"/>
        <item x="233"/>
        <item x="453"/>
        <item x="447"/>
        <item x="478"/>
        <item x="356"/>
        <item x="454"/>
        <item x="389"/>
        <item x="53"/>
        <item x="49"/>
        <item x="75"/>
        <item x="529"/>
        <item x="70"/>
        <item x="461"/>
        <item x="433"/>
        <item x="304"/>
        <item x="120"/>
        <item x="455"/>
        <item x="498"/>
        <item x="107"/>
        <item x="410"/>
        <item x="67"/>
        <item x="55"/>
        <item x="358"/>
        <item x="500"/>
        <item x="15"/>
        <item x="301"/>
        <item x="309"/>
        <item x="474"/>
        <item x="501"/>
        <item x="94"/>
        <item x="269"/>
        <item x="216"/>
        <item x="530"/>
        <item x="171"/>
        <item x="517"/>
        <item x="338"/>
        <item x="32"/>
        <item x="161"/>
        <item x="29"/>
        <item x="327"/>
        <item x="255"/>
        <item x="50"/>
        <item x="366"/>
        <item x="368"/>
        <item x="86"/>
        <item x="83"/>
        <item x="399"/>
        <item x="335"/>
        <item x="144"/>
        <item x="391"/>
        <item x="291"/>
        <item x="224"/>
        <item x="170"/>
        <item x="129"/>
        <item x="209"/>
        <item x="188"/>
        <item x="6"/>
        <item x="258"/>
        <item x="352"/>
        <item x="150"/>
        <item x="300"/>
        <item x="519"/>
        <item x="225"/>
        <item x="287"/>
        <item x="259"/>
        <item x="54"/>
        <item x="532"/>
        <item x="362"/>
        <item x="88"/>
        <item x="12"/>
        <item x="174"/>
        <item x="435"/>
        <item x="347"/>
        <item x="504"/>
        <item x="332"/>
        <item x="206"/>
        <item x="482"/>
        <item x="412"/>
        <item x="124"/>
        <item x="217"/>
        <item x="303"/>
        <item x="115"/>
        <item x="8"/>
        <item x="130"/>
        <item x="264"/>
        <item x="30"/>
        <item x="483"/>
        <item x="204"/>
        <item x="383"/>
        <item x="457"/>
        <item x="4"/>
        <item x="471"/>
        <item x="470"/>
        <item x="466"/>
        <item x="189"/>
        <item x="58"/>
        <item x="378"/>
        <item x="102"/>
        <item x="254"/>
        <item x="463"/>
        <item x="140"/>
        <item x="61"/>
        <item x="239"/>
        <item x="147"/>
        <item x="419"/>
        <item x="248"/>
        <item x="238"/>
        <item x="484"/>
        <item x="469"/>
        <item x="310"/>
        <item x="182"/>
        <item x="420"/>
        <item x="14"/>
        <item x="452"/>
        <item x="152"/>
        <item x="191"/>
        <item x="385"/>
        <item x="363"/>
        <item x="168"/>
        <item x="112"/>
        <item x="477"/>
        <item x="97"/>
        <item x="229"/>
        <item x="127"/>
        <item x="273"/>
        <item x="46"/>
        <item x="437"/>
        <item x="260"/>
        <item x="139"/>
        <item x="494"/>
        <item x="387"/>
        <item x="506"/>
        <item x="145"/>
        <item x="381"/>
        <item x="319"/>
        <item x="480"/>
        <item x="513"/>
        <item x="201"/>
        <item x="427"/>
        <item x="180"/>
        <item x="176"/>
        <item x="475"/>
        <item x="402"/>
        <item x="285"/>
        <item x="240"/>
        <item x="80"/>
        <item x="365"/>
        <item x="96"/>
        <item x="25"/>
        <item x="441"/>
        <item x="138"/>
        <item x="146"/>
        <item x="275"/>
        <item x="536"/>
        <item x="316"/>
        <item x="66"/>
        <item x="434"/>
        <item x="392"/>
        <item x="294"/>
        <item x="200"/>
        <item x="18"/>
        <item x="249"/>
        <item x="341"/>
        <item x="382"/>
        <item x="283"/>
        <item x="153"/>
        <item x="11"/>
        <item x="173"/>
        <item x="208"/>
        <item x="7"/>
        <item x="487"/>
        <item x="468"/>
        <item x="313"/>
        <item x="330"/>
        <item x="343"/>
        <item x="496"/>
        <item x="525"/>
        <item x="172"/>
        <item x="523"/>
        <item x="448"/>
        <item x="47"/>
        <item x="372"/>
        <item x="444"/>
        <item x="133"/>
        <item x="403"/>
        <item x="45"/>
        <item x="429"/>
        <item x="514"/>
        <item x="486"/>
        <item x="539"/>
        <item t="default"/>
      </items>
    </pivotField>
    <pivotField showAll="0"/>
    <pivotField showAll="0">
      <items count="7">
        <item h="1" x="4"/>
        <item h="1" x="2"/>
        <item h="1" x="3"/>
        <item h="1" x="0"/>
        <item x="1"/>
        <item h="1" x="5"/>
        <item t="default"/>
      </items>
    </pivotField>
    <pivotField showAll="0">
      <items count="153">
        <item x="71"/>
        <item x="98"/>
        <item x="29"/>
        <item x="88"/>
        <item x="53"/>
        <item x="54"/>
        <item x="94"/>
        <item x="81"/>
        <item x="89"/>
        <item x="105"/>
        <item x="27"/>
        <item x="4"/>
        <item x="86"/>
        <item x="96"/>
        <item x="26"/>
        <item x="122"/>
        <item x="10"/>
        <item x="14"/>
        <item x="18"/>
        <item x="100"/>
        <item x="134"/>
        <item x="52"/>
        <item x="135"/>
        <item x="23"/>
        <item x="93"/>
        <item x="142"/>
        <item x="2"/>
        <item x="21"/>
        <item x="145"/>
        <item x="87"/>
        <item x="57"/>
        <item x="73"/>
        <item x="42"/>
        <item x="33"/>
        <item x="121"/>
        <item x="49"/>
        <item x="67"/>
        <item x="149"/>
        <item x="34"/>
        <item x="36"/>
        <item x="64"/>
        <item x="5"/>
        <item x="24"/>
        <item x="124"/>
        <item x="130"/>
        <item x="62"/>
        <item x="137"/>
        <item x="106"/>
        <item x="103"/>
        <item x="143"/>
        <item x="115"/>
        <item x="133"/>
        <item x="127"/>
        <item x="111"/>
        <item x="7"/>
        <item x="148"/>
        <item x="51"/>
        <item x="74"/>
        <item x="6"/>
        <item x="0"/>
        <item x="101"/>
        <item x="82"/>
        <item x="45"/>
        <item x="119"/>
        <item x="84"/>
        <item x="136"/>
        <item x="132"/>
        <item x="66"/>
        <item x="37"/>
        <item x="107"/>
        <item x="48"/>
        <item x="1"/>
        <item x="97"/>
        <item x="80"/>
        <item x="116"/>
        <item x="146"/>
        <item x="41"/>
        <item x="43"/>
        <item x="38"/>
        <item x="104"/>
        <item x="28"/>
        <item x="77"/>
        <item x="69"/>
        <item x="99"/>
        <item x="117"/>
        <item x="44"/>
        <item x="110"/>
        <item x="59"/>
        <item x="61"/>
        <item x="30"/>
        <item x="20"/>
        <item x="85"/>
        <item x="13"/>
        <item x="35"/>
        <item x="55"/>
        <item x="12"/>
        <item x="126"/>
        <item x="58"/>
        <item x="112"/>
        <item x="140"/>
        <item x="128"/>
        <item x="56"/>
        <item x="46"/>
        <item x="114"/>
        <item x="78"/>
        <item x="92"/>
        <item x="75"/>
        <item x="95"/>
        <item x="15"/>
        <item x="108"/>
        <item x="91"/>
        <item x="147"/>
        <item x="16"/>
        <item x="144"/>
        <item x="150"/>
        <item x="129"/>
        <item x="138"/>
        <item x="113"/>
        <item x="22"/>
        <item x="83"/>
        <item x="65"/>
        <item x="47"/>
        <item x="118"/>
        <item x="123"/>
        <item x="25"/>
        <item x="60"/>
        <item x="102"/>
        <item x="72"/>
        <item x="11"/>
        <item x="32"/>
        <item x="9"/>
        <item x="139"/>
        <item x="141"/>
        <item x="40"/>
        <item x="109"/>
        <item x="31"/>
        <item x="79"/>
        <item x="3"/>
        <item x="50"/>
        <item x="76"/>
        <item x="70"/>
        <item x="17"/>
        <item x="63"/>
        <item x="8"/>
        <item x="125"/>
        <item x="131"/>
        <item x="120"/>
        <item x="19"/>
        <item x="39"/>
        <item x="90"/>
        <item x="68"/>
        <item x="151"/>
        <item t="default"/>
      </items>
    </pivotField>
    <pivotField showAll="0">
      <items count="167">
        <item x="1"/>
        <item x="71"/>
        <item x="30"/>
        <item x="26"/>
        <item x="7"/>
        <item x="2"/>
        <item x="98"/>
        <item x="108"/>
        <item x="105"/>
        <item x="49"/>
        <item x="96"/>
        <item x="41"/>
        <item x="38"/>
        <item x="93"/>
        <item x="4"/>
        <item x="22"/>
        <item x="79"/>
        <item x="89"/>
        <item x="95"/>
        <item x="46"/>
        <item x="34"/>
        <item x="50"/>
        <item x="136"/>
        <item x="61"/>
        <item x="11"/>
        <item x="86"/>
        <item x="99"/>
        <item x="68"/>
        <item x="118"/>
        <item x="29"/>
        <item x="28"/>
        <item x="3"/>
        <item x="20"/>
        <item x="32"/>
        <item x="16"/>
        <item x="55"/>
        <item x="39"/>
        <item x="112"/>
        <item x="27"/>
        <item x="25"/>
        <item x="60"/>
        <item x="48"/>
        <item x="104"/>
        <item x="80"/>
        <item x="36"/>
        <item x="13"/>
        <item x="58"/>
        <item x="5"/>
        <item x="24"/>
        <item x="125"/>
        <item x="51"/>
        <item x="57"/>
        <item x="128"/>
        <item x="84"/>
        <item x="17"/>
        <item x="53"/>
        <item x="45"/>
        <item x="106"/>
        <item x="19"/>
        <item x="6"/>
        <item x="42"/>
        <item x="101"/>
        <item x="43"/>
        <item x="23"/>
        <item x="0"/>
        <item x="40"/>
        <item x="109"/>
        <item x="37"/>
        <item x="12"/>
        <item x="116"/>
        <item x="115"/>
        <item x="97"/>
        <item x="64"/>
        <item x="77"/>
        <item x="65"/>
        <item x="73"/>
        <item x="114"/>
        <item x="111"/>
        <item x="134"/>
        <item x="158"/>
        <item x="66"/>
        <item x="120"/>
        <item x="83"/>
        <item x="8"/>
        <item x="141"/>
        <item x="69"/>
        <item x="54"/>
        <item x="52"/>
        <item x="122"/>
        <item x="67"/>
        <item x="88"/>
        <item x="117"/>
        <item x="59"/>
        <item x="78"/>
        <item x="103"/>
        <item x="75"/>
        <item x="74"/>
        <item x="14"/>
        <item x="155"/>
        <item x="129"/>
        <item x="102"/>
        <item x="138"/>
        <item x="92"/>
        <item x="137"/>
        <item x="127"/>
        <item x="35"/>
        <item x="63"/>
        <item x="81"/>
        <item x="149"/>
        <item x="139"/>
        <item x="143"/>
        <item x="154"/>
        <item x="15"/>
        <item x="70"/>
        <item x="123"/>
        <item x="33"/>
        <item x="90"/>
        <item x="100"/>
        <item x="94"/>
        <item x="47"/>
        <item x="144"/>
        <item x="21"/>
        <item x="87"/>
        <item x="72"/>
        <item x="121"/>
        <item x="31"/>
        <item x="10"/>
        <item x="131"/>
        <item x="132"/>
        <item x="124"/>
        <item x="162"/>
        <item x="110"/>
        <item x="18"/>
        <item x="153"/>
        <item x="156"/>
        <item x="160"/>
        <item x="113"/>
        <item x="9"/>
        <item x="147"/>
        <item x="142"/>
        <item x="85"/>
        <item x="107"/>
        <item x="56"/>
        <item x="150"/>
        <item x="133"/>
        <item x="161"/>
        <item x="130"/>
        <item x="76"/>
        <item x="44"/>
        <item x="152"/>
        <item x="151"/>
        <item x="163"/>
        <item x="159"/>
        <item x="62"/>
        <item x="145"/>
        <item x="146"/>
        <item x="148"/>
        <item x="82"/>
        <item x="119"/>
        <item x="164"/>
        <item x="91"/>
        <item x="157"/>
        <item x="140"/>
        <item x="126"/>
        <item x="135"/>
        <item x="165"/>
        <item t="default"/>
      </items>
    </pivotField>
    <pivotField showAll="0"/>
    <pivotField showAll="0"/>
    <pivotField dataField="1" showAll="0"/>
    <pivotField axis="axisRow" showAll="0">
      <items count="13">
        <item x="0"/>
        <item x="3"/>
        <item x="11"/>
        <item x="9"/>
        <item x="10"/>
        <item x="2"/>
        <item x="5"/>
        <item x="1"/>
        <item x="7"/>
        <item x="4"/>
        <item x="8"/>
        <item x="6"/>
        <item t="default"/>
      </items>
    </pivotField>
    <pivotField showAll="0">
      <items count="890">
        <item x="309"/>
        <item x="642"/>
        <item x="472"/>
        <item x="236"/>
        <item x="622"/>
        <item x="92"/>
        <item x="34"/>
        <item x="809"/>
        <item x="872"/>
        <item x="488"/>
        <item x="431"/>
        <item x="95"/>
        <item x="668"/>
        <item x="230"/>
        <item x="370"/>
        <item x="864"/>
        <item x="794"/>
        <item x="433"/>
        <item x="424"/>
        <item x="590"/>
        <item x="466"/>
        <item x="795"/>
        <item x="784"/>
        <item x="525"/>
        <item x="648"/>
        <item x="568"/>
        <item x="687"/>
        <item x="720"/>
        <item x="862"/>
        <item x="281"/>
        <item x="486"/>
        <item x="292"/>
        <item x="860"/>
        <item x="54"/>
        <item x="540"/>
        <item x="375"/>
        <item x="1"/>
        <item x="741"/>
        <item x="299"/>
        <item x="331"/>
        <item x="390"/>
        <item x="692"/>
        <item x="157"/>
        <item x="728"/>
        <item x="543"/>
        <item x="358"/>
        <item x="277"/>
        <item x="235"/>
        <item x="481"/>
        <item x="200"/>
        <item x="225"/>
        <item x="156"/>
        <item x="643"/>
        <item x="459"/>
        <item x="420"/>
        <item x="308"/>
        <item x="527"/>
        <item x="820"/>
        <item x="163"/>
        <item x="885"/>
        <item x="830"/>
        <item x="601"/>
        <item x="191"/>
        <item x="51"/>
        <item x="867"/>
        <item x="535"/>
        <item x="615"/>
        <item x="665"/>
        <item x="172"/>
        <item x="249"/>
        <item x="521"/>
        <item x="212"/>
        <item x="3"/>
        <item x="170"/>
        <item x="571"/>
        <item x="7"/>
        <item x="45"/>
        <item x="743"/>
        <item x="828"/>
        <item x="594"/>
        <item x="588"/>
        <item x="327"/>
        <item x="650"/>
        <item x="135"/>
        <item x="597"/>
        <item x="731"/>
        <item x="841"/>
        <item x="439"/>
        <item x="541"/>
        <item x="563"/>
        <item x="294"/>
        <item x="101"/>
        <item x="641"/>
        <item x="340"/>
        <item x="67"/>
        <item x="840"/>
        <item x="371"/>
        <item x="460"/>
        <item x="691"/>
        <item x="35"/>
        <item x="401"/>
        <item x="346"/>
        <item x="787"/>
        <item x="883"/>
        <item x="624"/>
        <item x="649"/>
        <item x="600"/>
        <item x="681"/>
        <item x="366"/>
        <item x="255"/>
        <item x="682"/>
        <item x="727"/>
        <item x="736"/>
        <item x="279"/>
        <item x="510"/>
        <item x="763"/>
        <item x="173"/>
        <item x="183"/>
        <item x="512"/>
        <item x="151"/>
        <item x="596"/>
        <item x="453"/>
        <item x="305"/>
        <item x="82"/>
        <item x="323"/>
        <item x="871"/>
        <item x="237"/>
        <item x="393"/>
        <item x="295"/>
        <item x="98"/>
        <item x="710"/>
        <item x="749"/>
        <item x="27"/>
        <item x="38"/>
        <item x="154"/>
        <item x="313"/>
        <item x="733"/>
        <item x="803"/>
        <item x="359"/>
        <item x="817"/>
        <item x="882"/>
        <item x="651"/>
        <item x="603"/>
        <item x="552"/>
        <item x="658"/>
        <item x="546"/>
        <item x="160"/>
        <item x="623"/>
        <item x="99"/>
        <item x="519"/>
        <item x="177"/>
        <item x="761"/>
        <item x="13"/>
        <item x="469"/>
        <item x="275"/>
        <item x="661"/>
        <item x="730"/>
        <item x="41"/>
        <item x="757"/>
        <item x="579"/>
        <item x="380"/>
        <item x="505"/>
        <item x="220"/>
        <item x="128"/>
        <item x="678"/>
        <item x="559"/>
        <item x="267"/>
        <item x="627"/>
        <item x="280"/>
        <item x="470"/>
        <item x="382"/>
        <item x="573"/>
        <item x="450"/>
        <item x="256"/>
        <item x="93"/>
        <item x="666"/>
        <item x="253"/>
        <item x="166"/>
        <item x="539"/>
        <item x="344"/>
        <item x="339"/>
        <item x="106"/>
        <item x="534"/>
        <item x="789"/>
        <item x="490"/>
        <item x="778"/>
        <item x="747"/>
        <item x="186"/>
        <item x="634"/>
        <item x="326"/>
        <item x="219"/>
        <item x="636"/>
        <item x="89"/>
        <item x="496"/>
        <item x="364"/>
        <item x="705"/>
        <item x="483"/>
        <item x="332"/>
        <item x="19"/>
        <item x="176"/>
        <item x="412"/>
        <item x="31"/>
        <item x="508"/>
        <item x="2"/>
        <item x="438"/>
        <item x="502"/>
        <item x="655"/>
        <item x="270"/>
        <item x="602"/>
        <item x="140"/>
        <item x="251"/>
        <item x="455"/>
        <item x="595"/>
        <item x="229"/>
        <item x="842"/>
        <item x="192"/>
        <item x="822"/>
        <item x="360"/>
        <item x="148"/>
        <item x="451"/>
        <item x="74"/>
        <item x="373"/>
        <item x="250"/>
        <item x="369"/>
        <item x="213"/>
        <item x="818"/>
        <item x="413"/>
        <item x="786"/>
        <item x="108"/>
        <item x="618"/>
        <item x="792"/>
        <item x="417"/>
        <item x="707"/>
        <item x="333"/>
        <item x="44"/>
        <item x="425"/>
        <item x="760"/>
        <item x="781"/>
        <item x="838"/>
        <item x="756"/>
        <item x="283"/>
        <item x="528"/>
        <item x="399"/>
        <item x="129"/>
        <item x="231"/>
        <item x="48"/>
        <item x="826"/>
        <item x="409"/>
        <item x="274"/>
        <item x="28"/>
        <item x="644"/>
        <item x="471"/>
        <item x="799"/>
        <item x="194"/>
        <item x="474"/>
        <item x="224"/>
        <item x="288"/>
        <item x="49"/>
        <item x="865"/>
        <item x="887"/>
        <item x="653"/>
        <item x="751"/>
        <item x="703"/>
        <item x="12"/>
        <item x="555"/>
        <item x="187"/>
        <item x="310"/>
        <item x="68"/>
        <item x="226"/>
        <item x="402"/>
        <item x="397"/>
        <item x="17"/>
        <item x="854"/>
        <item x="257"/>
        <item x="716"/>
        <item x="161"/>
        <item x="550"/>
        <item x="712"/>
        <item x="376"/>
        <item x="378"/>
        <item x="633"/>
        <item x="324"/>
        <item x="723"/>
        <item x="499"/>
        <item x="238"/>
        <item x="209"/>
        <item x="847"/>
        <item x="227"/>
        <item x="845"/>
        <item x="702"/>
        <item x="621"/>
        <item x="109"/>
        <item x="748"/>
        <item x="223"/>
        <item x="583"/>
        <item x="24"/>
        <item x="284"/>
        <item x="185"/>
        <item x="338"/>
        <item x="829"/>
        <item x="613"/>
        <item x="368"/>
        <item x="130"/>
        <item x="575"/>
        <item x="479"/>
        <item x="832"/>
        <item x="198"/>
        <item x="218"/>
        <item x="233"/>
        <item x="58"/>
        <item x="876"/>
        <item x="652"/>
        <item x="759"/>
        <item x="426"/>
        <item x="798"/>
        <item x="680"/>
        <item x="850"/>
        <item x="844"/>
        <item x="354"/>
        <item x="23"/>
        <item x="356"/>
        <item x="612"/>
        <item x="721"/>
        <item x="273"/>
        <item x="581"/>
        <item x="775"/>
        <item x="406"/>
        <item x="589"/>
        <item x="663"/>
        <item x="266"/>
        <item x="427"/>
        <item x="608"/>
        <item x="363"/>
        <item x="821"/>
        <item x="640"/>
        <item x="516"/>
        <item x="855"/>
        <item x="509"/>
        <item x="342"/>
        <item x="877"/>
        <item x="491"/>
        <item x="72"/>
        <item x="22"/>
        <item x="478"/>
        <item x="815"/>
        <item x="145"/>
        <item x="319"/>
        <item x="492"/>
        <item x="432"/>
        <item x="341"/>
        <item x="532"/>
        <item x="53"/>
        <item x="816"/>
        <item x="210"/>
        <item x="77"/>
        <item x="43"/>
        <item x="684"/>
        <item x="112"/>
        <item x="814"/>
        <item x="87"/>
        <item x="524"/>
        <item x="859"/>
        <item x="484"/>
        <item x="180"/>
        <item x="777"/>
        <item x="537"/>
        <item x="797"/>
        <item x="514"/>
        <item x="674"/>
        <item x="632"/>
        <item x="793"/>
        <item x="482"/>
        <item x="752"/>
        <item x="330"/>
        <item x="562"/>
        <item x="766"/>
        <item x="301"/>
        <item x="430"/>
        <item x="620"/>
        <item x="304"/>
        <item x="343"/>
        <item x="503"/>
        <item x="586"/>
        <item x="293"/>
        <item x="188"/>
        <item x="724"/>
        <item x="734"/>
        <item x="421"/>
        <item x="379"/>
        <item x="607"/>
        <item x="690"/>
        <item x="418"/>
        <item x="689"/>
        <item x="834"/>
        <item x="445"/>
        <item x="780"/>
        <item x="221"/>
        <item x="289"/>
        <item x="807"/>
        <item x="843"/>
        <item x="693"/>
        <item x="381"/>
        <item x="679"/>
        <item x="567"/>
        <item x="60"/>
        <item x="457"/>
        <item x="645"/>
        <item x="569"/>
        <item x="858"/>
        <item x="86"/>
        <item x="258"/>
        <item x="770"/>
        <item x="70"/>
        <item x="118"/>
        <item x="852"/>
        <item x="676"/>
        <item x="495"/>
        <item x="40"/>
        <item x="152"/>
        <item x="464"/>
        <item x="677"/>
        <item x="362"/>
        <item x="271"/>
        <item x="767"/>
        <item x="265"/>
        <item x="436"/>
        <item x="762"/>
        <item x="701"/>
        <item x="404"/>
        <item x="103"/>
        <item x="758"/>
        <item x="66"/>
        <item x="461"/>
        <item x="385"/>
        <item x="554"/>
        <item x="694"/>
        <item x="429"/>
        <item x="735"/>
        <item x="638"/>
        <item x="452"/>
        <item x="165"/>
        <item x="475"/>
        <item x="107"/>
        <item x="4"/>
        <item x="522"/>
        <item x="675"/>
        <item x="868"/>
        <item x="199"/>
        <item x="572"/>
        <item x="708"/>
        <item x="825"/>
        <item x="389"/>
        <item x="584"/>
        <item x="548"/>
        <item x="321"/>
        <item x="800"/>
        <item x="80"/>
        <item x="184"/>
        <item x="449"/>
        <item x="637"/>
        <item x="557"/>
        <item x="700"/>
        <item x="217"/>
        <item x="520"/>
        <item x="57"/>
        <item x="384"/>
        <item x="159"/>
        <item x="611"/>
        <item x="203"/>
        <item x="259"/>
        <item x="349"/>
        <item x="84"/>
        <item x="835"/>
        <item x="709"/>
        <item x="506"/>
        <item x="442"/>
        <item x="372"/>
        <item x="746"/>
        <item x="878"/>
        <item x="416"/>
        <item x="269"/>
        <item x="706"/>
        <item x="119"/>
        <item x="812"/>
        <item x="123"/>
        <item x="336"/>
        <item x="114"/>
        <item x="839"/>
        <item x="392"/>
        <item x="856"/>
        <item x="463"/>
        <item x="625"/>
        <item x="124"/>
        <item x="110"/>
        <item x="386"/>
        <item x="37"/>
        <item x="162"/>
        <item x="196"/>
        <item x="545"/>
        <item x="47"/>
        <item x="415"/>
        <item x="419"/>
        <item x="662"/>
        <item x="874"/>
        <item x="849"/>
        <item x="272"/>
        <item x="884"/>
        <item x="136"/>
        <item x="291"/>
        <item x="740"/>
        <item x="726"/>
        <item x="76"/>
        <item x="802"/>
        <item x="241"/>
        <item x="374"/>
        <item x="411"/>
        <item x="779"/>
        <item x="774"/>
        <item x="697"/>
        <item x="465"/>
        <item x="561"/>
        <item x="523"/>
        <item x="851"/>
        <item x="881"/>
        <item x="738"/>
        <item x="744"/>
        <item x="113"/>
        <item x="133"/>
        <item x="836"/>
        <item x="181"/>
        <item x="300"/>
        <item x="556"/>
        <item x="247"/>
        <item x="489"/>
        <item x="335"/>
        <item x="353"/>
        <item x="504"/>
        <item x="21"/>
        <item x="772"/>
        <item x="139"/>
        <item x="248"/>
        <item x="367"/>
        <item x="686"/>
        <item x="11"/>
        <item x="164"/>
        <item x="551"/>
        <item x="713"/>
        <item x="805"/>
        <item x="142"/>
        <item x="810"/>
        <item x="529"/>
        <item x="587"/>
        <item x="150"/>
        <item x="672"/>
        <item x="477"/>
        <item x="73"/>
        <item x="206"/>
        <item x="875"/>
        <item x="85"/>
        <item x="52"/>
        <item x="610"/>
        <item x="565"/>
        <item x="656"/>
        <item x="245"/>
        <item x="737"/>
        <item x="59"/>
        <item x="745"/>
        <item x="357"/>
        <item x="311"/>
        <item x="120"/>
        <item x="211"/>
        <item x="458"/>
        <item x="182"/>
        <item x="264"/>
        <item x="167"/>
        <item x="97"/>
        <item x="646"/>
        <item x="754"/>
        <item x="515"/>
        <item x="566"/>
        <item x="671"/>
        <item x="314"/>
        <item x="5"/>
        <item x="81"/>
        <item x="352"/>
        <item x="440"/>
        <item x="26"/>
        <item x="111"/>
        <item x="599"/>
        <item x="696"/>
        <item x="670"/>
        <item x="102"/>
        <item x="628"/>
        <item x="146"/>
        <item x="398"/>
        <item x="473"/>
        <item x="64"/>
        <item x="616"/>
        <item x="558"/>
        <item x="394"/>
        <item x="631"/>
        <item x="593"/>
        <item x="725"/>
        <item x="396"/>
        <item x="626"/>
        <item x="866"/>
        <item x="771"/>
        <item x="755"/>
        <item x="659"/>
        <item x="513"/>
        <item x="722"/>
        <item x="619"/>
        <item x="260"/>
        <item x="155"/>
        <item x="0"/>
        <item x="544"/>
        <item x="125"/>
        <item x="153"/>
        <item x="61"/>
        <item x="216"/>
        <item x="56"/>
        <item x="769"/>
        <item x="290"/>
        <item x="383"/>
        <item x="434"/>
        <item x="232"/>
        <item x="570"/>
        <item x="131"/>
        <item x="315"/>
        <item x="564"/>
        <item x="117"/>
        <item x="518"/>
        <item x="560"/>
        <item x="578"/>
        <item x="542"/>
        <item x="20"/>
        <item x="190"/>
        <item x="785"/>
        <item x="242"/>
        <item x="134"/>
        <item x="94"/>
        <item x="456"/>
        <item x="485"/>
        <item x="879"/>
        <item x="768"/>
        <item x="530"/>
        <item x="36"/>
        <item x="322"/>
        <item x="695"/>
        <item x="10"/>
        <item x="14"/>
        <item x="9"/>
        <item x="387"/>
        <item x="886"/>
        <item x="582"/>
        <item x="804"/>
        <item x="811"/>
        <item x="511"/>
        <item x="334"/>
        <item x="169"/>
        <item x="91"/>
        <item x="395"/>
        <item x="609"/>
        <item x="328"/>
        <item x="317"/>
        <item x="576"/>
        <item x="635"/>
        <item x="827"/>
        <item x="507"/>
        <item x="337"/>
        <item x="605"/>
        <item x="50"/>
        <item x="316"/>
        <item x="329"/>
        <item x="870"/>
        <item x="158"/>
        <item x="263"/>
        <item x="303"/>
        <item x="16"/>
        <item x="228"/>
        <item x="318"/>
        <item x="531"/>
        <item x="178"/>
        <item x="240"/>
        <item x="276"/>
        <item x="121"/>
        <item x="355"/>
        <item x="278"/>
        <item x="714"/>
        <item x="168"/>
        <item x="143"/>
        <item x="261"/>
        <item x="764"/>
        <item x="78"/>
        <item x="244"/>
        <item x="400"/>
        <item x="476"/>
        <item x="698"/>
        <item x="861"/>
        <item x="669"/>
        <item x="454"/>
        <item x="448"/>
        <item x="517"/>
        <item x="243"/>
        <item x="446"/>
        <item x="819"/>
        <item x="347"/>
        <item x="208"/>
        <item x="171"/>
        <item x="591"/>
        <item x="688"/>
        <item x="179"/>
        <item x="806"/>
        <item x="500"/>
        <item x="96"/>
        <item x="71"/>
        <item x="46"/>
        <item x="853"/>
        <item x="193"/>
        <item x="204"/>
        <item x="207"/>
        <item x="88"/>
        <item x="732"/>
        <item x="90"/>
        <item x="585"/>
        <item x="673"/>
        <item x="325"/>
        <item x="497"/>
        <item x="205"/>
        <item x="144"/>
        <item x="657"/>
        <item x="667"/>
        <item x="62"/>
        <item x="501"/>
        <item x="718"/>
        <item x="306"/>
        <item x="408"/>
        <item x="639"/>
        <item x="175"/>
        <item x="147"/>
        <item x="553"/>
        <item x="141"/>
        <item x="189"/>
        <item x="63"/>
        <item x="880"/>
        <item x="388"/>
        <item x="6"/>
        <item x="729"/>
        <item x="824"/>
        <item x="580"/>
        <item x="104"/>
        <item x="447"/>
        <item x="29"/>
        <item x="683"/>
        <item x="813"/>
        <item x="536"/>
        <item x="69"/>
        <item x="215"/>
        <item x="132"/>
        <item x="55"/>
        <item x="351"/>
        <item x="268"/>
        <item x="410"/>
        <item x="493"/>
        <item x="711"/>
        <item x="606"/>
        <item x="197"/>
        <item x="296"/>
        <item x="788"/>
        <item x="808"/>
        <item x="345"/>
        <item x="246"/>
        <item x="873"/>
        <item x="753"/>
        <item x="776"/>
        <item x="405"/>
        <item x="286"/>
        <item x="302"/>
        <item x="202"/>
        <item x="435"/>
        <item x="715"/>
        <item x="630"/>
        <item x="614"/>
        <item x="592"/>
        <item x="717"/>
        <item x="138"/>
        <item x="350"/>
        <item x="100"/>
        <item x="83"/>
        <item x="494"/>
        <item x="252"/>
        <item x="685"/>
        <item x="791"/>
        <item x="664"/>
        <item x="122"/>
        <item x="282"/>
        <item x="239"/>
        <item x="75"/>
        <item x="254"/>
        <item x="391"/>
        <item x="869"/>
        <item x="704"/>
        <item x="15"/>
        <item x="116"/>
        <item x="857"/>
        <item x="222"/>
        <item x="201"/>
        <item x="79"/>
        <item x="782"/>
        <item x="533"/>
        <item x="18"/>
        <item x="577"/>
        <item x="846"/>
        <item x="699"/>
        <item x="25"/>
        <item x="647"/>
        <item x="361"/>
        <item x="307"/>
        <item x="823"/>
        <item x="739"/>
        <item x="549"/>
        <item x="837"/>
        <item x="468"/>
        <item x="365"/>
        <item x="467"/>
        <item x="783"/>
        <item x="39"/>
        <item x="115"/>
        <item x="796"/>
        <item x="487"/>
        <item x="234"/>
        <item x="33"/>
        <item x="833"/>
        <item x="742"/>
        <item x="195"/>
        <item x="287"/>
        <item x="32"/>
        <item x="441"/>
        <item x="617"/>
        <item x="598"/>
        <item x="437"/>
        <item x="105"/>
        <item x="790"/>
        <item x="538"/>
        <item x="848"/>
        <item x="547"/>
        <item x="831"/>
        <item x="498"/>
        <item x="660"/>
        <item x="214"/>
        <item x="443"/>
        <item x="629"/>
        <item x="348"/>
        <item x="262"/>
        <item x="604"/>
        <item x="320"/>
        <item x="42"/>
        <item x="574"/>
        <item x="312"/>
        <item x="126"/>
        <item x="801"/>
        <item x="137"/>
        <item x="285"/>
        <item x="407"/>
        <item x="127"/>
        <item x="719"/>
        <item x="403"/>
        <item x="654"/>
        <item x="30"/>
        <item x="423"/>
        <item x="765"/>
        <item x="444"/>
        <item x="773"/>
        <item x="480"/>
        <item x="422"/>
        <item x="298"/>
        <item x="297"/>
        <item x="149"/>
        <item x="414"/>
        <item x="174"/>
        <item x="526"/>
        <item x="750"/>
        <item x="863"/>
        <item x="377"/>
        <item x="8"/>
        <item x="428"/>
        <item x="462"/>
        <item x="65"/>
        <item x="888"/>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Profit" fld="11" baseField="0" baseItem="0"/>
  </dataFields>
  <chartFormats count="3">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C231DD-467E-444F-9344-65361BDB69D3}"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6">
  <location ref="J1:L92" firstHeaderRow="0" firstDataRow="1" firstDataCol="1"/>
  <pivotFields count="16">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91">
        <item x="11"/>
        <item x="24"/>
        <item x="41"/>
        <item x="81"/>
        <item x="49"/>
        <item x="79"/>
        <item x="72"/>
        <item x="73"/>
        <item x="32"/>
        <item x="65"/>
        <item x="82"/>
        <item x="76"/>
        <item x="16"/>
        <item x="74"/>
        <item x="29"/>
        <item x="20"/>
        <item x="44"/>
        <item x="35"/>
        <item x="54"/>
        <item x="33"/>
        <item x="63"/>
        <item x="67"/>
        <item x="71"/>
        <item x="15"/>
        <item x="23"/>
        <item x="19"/>
        <item x="48"/>
        <item x="68"/>
        <item x="75"/>
        <item x="36"/>
        <item x="86"/>
        <item x="87"/>
        <item x="60"/>
        <item x="58"/>
        <item x="3"/>
        <item x="40"/>
        <item x="52"/>
        <item x="6"/>
        <item x="0"/>
        <item x="43"/>
        <item x="55"/>
        <item x="39"/>
        <item x="59"/>
        <item x="8"/>
        <item x="5"/>
        <item x="50"/>
        <item x="7"/>
        <item x="57"/>
        <item x="85"/>
        <item x="69"/>
        <item x="2"/>
        <item x="77"/>
        <item x="12"/>
        <item x="53"/>
        <item x="13"/>
        <item x="88"/>
        <item x="1"/>
        <item x="37"/>
        <item x="25"/>
        <item x="56"/>
        <item x="31"/>
        <item x="30"/>
        <item x="46"/>
        <item x="80"/>
        <item x="45"/>
        <item x="84"/>
        <item x="42"/>
        <item x="66"/>
        <item x="26"/>
        <item x="10"/>
        <item x="51"/>
        <item x="89"/>
        <item x="28"/>
        <item x="64"/>
        <item x="38"/>
        <item x="70"/>
        <item x="83"/>
        <item x="27"/>
        <item x="4"/>
        <item x="14"/>
        <item x="18"/>
        <item x="9"/>
        <item x="34"/>
        <item x="47"/>
        <item x="61"/>
        <item x="62"/>
        <item x="21"/>
        <item x="78"/>
        <item x="17"/>
        <item x="22"/>
        <item t="default"/>
      </items>
    </pivotField>
    <pivotField showAll="0">
      <items count="11">
        <item x="7"/>
        <item x="9"/>
        <item x="8"/>
        <item x="3"/>
        <item x="0"/>
        <item x="2"/>
        <item x="1"/>
        <item x="6"/>
        <item x="4"/>
        <item x="5"/>
        <item t="default"/>
      </items>
    </pivotField>
    <pivotField showAll="0">
      <items count="11">
        <item x="5"/>
        <item x="4"/>
        <item x="0"/>
        <item x="9"/>
        <item x="7"/>
        <item x="8"/>
        <item x="1"/>
        <item x="6"/>
        <item x="2"/>
        <item x="3"/>
        <item t="default"/>
      </items>
    </pivotField>
    <pivotField numFmtId="14" showAll="0">
      <items count="540">
        <item x="333"/>
        <item x="247"/>
        <item x="274"/>
        <item x="351"/>
        <item x="393"/>
        <item x="38"/>
        <item x="537"/>
        <item x="438"/>
        <item x="221"/>
        <item x="265"/>
        <item x="117"/>
        <item x="159"/>
        <item x="70"/>
        <item x="134"/>
        <item x="499"/>
        <item x="230"/>
        <item x="510"/>
        <item x="464"/>
        <item x="1"/>
        <item x="65"/>
        <item x="210"/>
        <item x="476"/>
        <item x="317"/>
        <item x="425"/>
        <item x="307"/>
        <item x="187"/>
        <item x="407"/>
        <item x="142"/>
        <item x="364"/>
        <item x="4"/>
        <item x="37"/>
        <item x="207"/>
        <item x="270"/>
        <item x="296"/>
        <item x="308"/>
        <item x="328"/>
        <item x="195"/>
        <item x="414"/>
        <item x="75"/>
        <item x="211"/>
        <item x="292"/>
        <item x="520"/>
        <item x="29"/>
        <item x="374"/>
        <item x="522"/>
        <item x="121"/>
        <item x="21"/>
        <item x="445"/>
        <item x="80"/>
        <item x="390"/>
        <item x="181"/>
        <item x="299"/>
        <item x="361"/>
        <item x="226"/>
        <item x="101"/>
        <item x="512"/>
        <item x="252"/>
        <item x="266"/>
        <item x="277"/>
        <item x="17"/>
        <item x="306"/>
        <item x="415"/>
        <item x="401"/>
        <item x="184"/>
        <item x="205"/>
        <item x="148"/>
        <item x="284"/>
        <item x="329"/>
        <item x="406"/>
        <item x="23"/>
        <item x="241"/>
        <item x="113"/>
        <item x="503"/>
        <item x="143"/>
        <item x="243"/>
        <item x="136"/>
        <item x="222"/>
        <item x="336"/>
        <item x="360"/>
        <item x="473"/>
        <item x="505"/>
        <item x="198"/>
        <item x="325"/>
        <item x="135"/>
        <item x="44"/>
        <item x="250"/>
        <item x="268"/>
        <item x="305"/>
        <item x="158"/>
        <item x="114"/>
        <item x="262"/>
        <item x="154"/>
        <item x="497"/>
        <item x="39"/>
        <item x="177"/>
        <item x="490"/>
        <item x="417"/>
        <item x="22"/>
        <item x="163"/>
        <item x="337"/>
        <item x="164"/>
        <item x="157"/>
        <item x="339"/>
        <item x="237"/>
        <item x="110"/>
        <item x="295"/>
        <item x="276"/>
        <item x="169"/>
        <item x="342"/>
        <item x="397"/>
        <item x="52"/>
        <item x="460"/>
        <item x="489"/>
        <item x="371"/>
        <item x="218"/>
        <item x="348"/>
        <item x="3"/>
        <item x="354"/>
        <item x="196"/>
        <item x="288"/>
        <item x="355"/>
        <item x="267"/>
        <item x="280"/>
        <item x="18"/>
        <item x="99"/>
        <item x="321"/>
        <item x="253"/>
        <item x="190"/>
        <item x="179"/>
        <item x="449"/>
        <item x="311"/>
        <item x="245"/>
        <item x="106"/>
        <item x="451"/>
        <item x="235"/>
        <item x="518"/>
        <item x="151"/>
        <item x="394"/>
        <item x="526"/>
        <item x="405"/>
        <item x="246"/>
        <item x="534"/>
        <item x="395"/>
        <item x="492"/>
        <item x="183"/>
        <item x="73"/>
        <item x="467"/>
        <item x="186"/>
        <item x="462"/>
        <item x="432"/>
        <item x="42"/>
        <item x="443"/>
        <item x="261"/>
        <item x="36"/>
        <item x="458"/>
        <item x="436"/>
        <item x="244"/>
        <item x="495"/>
        <item x="340"/>
        <item x="367"/>
        <item x="214"/>
        <item x="69"/>
        <item x="27"/>
        <item x="286"/>
        <item x="282"/>
        <item x="430"/>
        <item x="53"/>
        <item x="2"/>
        <item x="137"/>
        <item x="155"/>
        <item x="344"/>
        <item x="346"/>
        <item x="320"/>
        <item x="228"/>
        <item x="83"/>
        <item x="370"/>
        <item x="409"/>
        <item x="94"/>
        <item x="326"/>
        <item x="386"/>
        <item x="104"/>
        <item x="423"/>
        <item x="377"/>
        <item x="160"/>
        <item x="400"/>
        <item x="424"/>
        <item x="528"/>
        <item x="263"/>
        <item x="256"/>
        <item x="422"/>
        <item x="64"/>
        <item x="162"/>
        <item x="102"/>
        <item x="219"/>
        <item x="465"/>
        <item x="63"/>
        <item x="315"/>
        <item x="35"/>
        <item x="10"/>
        <item x="92"/>
        <item x="531"/>
        <item x="231"/>
        <item x="324"/>
        <item x="431"/>
        <item x="312"/>
        <item x="0"/>
        <item x="116"/>
        <item x="6"/>
        <item x="236"/>
        <item x="185"/>
        <item x="215"/>
        <item x="516"/>
        <item x="197"/>
        <item x="376"/>
        <item x="375"/>
        <item x="88"/>
        <item x="86"/>
        <item x="132"/>
        <item x="527"/>
        <item x="90"/>
        <item x="426"/>
        <item x="502"/>
        <item x="298"/>
        <item x="74"/>
        <item x="78"/>
        <item x="314"/>
        <item x="232"/>
        <item x="223"/>
        <item x="509"/>
        <item x="515"/>
        <item x="508"/>
        <item x="413"/>
        <item x="72"/>
        <item x="281"/>
        <item x="290"/>
        <item x="165"/>
        <item x="272"/>
        <item x="66"/>
        <item x="491"/>
        <item x="45"/>
        <item x="32"/>
        <item x="193"/>
        <item x="418"/>
        <item x="212"/>
        <item x="57"/>
        <item x="271"/>
        <item x="178"/>
        <item x="384"/>
        <item x="411"/>
        <item x="109"/>
        <item x="43"/>
        <item x="199"/>
        <item x="357"/>
        <item x="41"/>
        <item x="446"/>
        <item x="428"/>
        <item x="479"/>
        <item x="20"/>
        <item x="167"/>
        <item x="227"/>
        <item x="149"/>
        <item x="396"/>
        <item x="388"/>
        <item x="93"/>
        <item x="379"/>
        <item x="85"/>
        <item x="126"/>
        <item x="128"/>
        <item x="125"/>
        <item x="521"/>
        <item x="40"/>
        <item x="289"/>
        <item x="166"/>
        <item x="533"/>
        <item x="349"/>
        <item x="11"/>
        <item x="485"/>
        <item x="334"/>
        <item x="108"/>
        <item x="323"/>
        <item x="141"/>
        <item x="302"/>
        <item x="213"/>
        <item x="511"/>
        <item x="220"/>
        <item x="242"/>
        <item x="297"/>
        <item x="192"/>
        <item x="488"/>
        <item x="472"/>
        <item x="398"/>
        <item x="442"/>
        <item x="91"/>
        <item x="251"/>
        <item x="456"/>
        <item x="156"/>
        <item x="345"/>
        <item x="111"/>
        <item x="61"/>
        <item x="535"/>
        <item x="194"/>
        <item x="175"/>
        <item x="440"/>
        <item x="77"/>
        <item x="24"/>
        <item x="49"/>
        <item x="380"/>
        <item x="353"/>
        <item x="79"/>
        <item x="507"/>
        <item x="450"/>
        <item x="421"/>
        <item x="58"/>
        <item x="202"/>
        <item x="331"/>
        <item x="416"/>
        <item x="524"/>
        <item x="60"/>
        <item x="318"/>
        <item x="118"/>
        <item x="25"/>
        <item x="28"/>
        <item x="373"/>
        <item x="123"/>
        <item x="359"/>
        <item x="122"/>
        <item x="100"/>
        <item x="481"/>
        <item x="322"/>
        <item x="278"/>
        <item x="493"/>
        <item x="293"/>
        <item x="34"/>
        <item x="82"/>
        <item x="234"/>
        <item x="105"/>
        <item x="538"/>
        <item x="131"/>
        <item x="459"/>
        <item x="350"/>
        <item x="203"/>
        <item x="408"/>
        <item x="369"/>
        <item x="404"/>
        <item x="119"/>
        <item x="279"/>
        <item x="14"/>
        <item x="257"/>
        <item x="439"/>
        <item x="96"/>
        <item x="233"/>
        <item x="453"/>
        <item x="447"/>
        <item x="478"/>
        <item x="356"/>
        <item x="454"/>
        <item x="389"/>
        <item x="54"/>
        <item x="50"/>
        <item x="76"/>
        <item x="529"/>
        <item x="71"/>
        <item x="461"/>
        <item x="433"/>
        <item x="304"/>
        <item x="120"/>
        <item x="455"/>
        <item x="498"/>
        <item x="107"/>
        <item x="410"/>
        <item x="68"/>
        <item x="56"/>
        <item x="358"/>
        <item x="500"/>
        <item x="16"/>
        <item x="301"/>
        <item x="309"/>
        <item x="474"/>
        <item x="501"/>
        <item x="95"/>
        <item x="269"/>
        <item x="216"/>
        <item x="530"/>
        <item x="171"/>
        <item x="517"/>
        <item x="338"/>
        <item x="33"/>
        <item x="161"/>
        <item x="30"/>
        <item x="327"/>
        <item x="255"/>
        <item x="51"/>
        <item x="366"/>
        <item x="368"/>
        <item x="87"/>
        <item x="84"/>
        <item x="399"/>
        <item x="335"/>
        <item x="144"/>
        <item x="391"/>
        <item x="291"/>
        <item x="224"/>
        <item x="170"/>
        <item x="129"/>
        <item x="209"/>
        <item x="188"/>
        <item x="7"/>
        <item x="258"/>
        <item x="352"/>
        <item x="150"/>
        <item x="300"/>
        <item x="519"/>
        <item x="225"/>
        <item x="287"/>
        <item x="259"/>
        <item x="55"/>
        <item x="532"/>
        <item x="362"/>
        <item x="89"/>
        <item x="13"/>
        <item x="174"/>
        <item x="435"/>
        <item x="347"/>
        <item x="504"/>
        <item x="332"/>
        <item x="206"/>
        <item x="482"/>
        <item x="412"/>
        <item x="124"/>
        <item x="217"/>
        <item x="303"/>
        <item x="115"/>
        <item x="9"/>
        <item x="130"/>
        <item x="264"/>
        <item x="31"/>
        <item x="483"/>
        <item x="204"/>
        <item x="383"/>
        <item x="457"/>
        <item x="5"/>
        <item x="471"/>
        <item x="470"/>
        <item x="466"/>
        <item x="189"/>
        <item x="59"/>
        <item x="378"/>
        <item x="103"/>
        <item x="254"/>
        <item x="463"/>
        <item x="140"/>
        <item x="62"/>
        <item x="239"/>
        <item x="147"/>
        <item x="419"/>
        <item x="248"/>
        <item x="238"/>
        <item x="484"/>
        <item x="469"/>
        <item x="310"/>
        <item x="182"/>
        <item x="420"/>
        <item x="15"/>
        <item x="452"/>
        <item x="152"/>
        <item x="191"/>
        <item x="385"/>
        <item x="363"/>
        <item x="168"/>
        <item x="112"/>
        <item x="477"/>
        <item x="98"/>
        <item x="229"/>
        <item x="127"/>
        <item x="273"/>
        <item x="47"/>
        <item x="437"/>
        <item x="260"/>
        <item x="139"/>
        <item x="494"/>
        <item x="387"/>
        <item x="506"/>
        <item x="145"/>
        <item x="381"/>
        <item x="319"/>
        <item x="480"/>
        <item x="513"/>
        <item x="201"/>
        <item x="427"/>
        <item x="180"/>
        <item x="176"/>
        <item x="475"/>
        <item x="402"/>
        <item x="285"/>
        <item x="240"/>
        <item x="81"/>
        <item x="365"/>
        <item x="97"/>
        <item x="26"/>
        <item x="441"/>
        <item x="138"/>
        <item x="146"/>
        <item x="275"/>
        <item x="536"/>
        <item x="316"/>
        <item x="67"/>
        <item x="434"/>
        <item x="392"/>
        <item x="294"/>
        <item x="200"/>
        <item x="19"/>
        <item x="249"/>
        <item x="341"/>
        <item x="382"/>
        <item x="283"/>
        <item x="153"/>
        <item x="12"/>
        <item x="173"/>
        <item x="208"/>
        <item x="8"/>
        <item x="487"/>
        <item x="468"/>
        <item x="313"/>
        <item x="330"/>
        <item x="343"/>
        <item x="496"/>
        <item x="525"/>
        <item x="172"/>
        <item x="523"/>
        <item x="448"/>
        <item x="48"/>
        <item x="372"/>
        <item x="444"/>
        <item x="133"/>
        <item x="403"/>
        <item x="46"/>
        <item x="429"/>
        <item x="514"/>
        <item x="486"/>
        <item t="default"/>
      </items>
    </pivotField>
    <pivotField showAll="0"/>
    <pivotField showAll="0">
      <items count="6">
        <item h="1" x="4"/>
        <item h="1" x="2"/>
        <item h="1" x="3"/>
        <item h="1" x="0"/>
        <item x="1"/>
        <item t="default"/>
      </items>
    </pivotField>
    <pivotField showAll="0"/>
    <pivotField showAll="0"/>
    <pivotField dataField="1" showAll="0">
      <items count="998">
        <item x="945"/>
        <item x="642"/>
        <item x="703"/>
        <item x="823"/>
        <item x="467"/>
        <item x="510"/>
        <item x="363"/>
        <item x="866"/>
        <item x="754"/>
        <item x="929"/>
        <item x="375"/>
        <item x="521"/>
        <item x="941"/>
        <item x="590"/>
        <item x="323"/>
        <item x="850"/>
        <item x="406"/>
        <item x="143"/>
        <item x="90"/>
        <item x="756"/>
        <item x="192"/>
        <item x="525"/>
        <item x="936"/>
        <item x="196"/>
        <item x="849"/>
        <item x="905"/>
        <item x="894"/>
        <item x="251"/>
        <item x="915"/>
        <item x="470"/>
        <item x="684"/>
        <item x="815"/>
        <item x="430"/>
        <item x="723"/>
        <item x="845"/>
        <item x="696"/>
        <item x="217"/>
        <item x="851"/>
        <item x="629"/>
        <item x="337"/>
        <item x="386"/>
        <item x="371"/>
        <item x="717"/>
        <item x="2"/>
        <item x="710"/>
        <item x="488"/>
        <item x="986"/>
        <item x="83"/>
        <item x="409"/>
        <item x="733"/>
        <item x="81"/>
        <item x="564"/>
        <item x="570"/>
        <item x="706"/>
        <item x="826"/>
        <item x="718"/>
        <item x="952"/>
        <item x="278"/>
        <item x="485"/>
        <item x="778"/>
        <item x="175"/>
        <item x="269"/>
        <item x="27"/>
        <item x="980"/>
        <item x="611"/>
        <item x="747"/>
        <item x="927"/>
        <item x="301"/>
        <item x="931"/>
        <item x="360"/>
        <item x="646"/>
        <item x="776"/>
        <item x="314"/>
        <item x="149"/>
        <item x="427"/>
        <item x="458"/>
        <item x="619"/>
        <item x="231"/>
        <item x="904"/>
        <item x="582"/>
        <item x="322"/>
        <item x="165"/>
        <item x="848"/>
        <item x="911"/>
        <item x="841"/>
        <item x="868"/>
        <item x="777"/>
        <item x="358"/>
        <item x="402"/>
        <item x="679"/>
        <item x="164"/>
        <item x="66"/>
        <item x="198"/>
        <item x="146"/>
        <item x="448"/>
        <item x="482"/>
        <item x="847"/>
        <item x="967"/>
        <item x="959"/>
        <item x="442"/>
        <item x="831"/>
        <item x="670"/>
        <item x="440"/>
        <item x="463"/>
        <item x="42"/>
        <item x="383"/>
        <item x="719"/>
        <item x="978"/>
        <item x="120"/>
        <item x="248"/>
        <item x="156"/>
        <item x="839"/>
        <item x="580"/>
        <item x="601"/>
        <item x="303"/>
        <item x="234"/>
        <item x="99"/>
        <item x="162"/>
        <item x="729"/>
        <item x="355"/>
        <item x="306"/>
        <item x="557"/>
        <item x="816"/>
        <item x="840"/>
        <item x="68"/>
        <item x="305"/>
        <item x="102"/>
        <item x="686"/>
        <item x="239"/>
        <item x="288"/>
        <item x="330"/>
        <item x="493"/>
        <item x="109"/>
        <item x="560"/>
        <item x="221"/>
        <item x="714"/>
        <item x="349"/>
        <item x="487"/>
        <item x="592"/>
        <item x="30"/>
        <item x="552"/>
        <item x="169"/>
        <item x="800"/>
        <item x="136"/>
        <item x="240"/>
        <item x="864"/>
        <item x="168"/>
        <item x="616"/>
        <item x="889"/>
        <item x="505"/>
        <item x="107"/>
        <item x="912"/>
        <item x="591"/>
        <item x="604"/>
        <item x="613"/>
        <item x="618"/>
        <item x="235"/>
        <item x="584"/>
        <item x="607"/>
        <item x="698"/>
        <item x="284"/>
        <item x="31"/>
        <item x="1"/>
        <item x="342"/>
        <item x="654"/>
        <item x="634"/>
        <item x="558"/>
        <item x="170"/>
        <item x="751"/>
        <item x="283"/>
        <item x="24"/>
        <item x="93"/>
        <item x="511"/>
        <item x="67"/>
        <item x="878"/>
        <item x="155"/>
        <item x="937"/>
        <item x="537"/>
        <item x="261"/>
        <item x="433"/>
        <item x="242"/>
        <item x="320"/>
        <item x="996"/>
        <item x="246"/>
        <item x="803"/>
        <item x="253"/>
        <item x="453"/>
        <item x="52"/>
        <item x="933"/>
        <item x="825"/>
        <item x="229"/>
        <item x="984"/>
        <item x="745"/>
        <item x="624"/>
        <item x="779"/>
        <item x="110"/>
        <item x="422"/>
        <item x="244"/>
        <item x="317"/>
        <item x="712"/>
        <item x="144"/>
        <item x="176"/>
        <item x="45"/>
        <item x="553"/>
        <item x="131"/>
        <item x="185"/>
        <item x="69"/>
        <item x="8"/>
        <item x="17"/>
        <item x="259"/>
        <item x="71"/>
        <item x="350"/>
        <item x="88"/>
        <item x="855"/>
        <item x="128"/>
        <item x="475"/>
        <item x="655"/>
        <item x="331"/>
        <item x="738"/>
        <item x="532"/>
        <item x="908"/>
        <item x="545"/>
        <item x="524"/>
        <item x="411"/>
        <item x="290"/>
        <item x="764"/>
        <item x="41"/>
        <item x="456"/>
        <item x="295"/>
        <item x="58"/>
        <item x="644"/>
        <item x="396"/>
        <item x="388"/>
        <item x="947"/>
        <item x="903"/>
        <item x="393"/>
        <item x="281"/>
        <item x="954"/>
        <item x="763"/>
        <item x="53"/>
        <item x="167"/>
        <item x="940"/>
        <item x="695"/>
        <item x="627"/>
        <item x="863"/>
        <item x="835"/>
        <item x="59"/>
        <item x="506"/>
        <item x="489"/>
        <item x="827"/>
        <item x="250"/>
        <item x="74"/>
        <item x="87"/>
        <item x="38"/>
        <item x="39"/>
        <item x="950"/>
        <item x="682"/>
        <item x="625"/>
        <item x="697"/>
        <item x="464"/>
        <item x="389"/>
        <item x="329"/>
        <item x="126"/>
        <item x="512"/>
        <item x="700"/>
        <item x="514"/>
        <item x="674"/>
        <item x="25"/>
        <item x="872"/>
        <item x="339"/>
        <item x="657"/>
        <item x="309"/>
        <item x="876"/>
        <item x="336"/>
        <item x="86"/>
        <item x="5"/>
        <item x="318"/>
        <item x="434"/>
        <item x="362"/>
        <item x="3"/>
        <item x="273"/>
        <item x="708"/>
        <item x="421"/>
        <item x="626"/>
        <item x="465"/>
        <item x="191"/>
        <item x="477"/>
        <item x="921"/>
        <item x="680"/>
        <item x="335"/>
        <item x="771"/>
        <item x="254"/>
        <item x="302"/>
        <item x="351"/>
        <item x="597"/>
        <item x="275"/>
        <item x="359"/>
        <item x="877"/>
        <item x="833"/>
        <item x="957"/>
        <item x="687"/>
        <item x="450"/>
        <item x="327"/>
        <item x="260"/>
        <item x="750"/>
        <item x="914"/>
        <item x="770"/>
        <item x="270"/>
        <item x="403"/>
        <item x="726"/>
        <item x="348"/>
        <item x="955"/>
        <item x="720"/>
        <item x="983"/>
        <item x="836"/>
        <item x="683"/>
        <item x="653"/>
        <item x="977"/>
        <item x="873"/>
        <item x="215"/>
        <item x="280"/>
        <item x="216"/>
        <item x="247"/>
        <item x="501"/>
        <item x="829"/>
        <item x="543"/>
        <item x="491"/>
        <item x="701"/>
        <item x="479"/>
        <item x="534"/>
        <item x="882"/>
        <item x="704"/>
        <item x="432"/>
        <item x="659"/>
        <item x="159"/>
        <item x="541"/>
        <item x="971"/>
        <item x="446"/>
        <item x="28"/>
        <item x="29"/>
        <item x="652"/>
        <item x="390"/>
        <item x="312"/>
        <item x="702"/>
        <item x="757"/>
        <item x="608"/>
        <item x="210"/>
        <item x="828"/>
        <item x="793"/>
        <item x="414"/>
        <item x="520"/>
        <item x="802"/>
        <item x="551"/>
        <item x="50"/>
        <item x="806"/>
        <item x="271"/>
        <item x="124"/>
        <item x="749"/>
        <item x="759"/>
        <item x="63"/>
        <item x="739"/>
        <item x="789"/>
        <item x="857"/>
        <item x="982"/>
        <item x="811"/>
        <item x="21"/>
        <item x="341"/>
        <item x="651"/>
        <item x="769"/>
        <item x="469"/>
        <item x="735"/>
        <item x="307"/>
        <item x="187"/>
        <item x="817"/>
        <item x="289"/>
        <item x="887"/>
        <item x="141"/>
        <item x="594"/>
        <item x="195"/>
        <item x="531"/>
        <item x="869"/>
        <item x="173"/>
        <item x="832"/>
        <item x="886"/>
        <item x="367"/>
        <item x="32"/>
        <item x="767"/>
        <item x="928"/>
        <item x="799"/>
        <item x="79"/>
        <item x="35"/>
        <item x="862"/>
        <item x="439"/>
        <item x="419"/>
        <item x="96"/>
        <item x="656"/>
        <item x="328"/>
        <item x="49"/>
        <item x="529"/>
        <item x="40"/>
        <item x="441"/>
        <item x="180"/>
        <item x="286"/>
        <item x="762"/>
        <item x="787"/>
        <item x="509"/>
        <item x="834"/>
        <item x="813"/>
        <item x="649"/>
        <item x="556"/>
        <item x="223"/>
        <item x="366"/>
        <item x="730"/>
        <item x="112"/>
        <item x="920"/>
        <item x="54"/>
        <item x="643"/>
        <item x="346"/>
        <item x="573"/>
        <item x="969"/>
        <item x="326"/>
        <item x="183"/>
        <item x="508"/>
        <item x="628"/>
        <item x="572"/>
        <item x="417"/>
        <item x="790"/>
        <item x="503"/>
        <item x="72"/>
        <item x="98"/>
        <item x="766"/>
        <item x="808"/>
        <item x="395"/>
        <item x="202"/>
        <item x="436"/>
        <item x="515"/>
        <item x="473"/>
        <item x="563"/>
        <item x="744"/>
        <item x="807"/>
        <item x="780"/>
        <item x="378"/>
        <item x="92"/>
        <item x="416"/>
        <item x="357"/>
        <item x="893"/>
        <item x="944"/>
        <item x="540"/>
        <item x="122"/>
        <item x="741"/>
        <item x="282"/>
        <item x="95"/>
        <item x="548"/>
        <item x="75"/>
        <item x="621"/>
        <item x="73"/>
        <item x="454"/>
        <item x="472"/>
        <item x="818"/>
        <item x="809"/>
        <item x="801"/>
        <item x="276"/>
        <item x="574"/>
        <item x="782"/>
        <item x="740"/>
        <item x="486"/>
        <item x="612"/>
        <item x="447"/>
        <item x="716"/>
        <item x="536"/>
        <item x="974"/>
        <item x="647"/>
        <item x="522"/>
        <item x="705"/>
        <item x="658"/>
        <item x="961"/>
        <item x="257"/>
        <item x="133"/>
        <item x="100"/>
        <item x="392"/>
        <item x="681"/>
        <item x="550"/>
        <item x="639"/>
        <item x="241"/>
        <item x="36"/>
        <item x="34"/>
        <item x="925"/>
        <item x="690"/>
        <item x="181"/>
        <item x="179"/>
        <item x="970"/>
        <item x="130"/>
        <item x="361"/>
        <item x="437"/>
        <item x="12"/>
        <item x="985"/>
        <item x="26"/>
        <item x="483"/>
        <item x="129"/>
        <item x="854"/>
        <item x="579"/>
        <item x="423"/>
        <item x="721"/>
        <item x="942"/>
        <item x="924"/>
        <item x="308"/>
        <item x="368"/>
        <item x="496"/>
        <item x="846"/>
        <item x="965"/>
        <item x="853"/>
        <item x="507"/>
        <item x="692"/>
        <item x="404"/>
        <item x="519"/>
        <item x="775"/>
        <item x="694"/>
        <item x="852"/>
        <item x="258"/>
        <item x="380"/>
        <item x="158"/>
        <item x="391"/>
        <item x="715"/>
        <item x="237"/>
        <item x="918"/>
        <item x="297"/>
        <item x="347"/>
        <item x="994"/>
        <item x="981"/>
        <item x="638"/>
        <item x="858"/>
        <item x="77"/>
        <item x="397"/>
        <item x="943"/>
        <item x="948"/>
        <item x="533"/>
        <item x="354"/>
        <item x="713"/>
        <item x="471"/>
        <item x="888"/>
        <item x="902"/>
        <item x="263"/>
        <item x="117"/>
        <item x="20"/>
        <item x="457"/>
        <item x="810"/>
        <item x="291"/>
        <item x="55"/>
        <item x="758"/>
        <item x="0"/>
        <item x="94"/>
        <item x="46"/>
        <item x="926"/>
        <item x="213"/>
        <item x="772"/>
        <item x="153"/>
        <item x="544"/>
        <item x="4"/>
        <item x="118"/>
        <item x="992"/>
        <item x="163"/>
        <item x="142"/>
        <item x="62"/>
        <item x="938"/>
        <item x="527"/>
        <item x="932"/>
        <item x="516"/>
        <item x="418"/>
        <item x="910"/>
        <item x="476"/>
        <item x="916"/>
        <item x="121"/>
        <item x="919"/>
        <item x="405"/>
        <item x="963"/>
        <item x="407"/>
        <item x="728"/>
        <item x="490"/>
        <item x="498"/>
        <item x="734"/>
        <item x="415"/>
        <item x="319"/>
        <item x="266"/>
        <item x="382"/>
        <item x="182"/>
        <item x="595"/>
        <item x="722"/>
        <item x="596"/>
        <item x="631"/>
        <item x="666"/>
        <item x="233"/>
        <item x="773"/>
        <item x="207"/>
        <item x="979"/>
        <item x="650"/>
        <item x="566"/>
        <item x="11"/>
        <item x="356"/>
        <item x="220"/>
        <item x="569"/>
        <item x="923"/>
        <item x="842"/>
        <item x="426"/>
        <item x="781"/>
        <item x="343"/>
        <item x="797"/>
        <item x="435"/>
        <item x="732"/>
        <item x="204"/>
        <item x="459"/>
        <item x="184"/>
        <item x="150"/>
        <item x="84"/>
        <item x="412"/>
        <item x="860"/>
        <item x="399"/>
        <item x="376"/>
        <item x="883"/>
        <item x="768"/>
        <item x="593"/>
        <item x="673"/>
        <item x="89"/>
        <item x="132"/>
        <item x="401"/>
        <item x="171"/>
        <item x="134"/>
        <item x="760"/>
        <item x="97"/>
        <item x="665"/>
        <item x="824"/>
        <item x="962"/>
        <item x="585"/>
        <item x="15"/>
        <item x="265"/>
        <item x="993"/>
        <item x="444"/>
        <item x="614"/>
        <item x="668"/>
        <item x="227"/>
        <item x="707"/>
        <item x="478"/>
        <item x="334"/>
        <item x="224"/>
        <item x="669"/>
        <item x="538"/>
        <item x="6"/>
        <item x="379"/>
        <item x="953"/>
        <item x="462"/>
        <item x="424"/>
        <item x="731"/>
        <item x="174"/>
        <item x="114"/>
        <item x="838"/>
        <item x="727"/>
        <item x="930"/>
        <item x="461"/>
        <item x="632"/>
        <item x="504"/>
        <item x="497"/>
        <item x="783"/>
        <item x="365"/>
        <item x="125"/>
        <item x="535"/>
        <item x="786"/>
        <item x="603"/>
        <item x="139"/>
        <item x="898"/>
        <item x="725"/>
        <item x="900"/>
        <item x="637"/>
        <item x="203"/>
        <item x="907"/>
        <item x="384"/>
        <item x="530"/>
        <item x="177"/>
        <item x="991"/>
        <item x="438"/>
        <item x="428"/>
        <item x="65"/>
        <item x="64"/>
        <item x="225"/>
        <item x="755"/>
        <item x="752"/>
        <item x="874"/>
        <item x="901"/>
        <item x="272"/>
        <item x="814"/>
        <item x="316"/>
        <item x="236"/>
        <item x="547"/>
        <item x="743"/>
        <item x="48"/>
        <item x="495"/>
        <item x="228"/>
        <item x="562"/>
        <item x="946"/>
        <item x="252"/>
        <item x="995"/>
        <item x="190"/>
        <item x="895"/>
        <item x="988"/>
        <item x="123"/>
        <item x="33"/>
        <item x="138"/>
        <item x="819"/>
        <item x="549"/>
        <item x="589"/>
        <item x="964"/>
        <item x="880"/>
        <item x="640"/>
        <item x="990"/>
        <item x="884"/>
        <item x="699"/>
        <item x="255"/>
        <item x="268"/>
        <item x="116"/>
        <item x="115"/>
        <item x="193"/>
        <item x="372"/>
        <item x="660"/>
        <item x="161"/>
        <item x="420"/>
        <item x="664"/>
        <item x="199"/>
        <item x="480"/>
        <item x="672"/>
        <item x="82"/>
        <item x="844"/>
        <item x="617"/>
        <item x="197"/>
        <item x="160"/>
        <item x="897"/>
        <item x="678"/>
        <item x="332"/>
        <item x="338"/>
        <item x="7"/>
        <item x="398"/>
        <item x="23"/>
        <item x="567"/>
        <item x="194"/>
        <item x="693"/>
        <item x="935"/>
        <item x="13"/>
        <item x="445"/>
        <item x="711"/>
        <item x="381"/>
        <item x="973"/>
        <item x="737"/>
        <item x="821"/>
        <item x="689"/>
        <item x="513"/>
        <item x="455"/>
        <item x="373"/>
        <item x="374"/>
        <item x="256"/>
        <item x="353"/>
        <item x="578"/>
        <item x="661"/>
        <item x="189"/>
        <item x="245"/>
        <item x="526"/>
        <item x="208"/>
        <item x="333"/>
        <item x="784"/>
        <item x="294"/>
        <item x="43"/>
        <item x="340"/>
        <item x="794"/>
        <item x="709"/>
        <item x="85"/>
        <item x="975"/>
        <item x="753"/>
        <item x="44"/>
        <item x="14"/>
        <item x="494"/>
        <item x="966"/>
        <item x="310"/>
        <item x="843"/>
        <item x="620"/>
        <item x="518"/>
        <item x="987"/>
        <item x="609"/>
        <item x="785"/>
        <item x="861"/>
        <item x="688"/>
        <item x="956"/>
        <item x="166"/>
        <item x="211"/>
        <item x="599"/>
        <item x="939"/>
        <item x="539"/>
        <item x="742"/>
        <item x="172"/>
        <item x="262"/>
        <item x="865"/>
        <item x="677"/>
        <item x="685"/>
        <item x="605"/>
        <item x="324"/>
        <item x="630"/>
        <item x="885"/>
        <item x="662"/>
        <item x="859"/>
        <item x="178"/>
        <item x="949"/>
        <item x="671"/>
        <item x="47"/>
        <item x="879"/>
        <item x="896"/>
        <item x="431"/>
        <item x="960"/>
        <item x="468"/>
        <item x="822"/>
        <item x="484"/>
        <item x="615"/>
        <item x="267"/>
        <item x="22"/>
        <item x="57"/>
        <item x="792"/>
        <item x="600"/>
        <item x="304"/>
        <item x="108"/>
        <item x="206"/>
        <item x="856"/>
        <item x="746"/>
        <item x="568"/>
        <item x="70"/>
        <item x="913"/>
        <item x="377"/>
        <item x="502"/>
        <item x="517"/>
        <item x="645"/>
        <item x="18"/>
        <item x="623"/>
        <item x="186"/>
        <item x="559"/>
        <item x="867"/>
        <item x="243"/>
        <item x="51"/>
        <item x="152"/>
        <item x="881"/>
        <item x="78"/>
        <item x="523"/>
        <item x="972"/>
        <item x="209"/>
        <item x="466"/>
        <item x="37"/>
        <item x="602"/>
        <item x="311"/>
        <item x="663"/>
        <item x="761"/>
        <item x="922"/>
        <item x="906"/>
        <item x="891"/>
        <item x="691"/>
        <item x="989"/>
        <item x="321"/>
        <item x="410"/>
        <item x="748"/>
        <item x="16"/>
        <item x="575"/>
        <item x="481"/>
        <item x="277"/>
        <item x="408"/>
        <item x="344"/>
        <item x="736"/>
        <item x="293"/>
        <item x="499"/>
        <item x="724"/>
        <item x="76"/>
        <item x="91"/>
        <item x="837"/>
        <item x="648"/>
        <item x="400"/>
        <item x="249"/>
        <item x="796"/>
        <item x="279"/>
        <item x="830"/>
        <item x="765"/>
        <item x="10"/>
        <item x="795"/>
        <item x="387"/>
        <item x="345"/>
        <item x="103"/>
        <item x="352"/>
        <item x="606"/>
        <item x="140"/>
        <item x="622"/>
        <item x="958"/>
        <item x="451"/>
        <item x="676"/>
        <item x="287"/>
        <item x="583"/>
        <item x="528"/>
        <item x="137"/>
        <item x="598"/>
        <item x="145"/>
        <item x="218"/>
        <item x="588"/>
        <item x="214"/>
        <item x="385"/>
        <item x="230"/>
        <item x="364"/>
        <item x="222"/>
        <item x="113"/>
        <item x="820"/>
        <item x="370"/>
        <item x="934"/>
        <item x="586"/>
        <item x="9"/>
        <item x="892"/>
        <item x="675"/>
        <item x="148"/>
        <item x="577"/>
        <item x="460"/>
        <item x="325"/>
        <item x="200"/>
        <item x="232"/>
        <item x="576"/>
        <item x="238"/>
        <item x="542"/>
        <item x="875"/>
        <item x="104"/>
        <item x="587"/>
        <item x="812"/>
        <item x="565"/>
        <item x="369"/>
        <item x="561"/>
        <item x="105"/>
        <item x="201"/>
        <item x="636"/>
        <item x="135"/>
        <item x="500"/>
        <item x="292"/>
        <item x="61"/>
        <item x="147"/>
        <item x="226"/>
        <item x="635"/>
        <item x="633"/>
        <item x="452"/>
        <item x="805"/>
        <item x="80"/>
        <item x="188"/>
        <item x="56"/>
        <item x="60"/>
        <item x="274"/>
        <item x="119"/>
        <item x="791"/>
        <item x="106"/>
        <item x="909"/>
        <item x="313"/>
        <item x="425"/>
        <item x="492"/>
        <item x="154"/>
        <item x="413"/>
        <item x="296"/>
        <item x="804"/>
        <item x="546"/>
        <item x="429"/>
        <item x="394"/>
        <item x="101"/>
        <item x="788"/>
        <item x="19"/>
        <item x="111"/>
        <item x="127"/>
        <item x="219"/>
        <item x="205"/>
        <item x="264"/>
        <item x="212"/>
        <item x="151"/>
        <item x="555"/>
        <item x="667"/>
        <item x="951"/>
        <item x="285"/>
        <item x="554"/>
        <item x="581"/>
        <item x="449"/>
        <item x="917"/>
        <item x="610"/>
        <item x="641"/>
        <item x="157"/>
        <item x="298"/>
        <item x="474"/>
        <item x="890"/>
        <item x="315"/>
        <item x="968"/>
        <item x="870"/>
        <item x="299"/>
        <item x="871"/>
        <item x="899"/>
        <item x="774"/>
        <item x="443"/>
        <item x="571"/>
        <item x="798"/>
        <item x="300"/>
        <item x="976"/>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Fields count="1">
    <field x="-2"/>
  </colFields>
  <colItems count="2">
    <i>
      <x/>
    </i>
    <i i="1">
      <x v="1"/>
    </i>
  </colItems>
  <dataFields count="2">
    <dataField name="Sum of OperationalCost" fld="10" baseField="0" baseItem="0"/>
    <dataField name="Sum of Revenue" fld="9" baseField="0" baseItem="0"/>
  </dataFields>
  <chartFormats count="4">
    <chartFormat chart="80" format="2" series="1">
      <pivotArea type="data" outline="0" fieldPosition="0">
        <references count="1">
          <reference field="4294967294" count="1" selected="0">
            <x v="0"/>
          </reference>
        </references>
      </pivotArea>
    </chartFormat>
    <chartFormat chart="80" format="3" series="1">
      <pivotArea type="data" outline="0" fieldPosition="0">
        <references count="1">
          <reference field="4294967294" count="1" selected="0">
            <x v="1"/>
          </reference>
        </references>
      </pivotArea>
    </chartFormat>
    <chartFormat chart="41" format="8" series="1">
      <pivotArea type="data" outline="0" fieldPosition="0">
        <references count="1">
          <reference field="4294967294" count="1" selected="0">
            <x v="0"/>
          </reference>
        </references>
      </pivotArea>
    </chartFormat>
    <chartFormat chart="41" format="9" series="1">
      <pivotArea type="data" outline="0" fieldPosition="0">
        <references count="1">
          <reference field="4294967294" count="1" selected="0">
            <x v="1"/>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EC526A-45D9-4B83-A6D9-DDFD997808CA}"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9">
  <location ref="D1:E11" firstHeaderRow="1" firstDataRow="1" firstDataCol="1"/>
  <pivotFields count="16">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measureFilter="1" sortType="descending">
      <items count="91">
        <item x="11"/>
        <item x="24"/>
        <item x="41"/>
        <item x="81"/>
        <item x="49"/>
        <item x="79"/>
        <item x="72"/>
        <item x="73"/>
        <item x="32"/>
        <item x="65"/>
        <item x="82"/>
        <item x="76"/>
        <item x="16"/>
        <item x="74"/>
        <item x="29"/>
        <item x="20"/>
        <item x="44"/>
        <item x="35"/>
        <item x="54"/>
        <item x="33"/>
        <item x="63"/>
        <item x="67"/>
        <item x="71"/>
        <item x="15"/>
        <item x="23"/>
        <item x="19"/>
        <item x="48"/>
        <item x="68"/>
        <item x="75"/>
        <item x="36"/>
        <item x="86"/>
        <item x="87"/>
        <item x="60"/>
        <item x="58"/>
        <item x="3"/>
        <item x="40"/>
        <item x="52"/>
        <item x="6"/>
        <item x="0"/>
        <item x="43"/>
        <item x="55"/>
        <item x="39"/>
        <item x="59"/>
        <item x="8"/>
        <item x="5"/>
        <item x="50"/>
        <item x="7"/>
        <item x="57"/>
        <item x="85"/>
        <item x="69"/>
        <item x="2"/>
        <item x="77"/>
        <item x="12"/>
        <item x="53"/>
        <item x="13"/>
        <item x="88"/>
        <item x="1"/>
        <item x="37"/>
        <item x="25"/>
        <item x="56"/>
        <item x="31"/>
        <item x="30"/>
        <item x="46"/>
        <item x="80"/>
        <item x="45"/>
        <item x="84"/>
        <item x="42"/>
        <item x="66"/>
        <item x="26"/>
        <item x="10"/>
        <item x="51"/>
        <item x="89"/>
        <item x="28"/>
        <item x="64"/>
        <item x="38"/>
        <item x="70"/>
        <item x="83"/>
        <item x="27"/>
        <item x="4"/>
        <item x="14"/>
        <item x="18"/>
        <item x="9"/>
        <item x="34"/>
        <item x="47"/>
        <item x="61"/>
        <item x="62"/>
        <item x="21"/>
        <item x="78"/>
        <item x="17"/>
        <item x="22"/>
        <item t="default"/>
      </items>
      <autoSortScope>
        <pivotArea dataOnly="0" outline="0" fieldPosition="0">
          <references count="1">
            <reference field="4294967294" count="1" selected="0">
              <x v="0"/>
            </reference>
          </references>
        </pivotArea>
      </autoSortScope>
    </pivotField>
    <pivotField showAll="0">
      <items count="11">
        <item x="7"/>
        <item x="9"/>
        <item x="8"/>
        <item x="3"/>
        <item x="0"/>
        <item x="2"/>
        <item x="1"/>
        <item x="6"/>
        <item x="4"/>
        <item x="5"/>
        <item t="default"/>
      </items>
    </pivotField>
    <pivotField showAll="0">
      <items count="11">
        <item h="1" x="5"/>
        <item x="4"/>
        <item h="1" x="0"/>
        <item h="1" x="9"/>
        <item h="1" x="7"/>
        <item h="1" x="8"/>
        <item h="1" x="1"/>
        <item h="1" x="6"/>
        <item h="1" x="2"/>
        <item h="1" x="3"/>
        <item t="default"/>
      </items>
    </pivotField>
    <pivotField numFmtId="14" showAll="0">
      <items count="540">
        <item x="333"/>
        <item x="247"/>
        <item x="274"/>
        <item x="351"/>
        <item x="393"/>
        <item x="38"/>
        <item x="537"/>
        <item x="438"/>
        <item x="221"/>
        <item x="265"/>
        <item x="117"/>
        <item x="159"/>
        <item x="70"/>
        <item x="134"/>
        <item x="499"/>
        <item x="230"/>
        <item x="510"/>
        <item x="464"/>
        <item x="1"/>
        <item x="65"/>
        <item x="210"/>
        <item x="476"/>
        <item x="317"/>
        <item x="425"/>
        <item x="307"/>
        <item x="187"/>
        <item x="407"/>
        <item x="142"/>
        <item x="364"/>
        <item x="4"/>
        <item x="37"/>
        <item x="207"/>
        <item x="270"/>
        <item x="296"/>
        <item x="308"/>
        <item x="328"/>
        <item x="195"/>
        <item x="414"/>
        <item x="75"/>
        <item x="211"/>
        <item x="292"/>
        <item x="520"/>
        <item x="29"/>
        <item x="374"/>
        <item x="522"/>
        <item x="121"/>
        <item x="21"/>
        <item x="445"/>
        <item x="80"/>
        <item x="390"/>
        <item x="181"/>
        <item x="299"/>
        <item x="361"/>
        <item x="226"/>
        <item x="101"/>
        <item x="512"/>
        <item x="252"/>
        <item x="266"/>
        <item x="277"/>
        <item x="17"/>
        <item x="306"/>
        <item x="415"/>
        <item x="401"/>
        <item x="184"/>
        <item x="205"/>
        <item x="148"/>
        <item x="284"/>
        <item x="329"/>
        <item x="406"/>
        <item x="23"/>
        <item x="241"/>
        <item x="113"/>
        <item x="503"/>
        <item x="143"/>
        <item x="243"/>
        <item x="136"/>
        <item x="222"/>
        <item x="336"/>
        <item x="360"/>
        <item x="473"/>
        <item x="505"/>
        <item x="198"/>
        <item x="325"/>
        <item x="135"/>
        <item x="44"/>
        <item x="250"/>
        <item x="268"/>
        <item x="305"/>
        <item x="158"/>
        <item x="114"/>
        <item x="262"/>
        <item x="154"/>
        <item x="497"/>
        <item x="39"/>
        <item x="177"/>
        <item x="490"/>
        <item x="417"/>
        <item x="22"/>
        <item x="163"/>
        <item x="337"/>
        <item x="164"/>
        <item x="157"/>
        <item x="339"/>
        <item x="237"/>
        <item x="110"/>
        <item x="295"/>
        <item x="276"/>
        <item x="169"/>
        <item x="342"/>
        <item x="397"/>
        <item x="52"/>
        <item x="460"/>
        <item x="489"/>
        <item x="371"/>
        <item x="218"/>
        <item x="348"/>
        <item x="3"/>
        <item x="354"/>
        <item x="196"/>
        <item x="288"/>
        <item x="355"/>
        <item x="267"/>
        <item x="280"/>
        <item x="18"/>
        <item x="99"/>
        <item x="321"/>
        <item x="253"/>
        <item x="190"/>
        <item x="179"/>
        <item x="449"/>
        <item x="311"/>
        <item x="245"/>
        <item x="106"/>
        <item x="451"/>
        <item x="235"/>
        <item x="518"/>
        <item x="151"/>
        <item x="394"/>
        <item x="526"/>
        <item x="405"/>
        <item x="246"/>
        <item x="534"/>
        <item x="395"/>
        <item x="492"/>
        <item x="183"/>
        <item x="73"/>
        <item x="467"/>
        <item x="186"/>
        <item x="462"/>
        <item x="432"/>
        <item x="42"/>
        <item x="443"/>
        <item x="261"/>
        <item x="36"/>
        <item x="458"/>
        <item x="436"/>
        <item x="244"/>
        <item x="495"/>
        <item x="340"/>
        <item x="367"/>
        <item x="214"/>
        <item x="69"/>
        <item x="27"/>
        <item x="286"/>
        <item x="282"/>
        <item x="430"/>
        <item x="53"/>
        <item x="2"/>
        <item x="137"/>
        <item x="155"/>
        <item x="344"/>
        <item x="346"/>
        <item x="320"/>
        <item x="228"/>
        <item x="83"/>
        <item x="370"/>
        <item x="409"/>
        <item x="94"/>
        <item x="326"/>
        <item x="386"/>
        <item x="104"/>
        <item x="423"/>
        <item x="377"/>
        <item x="160"/>
        <item x="400"/>
        <item x="424"/>
        <item x="528"/>
        <item x="263"/>
        <item x="256"/>
        <item x="422"/>
        <item x="64"/>
        <item x="162"/>
        <item x="102"/>
        <item x="219"/>
        <item x="465"/>
        <item x="63"/>
        <item x="315"/>
        <item x="35"/>
        <item x="10"/>
        <item x="92"/>
        <item x="531"/>
        <item x="231"/>
        <item x="324"/>
        <item x="431"/>
        <item x="312"/>
        <item x="0"/>
        <item x="116"/>
        <item x="6"/>
        <item x="236"/>
        <item x="185"/>
        <item x="215"/>
        <item x="516"/>
        <item x="197"/>
        <item x="376"/>
        <item x="375"/>
        <item x="88"/>
        <item x="86"/>
        <item x="132"/>
        <item x="527"/>
        <item x="90"/>
        <item x="426"/>
        <item x="502"/>
        <item x="298"/>
        <item x="74"/>
        <item x="78"/>
        <item x="314"/>
        <item x="232"/>
        <item x="223"/>
        <item x="509"/>
        <item x="515"/>
        <item x="508"/>
        <item x="413"/>
        <item x="72"/>
        <item x="281"/>
        <item x="290"/>
        <item x="165"/>
        <item x="272"/>
        <item x="66"/>
        <item x="491"/>
        <item x="45"/>
        <item x="32"/>
        <item x="193"/>
        <item x="418"/>
        <item x="212"/>
        <item x="57"/>
        <item x="271"/>
        <item x="178"/>
        <item x="384"/>
        <item x="411"/>
        <item x="109"/>
        <item x="43"/>
        <item x="199"/>
        <item x="357"/>
        <item x="41"/>
        <item x="446"/>
        <item x="428"/>
        <item x="479"/>
        <item x="20"/>
        <item x="167"/>
        <item x="227"/>
        <item x="149"/>
        <item x="396"/>
        <item x="388"/>
        <item x="93"/>
        <item x="379"/>
        <item x="85"/>
        <item x="126"/>
        <item x="128"/>
        <item x="125"/>
        <item x="521"/>
        <item x="40"/>
        <item x="289"/>
        <item x="166"/>
        <item x="533"/>
        <item x="349"/>
        <item x="11"/>
        <item x="485"/>
        <item x="334"/>
        <item x="108"/>
        <item x="323"/>
        <item x="141"/>
        <item x="302"/>
        <item x="213"/>
        <item x="511"/>
        <item x="220"/>
        <item x="242"/>
        <item x="297"/>
        <item x="192"/>
        <item x="488"/>
        <item x="472"/>
        <item x="398"/>
        <item x="442"/>
        <item x="91"/>
        <item x="251"/>
        <item x="456"/>
        <item x="156"/>
        <item x="345"/>
        <item x="111"/>
        <item x="61"/>
        <item x="535"/>
        <item x="194"/>
        <item x="175"/>
        <item x="440"/>
        <item x="77"/>
        <item x="24"/>
        <item x="49"/>
        <item x="380"/>
        <item x="353"/>
        <item x="79"/>
        <item x="507"/>
        <item x="450"/>
        <item x="421"/>
        <item x="58"/>
        <item x="202"/>
        <item x="331"/>
        <item x="416"/>
        <item x="524"/>
        <item x="60"/>
        <item x="318"/>
        <item x="118"/>
        <item x="25"/>
        <item x="28"/>
        <item x="373"/>
        <item x="123"/>
        <item x="359"/>
        <item x="122"/>
        <item x="100"/>
        <item x="481"/>
        <item x="322"/>
        <item x="278"/>
        <item x="493"/>
        <item x="293"/>
        <item x="34"/>
        <item x="82"/>
        <item x="234"/>
        <item x="105"/>
        <item x="538"/>
        <item x="131"/>
        <item x="459"/>
        <item x="350"/>
        <item x="203"/>
        <item x="408"/>
        <item x="369"/>
        <item x="404"/>
        <item x="119"/>
        <item x="279"/>
        <item x="14"/>
        <item x="257"/>
        <item x="439"/>
        <item x="96"/>
        <item x="233"/>
        <item x="453"/>
        <item x="447"/>
        <item x="478"/>
        <item x="356"/>
        <item x="454"/>
        <item x="389"/>
        <item x="54"/>
        <item x="50"/>
        <item x="76"/>
        <item x="529"/>
        <item x="71"/>
        <item x="461"/>
        <item x="433"/>
        <item x="304"/>
        <item x="120"/>
        <item x="455"/>
        <item x="498"/>
        <item x="107"/>
        <item x="410"/>
        <item x="68"/>
        <item x="56"/>
        <item x="358"/>
        <item x="500"/>
        <item x="16"/>
        <item x="301"/>
        <item x="309"/>
        <item x="474"/>
        <item x="501"/>
        <item x="95"/>
        <item x="269"/>
        <item x="216"/>
        <item x="530"/>
        <item x="171"/>
        <item x="517"/>
        <item x="338"/>
        <item x="33"/>
        <item x="161"/>
        <item x="30"/>
        <item x="327"/>
        <item x="255"/>
        <item x="51"/>
        <item x="366"/>
        <item x="368"/>
        <item x="87"/>
        <item x="84"/>
        <item x="399"/>
        <item x="335"/>
        <item x="144"/>
        <item x="391"/>
        <item x="291"/>
        <item x="224"/>
        <item x="170"/>
        <item x="129"/>
        <item x="209"/>
        <item x="188"/>
        <item x="7"/>
        <item x="258"/>
        <item x="352"/>
        <item x="150"/>
        <item x="300"/>
        <item x="519"/>
        <item x="225"/>
        <item x="287"/>
        <item x="259"/>
        <item x="55"/>
        <item x="532"/>
        <item x="362"/>
        <item x="89"/>
        <item x="13"/>
        <item x="174"/>
        <item x="435"/>
        <item x="347"/>
        <item x="504"/>
        <item x="332"/>
        <item x="206"/>
        <item x="482"/>
        <item x="412"/>
        <item x="124"/>
        <item x="217"/>
        <item x="303"/>
        <item x="115"/>
        <item x="9"/>
        <item x="130"/>
        <item x="264"/>
        <item x="31"/>
        <item x="483"/>
        <item x="204"/>
        <item x="383"/>
        <item x="457"/>
        <item x="5"/>
        <item x="471"/>
        <item x="470"/>
        <item x="466"/>
        <item x="189"/>
        <item x="59"/>
        <item x="378"/>
        <item x="103"/>
        <item x="254"/>
        <item x="463"/>
        <item x="140"/>
        <item x="62"/>
        <item x="239"/>
        <item x="147"/>
        <item x="419"/>
        <item x="248"/>
        <item x="238"/>
        <item x="484"/>
        <item x="469"/>
        <item x="310"/>
        <item x="182"/>
        <item x="420"/>
        <item x="15"/>
        <item x="452"/>
        <item x="152"/>
        <item x="191"/>
        <item x="385"/>
        <item x="363"/>
        <item x="168"/>
        <item x="112"/>
        <item x="477"/>
        <item x="98"/>
        <item x="229"/>
        <item x="127"/>
        <item x="273"/>
        <item x="47"/>
        <item x="437"/>
        <item x="260"/>
        <item x="139"/>
        <item x="494"/>
        <item x="387"/>
        <item x="506"/>
        <item x="145"/>
        <item x="381"/>
        <item x="319"/>
        <item x="480"/>
        <item x="513"/>
        <item x="201"/>
        <item x="427"/>
        <item x="180"/>
        <item x="176"/>
        <item x="475"/>
        <item x="402"/>
        <item x="285"/>
        <item x="240"/>
        <item x="81"/>
        <item x="365"/>
        <item x="97"/>
        <item x="26"/>
        <item x="441"/>
        <item x="138"/>
        <item x="146"/>
        <item x="275"/>
        <item x="536"/>
        <item x="316"/>
        <item x="67"/>
        <item x="434"/>
        <item x="392"/>
        <item x="294"/>
        <item x="200"/>
        <item x="19"/>
        <item x="249"/>
        <item x="341"/>
        <item x="382"/>
        <item x="283"/>
        <item x="153"/>
        <item x="12"/>
        <item x="173"/>
        <item x="208"/>
        <item x="8"/>
        <item x="487"/>
        <item x="468"/>
        <item x="313"/>
        <item x="330"/>
        <item x="343"/>
        <item x="496"/>
        <item x="525"/>
        <item x="172"/>
        <item x="523"/>
        <item x="448"/>
        <item x="48"/>
        <item x="372"/>
        <item x="444"/>
        <item x="133"/>
        <item x="403"/>
        <item x="46"/>
        <item x="429"/>
        <item x="514"/>
        <item x="486"/>
        <item t="default"/>
      </items>
    </pivotField>
    <pivotField showAll="0"/>
    <pivotField showAll="0">
      <items count="6">
        <item h="1" x="4"/>
        <item h="1" x="2"/>
        <item h="1" x="3"/>
        <item h="1" x="0"/>
        <item x="1"/>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0">
    <i>
      <x/>
    </i>
    <i>
      <x v="37"/>
    </i>
    <i>
      <x v="64"/>
    </i>
    <i>
      <x v="82"/>
    </i>
    <i>
      <x v="46"/>
    </i>
    <i>
      <x v="28"/>
    </i>
    <i>
      <x v="19"/>
    </i>
    <i>
      <x v="73"/>
    </i>
    <i>
      <x v="55"/>
    </i>
    <i t="grand">
      <x/>
    </i>
  </rowItems>
  <colItems count="1">
    <i/>
  </colItems>
  <dataFields count="1">
    <dataField name="Sum of Profit" fld="11" baseField="0" baseItem="0"/>
  </dataFields>
  <chartFormats count="5">
    <chartFormat chart="42" format="124"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3"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32E9BF-321C-4F29-A914-F255FE1CD3A7}"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3" firstHeaderRow="1"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items count="12">
        <item h="1" x="5"/>
        <item h="1" x="4"/>
        <item h="1" x="0"/>
        <item h="1" x="9"/>
        <item h="1" x="7"/>
        <item h="1" x="8"/>
        <item x="1"/>
        <item h="1" x="6"/>
        <item h="1" x="2"/>
        <item h="1" x="3"/>
        <item h="1" x="10"/>
        <item t="default"/>
      </items>
    </pivotField>
    <pivotField showAll="0"/>
    <pivotField showAll="0"/>
    <pivotField showAll="0"/>
    <pivotField showAll="0"/>
    <pivotField showAll="0"/>
    <pivotField dataField="1" showAll="0"/>
    <pivotField showAll="0"/>
    <pivotField showAll="0"/>
    <pivotField showAll="0"/>
    <pivotField showAll="0">
      <items count="890">
        <item x="309"/>
        <item x="642"/>
        <item x="472"/>
        <item x="236"/>
        <item x="622"/>
        <item x="92"/>
        <item x="34"/>
        <item x="809"/>
        <item x="872"/>
        <item x="488"/>
        <item x="431"/>
        <item x="95"/>
        <item x="668"/>
        <item x="230"/>
        <item x="370"/>
        <item x="864"/>
        <item x="794"/>
        <item x="433"/>
        <item x="424"/>
        <item x="590"/>
        <item x="466"/>
        <item x="795"/>
        <item x="784"/>
        <item x="525"/>
        <item x="648"/>
        <item x="568"/>
        <item x="687"/>
        <item x="720"/>
        <item x="862"/>
        <item x="281"/>
        <item x="486"/>
        <item x="292"/>
        <item x="860"/>
        <item x="54"/>
        <item x="540"/>
        <item x="375"/>
        <item x="1"/>
        <item x="741"/>
        <item x="299"/>
        <item x="331"/>
        <item x="390"/>
        <item x="692"/>
        <item x="157"/>
        <item x="728"/>
        <item x="543"/>
        <item x="358"/>
        <item x="277"/>
        <item x="235"/>
        <item x="481"/>
        <item x="200"/>
        <item x="225"/>
        <item x="156"/>
        <item x="643"/>
        <item x="459"/>
        <item x="420"/>
        <item x="308"/>
        <item x="527"/>
        <item x="820"/>
        <item x="163"/>
        <item x="885"/>
        <item x="830"/>
        <item x="601"/>
        <item x="191"/>
        <item x="51"/>
        <item x="867"/>
        <item x="535"/>
        <item x="615"/>
        <item x="665"/>
        <item x="172"/>
        <item x="249"/>
        <item x="521"/>
        <item x="212"/>
        <item x="3"/>
        <item x="170"/>
        <item x="571"/>
        <item x="7"/>
        <item x="45"/>
        <item x="743"/>
        <item x="828"/>
        <item x="594"/>
        <item x="588"/>
        <item x="327"/>
        <item x="650"/>
        <item x="135"/>
        <item x="597"/>
        <item x="731"/>
        <item x="841"/>
        <item x="439"/>
        <item x="541"/>
        <item x="563"/>
        <item x="294"/>
        <item x="101"/>
        <item x="641"/>
        <item x="340"/>
        <item x="67"/>
        <item x="840"/>
        <item x="371"/>
        <item x="460"/>
        <item x="691"/>
        <item x="35"/>
        <item x="401"/>
        <item x="346"/>
        <item x="787"/>
        <item x="883"/>
        <item x="624"/>
        <item x="649"/>
        <item x="600"/>
        <item x="681"/>
        <item x="366"/>
        <item x="255"/>
        <item x="682"/>
        <item x="727"/>
        <item x="736"/>
        <item x="279"/>
        <item x="510"/>
        <item x="763"/>
        <item x="173"/>
        <item x="183"/>
        <item x="512"/>
        <item x="151"/>
        <item x="596"/>
        <item x="453"/>
        <item x="305"/>
        <item x="82"/>
        <item x="323"/>
        <item x="871"/>
        <item x="237"/>
        <item x="393"/>
        <item x="295"/>
        <item x="98"/>
        <item x="710"/>
        <item x="749"/>
        <item x="27"/>
        <item x="38"/>
        <item x="154"/>
        <item x="313"/>
        <item x="733"/>
        <item x="803"/>
        <item x="359"/>
        <item x="817"/>
        <item x="882"/>
        <item x="651"/>
        <item x="603"/>
        <item x="552"/>
        <item x="658"/>
        <item x="546"/>
        <item x="160"/>
        <item x="623"/>
        <item x="99"/>
        <item x="519"/>
        <item x="177"/>
        <item x="761"/>
        <item x="13"/>
        <item x="469"/>
        <item x="275"/>
        <item x="661"/>
        <item x="730"/>
        <item x="41"/>
        <item x="757"/>
        <item x="579"/>
        <item x="380"/>
        <item x="505"/>
        <item x="220"/>
        <item x="128"/>
        <item x="678"/>
        <item x="559"/>
        <item x="267"/>
        <item x="627"/>
        <item x="280"/>
        <item x="470"/>
        <item x="382"/>
        <item x="573"/>
        <item x="450"/>
        <item x="256"/>
        <item x="93"/>
        <item x="666"/>
        <item x="253"/>
        <item x="166"/>
        <item x="539"/>
        <item x="344"/>
        <item x="339"/>
        <item x="106"/>
        <item x="534"/>
        <item x="789"/>
        <item x="490"/>
        <item x="778"/>
        <item x="747"/>
        <item x="186"/>
        <item x="634"/>
        <item x="326"/>
        <item x="219"/>
        <item x="636"/>
        <item x="89"/>
        <item x="496"/>
        <item x="364"/>
        <item x="705"/>
        <item x="483"/>
        <item x="332"/>
        <item x="19"/>
        <item x="176"/>
        <item x="412"/>
        <item x="31"/>
        <item x="508"/>
        <item x="2"/>
        <item x="438"/>
        <item x="502"/>
        <item x="655"/>
        <item x="270"/>
        <item x="602"/>
        <item x="140"/>
        <item x="251"/>
        <item x="455"/>
        <item x="595"/>
        <item x="229"/>
        <item x="842"/>
        <item x="192"/>
        <item x="822"/>
        <item x="360"/>
        <item x="148"/>
        <item x="451"/>
        <item x="74"/>
        <item x="373"/>
        <item x="250"/>
        <item x="369"/>
        <item x="213"/>
        <item x="818"/>
        <item x="413"/>
        <item x="786"/>
        <item x="108"/>
        <item x="618"/>
        <item x="792"/>
        <item x="417"/>
        <item x="707"/>
        <item x="333"/>
        <item x="44"/>
        <item x="425"/>
        <item x="760"/>
        <item x="781"/>
        <item x="838"/>
        <item x="756"/>
        <item x="283"/>
        <item x="528"/>
        <item x="399"/>
        <item x="129"/>
        <item x="231"/>
        <item x="48"/>
        <item x="826"/>
        <item x="409"/>
        <item x="274"/>
        <item x="28"/>
        <item x="644"/>
        <item x="471"/>
        <item x="799"/>
        <item x="194"/>
        <item x="474"/>
        <item x="224"/>
        <item x="288"/>
        <item x="49"/>
        <item x="865"/>
        <item x="887"/>
        <item x="653"/>
        <item x="751"/>
        <item x="703"/>
        <item x="12"/>
        <item x="555"/>
        <item x="187"/>
        <item x="310"/>
        <item x="68"/>
        <item x="226"/>
        <item x="402"/>
        <item x="397"/>
        <item x="17"/>
        <item x="854"/>
        <item x="257"/>
        <item x="716"/>
        <item x="161"/>
        <item x="550"/>
        <item x="712"/>
        <item x="376"/>
        <item x="378"/>
        <item x="633"/>
        <item x="324"/>
        <item x="723"/>
        <item x="499"/>
        <item x="238"/>
        <item x="209"/>
        <item x="847"/>
        <item x="227"/>
        <item x="845"/>
        <item x="702"/>
        <item x="621"/>
        <item x="109"/>
        <item x="748"/>
        <item x="223"/>
        <item x="583"/>
        <item x="24"/>
        <item x="284"/>
        <item x="185"/>
        <item x="338"/>
        <item x="829"/>
        <item x="613"/>
        <item x="368"/>
        <item x="130"/>
        <item x="575"/>
        <item x="479"/>
        <item x="832"/>
        <item x="198"/>
        <item x="218"/>
        <item x="233"/>
        <item x="58"/>
        <item x="876"/>
        <item x="652"/>
        <item x="759"/>
        <item x="426"/>
        <item x="798"/>
        <item x="680"/>
        <item x="850"/>
        <item x="844"/>
        <item x="354"/>
        <item x="23"/>
        <item x="356"/>
        <item x="612"/>
        <item x="721"/>
        <item x="273"/>
        <item x="581"/>
        <item x="775"/>
        <item x="406"/>
        <item x="589"/>
        <item x="663"/>
        <item x="266"/>
        <item x="427"/>
        <item x="608"/>
        <item x="363"/>
        <item x="821"/>
        <item x="640"/>
        <item x="516"/>
        <item x="855"/>
        <item x="509"/>
        <item x="342"/>
        <item x="877"/>
        <item x="491"/>
        <item x="72"/>
        <item x="22"/>
        <item x="478"/>
        <item x="815"/>
        <item x="145"/>
        <item x="319"/>
        <item x="492"/>
        <item x="432"/>
        <item x="341"/>
        <item x="532"/>
        <item x="53"/>
        <item x="816"/>
        <item x="210"/>
        <item x="77"/>
        <item x="43"/>
        <item x="684"/>
        <item x="112"/>
        <item x="814"/>
        <item x="87"/>
        <item x="524"/>
        <item x="859"/>
        <item x="484"/>
        <item x="180"/>
        <item x="777"/>
        <item x="537"/>
        <item x="797"/>
        <item x="514"/>
        <item x="674"/>
        <item x="632"/>
        <item x="793"/>
        <item x="482"/>
        <item x="752"/>
        <item x="330"/>
        <item x="562"/>
        <item x="766"/>
        <item x="301"/>
        <item x="430"/>
        <item x="620"/>
        <item x="304"/>
        <item x="343"/>
        <item x="503"/>
        <item x="586"/>
        <item x="293"/>
        <item x="188"/>
        <item x="724"/>
        <item x="734"/>
        <item x="421"/>
        <item x="379"/>
        <item x="607"/>
        <item x="690"/>
        <item x="418"/>
        <item x="689"/>
        <item x="834"/>
        <item x="445"/>
        <item x="780"/>
        <item x="221"/>
        <item x="289"/>
        <item x="807"/>
        <item x="843"/>
        <item x="693"/>
        <item x="381"/>
        <item x="679"/>
        <item x="567"/>
        <item x="60"/>
        <item x="457"/>
        <item x="645"/>
        <item x="569"/>
        <item x="858"/>
        <item x="86"/>
        <item x="258"/>
        <item x="770"/>
        <item x="70"/>
        <item x="118"/>
        <item x="852"/>
        <item x="676"/>
        <item x="495"/>
        <item x="40"/>
        <item x="152"/>
        <item x="464"/>
        <item x="677"/>
        <item x="362"/>
        <item x="271"/>
        <item x="767"/>
        <item x="265"/>
        <item x="436"/>
        <item x="762"/>
        <item x="701"/>
        <item x="404"/>
        <item x="103"/>
        <item x="758"/>
        <item x="66"/>
        <item x="461"/>
        <item x="385"/>
        <item x="554"/>
        <item x="694"/>
        <item x="429"/>
        <item x="735"/>
        <item x="638"/>
        <item x="452"/>
        <item x="165"/>
        <item x="475"/>
        <item x="107"/>
        <item x="4"/>
        <item x="522"/>
        <item x="675"/>
        <item x="868"/>
        <item x="199"/>
        <item x="572"/>
        <item x="708"/>
        <item x="825"/>
        <item x="389"/>
        <item x="584"/>
        <item x="548"/>
        <item x="321"/>
        <item x="800"/>
        <item x="80"/>
        <item x="184"/>
        <item x="449"/>
        <item x="637"/>
        <item x="557"/>
        <item x="700"/>
        <item x="217"/>
        <item x="520"/>
        <item x="57"/>
        <item x="384"/>
        <item x="159"/>
        <item x="611"/>
        <item x="203"/>
        <item x="259"/>
        <item x="349"/>
        <item x="84"/>
        <item x="835"/>
        <item x="709"/>
        <item x="506"/>
        <item x="442"/>
        <item x="372"/>
        <item x="746"/>
        <item x="878"/>
        <item x="416"/>
        <item x="269"/>
        <item x="706"/>
        <item x="119"/>
        <item x="812"/>
        <item x="123"/>
        <item x="336"/>
        <item x="114"/>
        <item x="839"/>
        <item x="392"/>
        <item x="856"/>
        <item x="463"/>
        <item x="625"/>
        <item x="124"/>
        <item x="110"/>
        <item x="386"/>
        <item x="37"/>
        <item x="162"/>
        <item x="196"/>
        <item x="545"/>
        <item x="47"/>
        <item x="415"/>
        <item x="419"/>
        <item x="662"/>
        <item x="874"/>
        <item x="849"/>
        <item x="272"/>
        <item x="884"/>
        <item x="136"/>
        <item x="291"/>
        <item x="740"/>
        <item x="726"/>
        <item x="76"/>
        <item x="802"/>
        <item x="241"/>
        <item x="374"/>
        <item x="411"/>
        <item x="779"/>
        <item x="774"/>
        <item x="697"/>
        <item x="465"/>
        <item x="561"/>
        <item x="523"/>
        <item x="851"/>
        <item x="881"/>
        <item x="738"/>
        <item x="744"/>
        <item x="113"/>
        <item x="133"/>
        <item x="836"/>
        <item x="181"/>
        <item x="300"/>
        <item x="556"/>
        <item x="247"/>
        <item x="489"/>
        <item x="335"/>
        <item x="353"/>
        <item x="504"/>
        <item x="21"/>
        <item x="772"/>
        <item x="139"/>
        <item x="248"/>
        <item x="367"/>
        <item x="686"/>
        <item x="11"/>
        <item x="164"/>
        <item x="551"/>
        <item x="713"/>
        <item x="805"/>
        <item x="142"/>
        <item x="810"/>
        <item x="529"/>
        <item x="587"/>
        <item x="150"/>
        <item x="672"/>
        <item x="477"/>
        <item x="73"/>
        <item x="206"/>
        <item x="875"/>
        <item x="85"/>
        <item x="52"/>
        <item x="610"/>
        <item x="565"/>
        <item x="656"/>
        <item x="245"/>
        <item x="737"/>
        <item x="59"/>
        <item x="745"/>
        <item x="357"/>
        <item x="311"/>
        <item x="120"/>
        <item x="211"/>
        <item x="458"/>
        <item x="182"/>
        <item x="264"/>
        <item x="167"/>
        <item x="97"/>
        <item x="646"/>
        <item x="754"/>
        <item x="515"/>
        <item x="566"/>
        <item x="671"/>
        <item x="314"/>
        <item x="5"/>
        <item x="81"/>
        <item x="352"/>
        <item x="440"/>
        <item x="26"/>
        <item x="111"/>
        <item x="599"/>
        <item x="696"/>
        <item x="670"/>
        <item x="102"/>
        <item x="628"/>
        <item x="146"/>
        <item x="398"/>
        <item x="473"/>
        <item x="64"/>
        <item x="616"/>
        <item x="558"/>
        <item x="394"/>
        <item x="631"/>
        <item x="593"/>
        <item x="725"/>
        <item x="396"/>
        <item x="626"/>
        <item x="866"/>
        <item x="771"/>
        <item x="755"/>
        <item x="659"/>
        <item x="513"/>
        <item x="722"/>
        <item x="619"/>
        <item x="260"/>
        <item x="155"/>
        <item x="0"/>
        <item x="544"/>
        <item x="125"/>
        <item x="153"/>
        <item x="61"/>
        <item x="216"/>
        <item x="56"/>
        <item x="769"/>
        <item x="290"/>
        <item x="383"/>
        <item x="434"/>
        <item x="232"/>
        <item x="570"/>
        <item x="131"/>
        <item x="315"/>
        <item x="564"/>
        <item x="117"/>
        <item x="518"/>
        <item x="560"/>
        <item x="578"/>
        <item x="542"/>
        <item x="20"/>
        <item x="190"/>
        <item x="785"/>
        <item x="242"/>
        <item x="134"/>
        <item x="94"/>
        <item x="456"/>
        <item x="485"/>
        <item x="879"/>
        <item x="768"/>
        <item x="530"/>
        <item x="36"/>
        <item x="322"/>
        <item x="695"/>
        <item x="10"/>
        <item x="14"/>
        <item x="9"/>
        <item x="387"/>
        <item x="886"/>
        <item x="582"/>
        <item x="804"/>
        <item x="811"/>
        <item x="511"/>
        <item x="334"/>
        <item x="169"/>
        <item x="91"/>
        <item x="395"/>
        <item x="609"/>
        <item x="328"/>
        <item x="317"/>
        <item x="576"/>
        <item x="635"/>
        <item x="827"/>
        <item x="507"/>
        <item x="337"/>
        <item x="605"/>
        <item x="50"/>
        <item x="316"/>
        <item x="329"/>
        <item x="870"/>
        <item x="158"/>
        <item x="263"/>
        <item x="303"/>
        <item x="16"/>
        <item x="228"/>
        <item x="318"/>
        <item x="531"/>
        <item x="178"/>
        <item x="240"/>
        <item x="276"/>
        <item x="121"/>
        <item x="355"/>
        <item x="278"/>
        <item x="714"/>
        <item x="168"/>
        <item x="143"/>
        <item x="261"/>
        <item x="764"/>
        <item x="78"/>
        <item x="244"/>
        <item x="400"/>
        <item x="476"/>
        <item x="698"/>
        <item x="861"/>
        <item x="669"/>
        <item x="454"/>
        <item x="448"/>
        <item x="517"/>
        <item x="243"/>
        <item x="446"/>
        <item x="819"/>
        <item x="347"/>
        <item x="208"/>
        <item x="171"/>
        <item x="591"/>
        <item x="688"/>
        <item x="179"/>
        <item x="806"/>
        <item x="500"/>
        <item x="96"/>
        <item x="71"/>
        <item x="46"/>
        <item x="853"/>
        <item x="193"/>
        <item x="204"/>
        <item x="207"/>
        <item x="88"/>
        <item x="732"/>
        <item x="90"/>
        <item x="585"/>
        <item x="673"/>
        <item x="325"/>
        <item x="497"/>
        <item x="205"/>
        <item x="144"/>
        <item x="657"/>
        <item x="667"/>
        <item x="62"/>
        <item x="501"/>
        <item x="718"/>
        <item x="306"/>
        <item x="408"/>
        <item x="639"/>
        <item x="175"/>
        <item x="147"/>
        <item x="553"/>
        <item x="141"/>
        <item x="189"/>
        <item x="63"/>
        <item x="880"/>
        <item x="388"/>
        <item x="6"/>
        <item x="729"/>
        <item x="824"/>
        <item x="580"/>
        <item x="104"/>
        <item x="447"/>
        <item x="29"/>
        <item x="683"/>
        <item x="813"/>
        <item x="536"/>
        <item x="69"/>
        <item x="215"/>
        <item x="132"/>
        <item x="55"/>
        <item x="351"/>
        <item x="268"/>
        <item x="410"/>
        <item x="493"/>
        <item x="711"/>
        <item x="606"/>
        <item x="197"/>
        <item x="296"/>
        <item x="788"/>
        <item x="808"/>
        <item x="345"/>
        <item x="246"/>
        <item x="873"/>
        <item x="753"/>
        <item x="776"/>
        <item x="405"/>
        <item x="286"/>
        <item x="302"/>
        <item x="202"/>
        <item x="435"/>
        <item x="715"/>
        <item x="630"/>
        <item x="614"/>
        <item x="592"/>
        <item x="717"/>
        <item x="138"/>
        <item x="350"/>
        <item x="100"/>
        <item x="83"/>
        <item x="494"/>
        <item x="252"/>
        <item x="685"/>
        <item x="791"/>
        <item x="664"/>
        <item x="122"/>
        <item x="282"/>
        <item x="239"/>
        <item x="75"/>
        <item x="254"/>
        <item x="391"/>
        <item x="869"/>
        <item x="704"/>
        <item x="15"/>
        <item x="116"/>
        <item x="857"/>
        <item x="222"/>
        <item x="201"/>
        <item x="79"/>
        <item x="782"/>
        <item x="533"/>
        <item x="18"/>
        <item x="577"/>
        <item x="846"/>
        <item x="699"/>
        <item x="25"/>
        <item x="647"/>
        <item x="361"/>
        <item x="307"/>
        <item x="823"/>
        <item x="739"/>
        <item x="549"/>
        <item x="837"/>
        <item x="468"/>
        <item x="365"/>
        <item x="467"/>
        <item x="783"/>
        <item x="39"/>
        <item x="115"/>
        <item x="796"/>
        <item x="487"/>
        <item x="234"/>
        <item x="33"/>
        <item x="833"/>
        <item x="742"/>
        <item x="195"/>
        <item x="287"/>
        <item x="32"/>
        <item x="441"/>
        <item x="617"/>
        <item x="598"/>
        <item x="437"/>
        <item x="105"/>
        <item x="790"/>
        <item x="538"/>
        <item x="848"/>
        <item x="547"/>
        <item x="831"/>
        <item x="498"/>
        <item x="660"/>
        <item x="214"/>
        <item x="443"/>
        <item x="629"/>
        <item x="348"/>
        <item x="262"/>
        <item x="604"/>
        <item x="320"/>
        <item x="42"/>
        <item x="574"/>
        <item x="312"/>
        <item x="126"/>
        <item x="801"/>
        <item x="137"/>
        <item x="285"/>
        <item x="407"/>
        <item x="127"/>
        <item x="719"/>
        <item x="403"/>
        <item x="654"/>
        <item x="30"/>
        <item x="423"/>
        <item x="765"/>
        <item x="444"/>
        <item x="773"/>
        <item x="480"/>
        <item x="422"/>
        <item x="298"/>
        <item x="297"/>
        <item x="149"/>
        <item x="414"/>
        <item x="174"/>
        <item x="526"/>
        <item x="750"/>
        <item x="863"/>
        <item x="377"/>
        <item x="8"/>
        <item x="428"/>
        <item x="462"/>
        <item x="65"/>
        <item x="888"/>
        <item t="default"/>
      </items>
    </pivotField>
  </pivotFields>
  <rowFields count="1">
    <field x="3"/>
  </rowFields>
  <rowItems count="2">
    <i>
      <x v="6"/>
    </i>
    <i t="grand">
      <x/>
    </i>
  </rowItems>
  <colItems count="1">
    <i/>
  </colItems>
  <dataFields count="1">
    <dataField name="Sum of Revenue" fld="9" baseField="0" baseItem="0"/>
  </dataField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24</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 xr10:uid="{E0F43BFD-42C8-4951-AD45-C9A7261CC992}" sourceName="Destination">
  <pivotTables>
    <pivotTable tabId="2" name="PivotTable2"/>
  </pivotTables>
  <data>
    <tabular pivotCacheId="2082834132">
      <items count="10">
        <i x="5"/>
        <i x="4" s="1"/>
        <i x="0"/>
        <i x="9"/>
        <i x="7"/>
        <i x="8"/>
        <i x="1"/>
        <i x="6"/>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Code" xr10:uid="{8DF06317-FE81-4A3C-9FF5-C174666000B7}" sourceName="RouteCode">
  <pivotTables>
    <pivotTable tabId="2" name="PivotTable3"/>
  </pivotTables>
  <data>
    <tabular pivotCacheId="2082834132">
      <items count="90">
        <i x="11" s="1"/>
        <i x="24" s="1"/>
        <i x="41" s="1"/>
        <i x="81" s="1"/>
        <i x="49" s="1"/>
        <i x="79" s="1"/>
        <i x="72" s="1"/>
        <i x="73" s="1"/>
        <i x="32" s="1"/>
        <i x="65" s="1"/>
        <i x="82" s="1"/>
        <i x="76" s="1"/>
        <i x="16" s="1"/>
        <i x="74" s="1"/>
        <i x="29" s="1"/>
        <i x="20" s="1"/>
        <i x="44" s="1"/>
        <i x="35" s="1"/>
        <i x="54" s="1"/>
        <i x="33" s="1"/>
        <i x="63" s="1"/>
        <i x="67" s="1"/>
        <i x="71" s="1"/>
        <i x="15" s="1"/>
        <i x="23" s="1"/>
        <i x="19" s="1"/>
        <i x="48" s="1"/>
        <i x="68" s="1"/>
        <i x="75" s="1"/>
        <i x="36" s="1"/>
        <i x="86" s="1"/>
        <i x="87" s="1"/>
        <i x="60" s="1"/>
        <i x="58" s="1"/>
        <i x="3" s="1"/>
        <i x="40" s="1"/>
        <i x="52" s="1"/>
        <i x="6" s="1"/>
        <i x="0" s="1"/>
        <i x="43" s="1"/>
        <i x="55" s="1"/>
        <i x="39" s="1"/>
        <i x="59" s="1"/>
        <i x="8" s="1"/>
        <i x="5" s="1"/>
        <i x="50" s="1"/>
        <i x="7" s="1"/>
        <i x="57" s="1"/>
        <i x="85" s="1"/>
        <i x="69" s="1"/>
        <i x="2" s="1"/>
        <i x="77" s="1"/>
        <i x="12" s="1"/>
        <i x="53" s="1"/>
        <i x="13" s="1"/>
        <i x="88" s="1"/>
        <i x="1" s="1"/>
        <i x="37" s="1"/>
        <i x="25" s="1"/>
        <i x="56" s="1"/>
        <i x="31" s="1"/>
        <i x="30" s="1"/>
        <i x="46" s="1"/>
        <i x="80" s="1"/>
        <i x="45" s="1"/>
        <i x="84" s="1"/>
        <i x="42" s="1"/>
        <i x="66" s="1"/>
        <i x="26" s="1"/>
        <i x="10" s="1"/>
        <i x="51" s="1"/>
        <i x="89" s="1"/>
        <i x="28" s="1"/>
        <i x="64" s="1"/>
        <i x="38" s="1"/>
        <i x="70" s="1"/>
        <i x="83" s="1"/>
        <i x="27" s="1"/>
        <i x="4" s="1"/>
        <i x="14" s="1"/>
        <i x="18" s="1"/>
        <i x="9" s="1"/>
        <i x="34" s="1"/>
        <i x="47" s="1"/>
        <i x="61" s="1"/>
        <i x="62" s="1"/>
        <i x="21" s="1"/>
        <i x="78" s="1"/>
        <i x="17"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tination" xr10:uid="{E59BF4FB-5356-4B62-A5A1-97C032D33E60}" cache="Slicer_Destination" caption="Destination" style="SlicerStyleDark1" rowHeight="247650"/>
  <slicer name="RouteCode" xr10:uid="{3A98DEEA-4758-4E52-9160-11725CEA456A}" cache="Slicer_RouteCode" caption="RouteCode" startItem="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9ED077-130B-4130-A252-FADB5861FB79}" name="Table5" displayName="Table5" ref="H2:K93" headerRowCount="0" totalsRowShown="0" headerRowDxfId="49" dataDxfId="48">
  <tableColumns count="4">
    <tableColumn id="1" xr3:uid="{B4FCE2DA-1A07-4CB5-A6B7-835D24446945}" name="Column1" headerRowDxfId="47" dataDxfId="46"/>
    <tableColumn id="2" xr3:uid="{FBDA31CD-C26F-48C1-B1F6-3E60C3AA828E}" name="Column2" headerRowDxfId="45" dataDxfId="44"/>
    <tableColumn id="3" xr3:uid="{155BCBF3-80CE-4F4B-8F9E-692D81232BBD}" name="Column3" headerRowDxfId="43" dataDxfId="42"/>
    <tableColumn id="4" xr3:uid="{A731F357-AE02-48C6-8F3D-2BA38AA3D92B}" name="Column4" headerRowDxfId="41" dataDxfId="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77C18C-96D2-431E-A358-5A55E3F1399D}" name="Table6" displayName="Table6" ref="M2:Q6" headerRowCount="0" totalsRowShown="0" headerRowDxfId="39" dataDxfId="38">
  <tableColumns count="5">
    <tableColumn id="1" xr3:uid="{6713547B-D464-412F-AB68-D14117690747}" name="Column1" headerRowDxfId="37" dataDxfId="36"/>
    <tableColumn id="2" xr3:uid="{4E0BB3D9-AA58-4A19-BBC9-4C22529EAE9F}" name="Column2" headerRowDxfId="35" dataDxfId="34"/>
    <tableColumn id="3" xr3:uid="{13F7DABC-DEC5-4B18-86D7-6B066EDC60D4}" name="Column3" headerRowDxfId="33" dataDxfId="32"/>
    <tableColumn id="4" xr3:uid="{26D0D8D7-31A2-425F-9913-A98433E1187C}" name="Column4" headerRowDxfId="31" dataDxfId="30"/>
    <tableColumn id="5" xr3:uid="{B3B3CB48-DD29-4B7D-A05A-7F350F384EA4}" name="Column5" headerRowDxfId="29"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B2BC89-54BC-464D-8DDB-24956D51C81E}" name="Table7" displayName="Table7" ref="S2:V93" headerRowCount="0" totalsRowShown="0" headerRowDxfId="27" dataDxfId="26">
  <tableColumns count="4">
    <tableColumn id="1" xr3:uid="{45D2C88C-6B39-409F-99EA-34BADD870310}" name="Column1" headerRowDxfId="25" dataDxfId="24"/>
    <tableColumn id="2" xr3:uid="{2232D123-DC58-4859-87BC-F3EF5B639C64}" name="Column2" headerRowDxfId="23" dataDxfId="22"/>
    <tableColumn id="3" xr3:uid="{1EB117C1-C8F2-4387-B5B2-07C211A8870D}" name="Column3" headerRowDxfId="21" dataDxfId="20"/>
    <tableColumn id="4" xr3:uid="{B23E120A-D12B-4EFA-9E51-8582AB8AFD69}" name="Column4" headerRowDxfId="19"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87321FF-95D6-43E5-8652-429607562E1B}" name="Table11" displayName="Table11" ref="A1:O1001" totalsRowShown="0" headerRowBorderDxfId="17" tableBorderDxfId="16" totalsRowBorderDxfId="15">
  <autoFilter ref="A1:O1001" xr:uid="{487321FF-95D6-43E5-8652-429607562E1B}"/>
  <tableColumns count="15">
    <tableColumn id="1" xr3:uid="{0DA42307-3E90-4350-804D-747B4EB14458}" name="FlightID" dataDxfId="14"/>
    <tableColumn id="2" xr3:uid="{D0F7D5F0-9676-4D6C-8819-ACEF68ADDDD6}" name="RouteCode" dataDxfId="13"/>
    <tableColumn id="3" xr3:uid="{74D9BBCB-D440-4D16-8D04-01F87D47FC69}" name="Origin" dataDxfId="12"/>
    <tableColumn id="4" xr3:uid="{B88E14D5-BC96-411C-99A7-92922F77F58B}" name="Destination" dataDxfId="11"/>
    <tableColumn id="5" xr3:uid="{298BCEEB-2B99-4FCD-8406-46EF3369CBC6}" name="FlightDate" dataDxfId="10"/>
    <tableColumn id="6" xr3:uid="{548E8EA4-19C6-4A69-8E58-D6A92672DC0E}" name="FlightDurationMins" dataDxfId="9"/>
    <tableColumn id="7" xr3:uid="{5F9766CA-FAD9-479F-A5E2-D1E205E7DC58}" name="AircraftType" dataDxfId="8"/>
    <tableColumn id="8" xr3:uid="{79EE0F21-8659-45D9-82FF-FC622E7C755C}" name="SeatsAvailable" dataDxfId="7"/>
    <tableColumn id="9" xr3:uid="{644A45D1-DC44-4384-9B76-E7FE9E52AF5E}" name="SeatsSold" dataDxfId="6"/>
    <tableColumn id="10" xr3:uid="{DC11BC85-3784-4F0A-B40A-434CFB9C9CBB}" name="Revenue" dataDxfId="5"/>
    <tableColumn id="11" xr3:uid="{88E9F39F-67CD-4B7B-A8D6-0B04D1E186D7}" name="OperationalCost" dataDxfId="4"/>
    <tableColumn id="12" xr3:uid="{45ACEBB5-8809-4D2F-AB7B-ABC4DE29A30A}" name="Profit" dataDxfId="3">
      <calculatedColumnFormula>[1]!Table1[[#This Row],[Revenue]]-[1]!Table1[[#This Row],[OperationalCost]]</calculatedColumnFormula>
    </tableColumn>
    <tableColumn id="13" xr3:uid="{341EAFC7-84AE-4936-AB9B-B353A0F34AFF}" name="Month" dataDxfId="2">
      <calculatedColumnFormula>TEXT(E2,"MMM")</calculatedColumnFormula>
    </tableColumn>
    <tableColumn id="14" xr3:uid="{B07F8668-C7D7-4BEC-8C90-6F4B62D5C343}" name="Occcupies Seats" dataDxfId="1">
      <calculatedColumnFormula>Table11[[#This Row],[SeatsSold]]/Table11[[#This Row],[SeatsAvailable]]</calculatedColumnFormula>
    </tableColumn>
    <tableColumn id="15" xr3:uid="{90BF66D5-AF5F-43B0-884E-B66884244FC8}" name="Year Month"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27C6-66F5-40F1-BDCD-2BFB8B19BD20}">
  <dimension ref="A1:N13"/>
  <sheetViews>
    <sheetView showGridLines="0" zoomScale="85" zoomScaleNormal="85" workbookViewId="0">
      <selection activeCell="S50" sqref="S50"/>
    </sheetView>
  </sheetViews>
  <sheetFormatPr defaultRowHeight="14.4" x14ac:dyDescent="0.3"/>
  <cols>
    <col min="1" max="1" width="12" style="23" customWidth="1"/>
    <col min="2" max="3" width="8.88671875" style="23"/>
    <col min="4" max="4" width="15.109375" style="23" bestFit="1" customWidth="1"/>
    <col min="5" max="5" width="8.88671875" style="23"/>
    <col min="6" max="6" width="10.44140625" style="23" bestFit="1" customWidth="1"/>
    <col min="7" max="7" width="17.109375" style="23" bestFit="1" customWidth="1"/>
    <col min="8" max="9" width="8.88671875" style="23"/>
    <col min="10" max="10" width="19.44140625" style="23" bestFit="1" customWidth="1"/>
    <col min="11" max="12" width="8.88671875" style="23"/>
    <col min="13" max="13" width="26.44140625" style="23" bestFit="1" customWidth="1"/>
    <col min="14" max="14" width="13.5546875" style="23" customWidth="1"/>
    <col min="15" max="16384" width="8.88671875" style="23"/>
  </cols>
  <sheetData>
    <row r="1" spans="1:14" x14ac:dyDescent="0.3">
      <c r="G1" s="25"/>
      <c r="H1" s="25"/>
      <c r="I1" s="25"/>
    </row>
    <row r="2" spans="1:14" ht="19.8" customHeight="1" x14ac:dyDescent="0.45">
      <c r="A2" s="27" t="s">
        <v>1132</v>
      </c>
      <c r="B2" s="26"/>
      <c r="D2" s="31" t="s">
        <v>1133</v>
      </c>
      <c r="E2" s="26"/>
      <c r="G2" s="31" t="s">
        <v>1135</v>
      </c>
      <c r="H2" s="26"/>
      <c r="I2" s="25"/>
      <c r="J2" s="31" t="s">
        <v>1137</v>
      </c>
      <c r="K2" s="26"/>
      <c r="M2" s="31" t="s">
        <v>1139</v>
      </c>
      <c r="N2" s="26"/>
    </row>
    <row r="3" spans="1:14" ht="20.399999999999999" customHeight="1" x14ac:dyDescent="0.3">
      <c r="A3" s="29">
        <f>COUNTA(Database!A1:A1000)</f>
        <v>1000</v>
      </c>
      <c r="B3" s="26"/>
      <c r="D3" s="30">
        <f>SUM(Database!J2:J1000)</f>
        <v>673574543</v>
      </c>
      <c r="E3" s="26"/>
      <c r="G3" s="32">
        <f>SUM(Database!I1:I1000)</f>
        <v>93066</v>
      </c>
      <c r="H3" s="26"/>
      <c r="I3" s="25"/>
      <c r="J3" s="33">
        <f>SUM(Database!K1:K1000)</f>
        <v>54791454</v>
      </c>
      <c r="K3" s="26"/>
      <c r="M3" s="34" t="e">
        <f>SUM(Database!L1:L1000)/SUM(Database!J1:J1000)</f>
        <v>#REF!</v>
      </c>
      <c r="N3" s="26"/>
    </row>
    <row r="4" spans="1:14" ht="14.4" customHeight="1" x14ac:dyDescent="0.45">
      <c r="A4" s="28" t="s">
        <v>1131</v>
      </c>
      <c r="B4" s="26"/>
      <c r="D4" s="31" t="s">
        <v>1134</v>
      </c>
      <c r="E4" s="26"/>
      <c r="G4" s="31" t="s">
        <v>1136</v>
      </c>
      <c r="H4" s="26"/>
      <c r="I4" s="25"/>
      <c r="J4" s="31" t="s">
        <v>1138</v>
      </c>
      <c r="K4" s="26"/>
      <c r="M4" s="31" t="s">
        <v>1140</v>
      </c>
      <c r="N4" s="26"/>
    </row>
    <row r="5" spans="1:14" ht="14.4" customHeight="1" x14ac:dyDescent="0.3"/>
    <row r="6" spans="1:14" ht="14.4" customHeight="1" x14ac:dyDescent="0.3"/>
    <row r="13" spans="1:14" x14ac:dyDescent="0.3">
      <c r="K13"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8987A-6045-4EC7-92E5-D73B6085C7E0}">
  <dimension ref="A1:O92"/>
  <sheetViews>
    <sheetView showGridLines="0" zoomScaleNormal="100" workbookViewId="0">
      <selection activeCell="R36" sqref="R36"/>
    </sheetView>
  </sheetViews>
  <sheetFormatPr defaultRowHeight="14.4" x14ac:dyDescent="0.3"/>
  <cols>
    <col min="1" max="1" width="12.44140625" bestFit="1" customWidth="1"/>
    <col min="2" max="2" width="14.109375" bestFit="1" customWidth="1"/>
    <col min="3" max="3" width="2.88671875" customWidth="1"/>
    <col min="4" max="4" width="12.44140625" bestFit="1" customWidth="1"/>
    <col min="5" max="5" width="19.6640625" bestFit="1" customWidth="1"/>
    <col min="6" max="6" width="3.44140625" customWidth="1"/>
    <col min="7" max="7" width="12.44140625" bestFit="1" customWidth="1"/>
    <col min="8" max="8" width="11.5546875" bestFit="1" customWidth="1"/>
    <col min="9" max="9" width="3.33203125" customWidth="1"/>
    <col min="10" max="10" width="11.5546875" bestFit="1" customWidth="1"/>
    <col min="11" max="11" width="10.5546875" bestFit="1" customWidth="1"/>
    <col min="12" max="12" width="15.5546875" customWidth="1"/>
    <col min="13" max="13" width="3" customWidth="1"/>
    <col min="14" max="14" width="18.5546875" customWidth="1"/>
    <col min="15" max="15" width="17" customWidth="1"/>
    <col min="16" max="16" width="12.44140625" bestFit="1" customWidth="1"/>
    <col min="17" max="17" width="15.5546875" bestFit="1" customWidth="1"/>
    <col min="18" max="18" width="19.6640625" bestFit="1" customWidth="1"/>
    <col min="19" max="19" width="21.88671875" bestFit="1" customWidth="1"/>
    <col min="20" max="20" width="23.21875" bestFit="1" customWidth="1"/>
    <col min="21" max="21" width="14.77734375" bestFit="1" customWidth="1"/>
    <col min="22" max="22" width="8.21875" bestFit="1" customWidth="1"/>
    <col min="23" max="71" width="3" bestFit="1" customWidth="1"/>
    <col min="72" max="176" width="4" bestFit="1" customWidth="1"/>
    <col min="177" max="177" width="7" bestFit="1" customWidth="1"/>
    <col min="178" max="178" width="10.5546875" bestFit="1" customWidth="1"/>
  </cols>
  <sheetData>
    <row r="1" spans="1:15" x14ac:dyDescent="0.3">
      <c r="A1" s="3" t="s">
        <v>0</v>
      </c>
      <c r="B1" t="s">
        <v>1</v>
      </c>
      <c r="D1" s="3" t="s">
        <v>0</v>
      </c>
      <c r="E1" t="s">
        <v>1144</v>
      </c>
      <c r="G1" s="3" t="s">
        <v>0</v>
      </c>
      <c r="H1" t="s">
        <v>1144</v>
      </c>
      <c r="J1" s="3" t="s">
        <v>0</v>
      </c>
      <c r="K1" t="s">
        <v>1158</v>
      </c>
      <c r="L1" t="s">
        <v>1</v>
      </c>
      <c r="N1" s="3" t="s">
        <v>1157</v>
      </c>
    </row>
    <row r="2" spans="1:15" x14ac:dyDescent="0.3">
      <c r="A2" s="2" t="s">
        <v>17</v>
      </c>
      <c r="B2">
        <v>75310803</v>
      </c>
      <c r="D2" s="2" t="s">
        <v>34</v>
      </c>
      <c r="E2" s="52">
        <v>8504587</v>
      </c>
      <c r="G2" s="2" t="s">
        <v>1145</v>
      </c>
      <c r="H2" s="52">
        <v>53213807</v>
      </c>
      <c r="J2" s="2" t="s">
        <v>34</v>
      </c>
      <c r="K2" s="52">
        <v>859000</v>
      </c>
      <c r="L2" s="52">
        <v>9363587</v>
      </c>
      <c r="N2" s="2" t="s">
        <v>1142</v>
      </c>
      <c r="O2" s="52">
        <v>143505</v>
      </c>
    </row>
    <row r="3" spans="1:15" x14ac:dyDescent="0.3">
      <c r="A3" s="2" t="s">
        <v>22</v>
      </c>
      <c r="B3">
        <v>75310803</v>
      </c>
      <c r="D3" s="2" t="s">
        <v>93</v>
      </c>
      <c r="E3" s="52">
        <v>7433526</v>
      </c>
      <c r="G3" s="2" t="s">
        <v>1146</v>
      </c>
      <c r="H3" s="52">
        <v>41150779</v>
      </c>
      <c r="J3" s="2" t="s">
        <v>39</v>
      </c>
      <c r="K3" s="52">
        <v>877727</v>
      </c>
      <c r="L3" s="52">
        <v>9739363</v>
      </c>
      <c r="N3" s="2" t="s">
        <v>1141</v>
      </c>
      <c r="O3" s="52">
        <v>93066</v>
      </c>
    </row>
    <row r="4" spans="1:15" x14ac:dyDescent="0.3">
      <c r="D4" s="2" t="s">
        <v>81</v>
      </c>
      <c r="E4" s="52">
        <v>7052586</v>
      </c>
      <c r="G4" s="2" t="s">
        <v>1147</v>
      </c>
      <c r="H4" s="52">
        <v>57914675</v>
      </c>
      <c r="J4" s="2" t="s">
        <v>44</v>
      </c>
      <c r="K4" s="52">
        <v>672588</v>
      </c>
      <c r="L4" s="52">
        <v>9199331</v>
      </c>
    </row>
    <row r="5" spans="1:15" x14ac:dyDescent="0.3">
      <c r="D5" s="2" t="s">
        <v>62</v>
      </c>
      <c r="E5" s="52">
        <v>6594875</v>
      </c>
      <c r="G5" s="2" t="s">
        <v>1148</v>
      </c>
      <c r="H5" s="52">
        <v>64342211</v>
      </c>
      <c r="J5" s="2" t="s">
        <v>47</v>
      </c>
      <c r="K5" s="52">
        <v>521771</v>
      </c>
      <c r="L5" s="52">
        <v>5596329</v>
      </c>
    </row>
    <row r="6" spans="1:15" x14ac:dyDescent="0.3">
      <c r="D6" s="2" t="s">
        <v>83</v>
      </c>
      <c r="E6" s="52">
        <v>6376067</v>
      </c>
      <c r="G6" s="2" t="s">
        <v>1149</v>
      </c>
      <c r="H6" s="52">
        <v>60761299</v>
      </c>
      <c r="J6" s="2" t="s">
        <v>50</v>
      </c>
      <c r="K6" s="52">
        <v>694206</v>
      </c>
      <c r="L6" s="52">
        <v>9256912</v>
      </c>
    </row>
    <row r="7" spans="1:15" x14ac:dyDescent="0.3">
      <c r="D7" s="2" t="s">
        <v>86</v>
      </c>
      <c r="E7" s="52">
        <v>4621961</v>
      </c>
      <c r="G7" s="2" t="s">
        <v>1150</v>
      </c>
      <c r="H7" s="52">
        <v>39884972</v>
      </c>
      <c r="J7" s="2" t="s">
        <v>40</v>
      </c>
      <c r="K7" s="52">
        <v>379872</v>
      </c>
      <c r="L7" s="52">
        <v>6678355</v>
      </c>
    </row>
    <row r="8" spans="1:15" x14ac:dyDescent="0.3">
      <c r="D8" s="2" t="s">
        <v>74</v>
      </c>
      <c r="E8" s="52">
        <v>4246722</v>
      </c>
      <c r="G8" s="2" t="s">
        <v>1151</v>
      </c>
      <c r="H8" s="52">
        <v>50525059</v>
      </c>
      <c r="J8" s="2" t="s">
        <v>42</v>
      </c>
      <c r="K8" s="52">
        <v>377682</v>
      </c>
      <c r="L8" s="52">
        <v>6872963</v>
      </c>
    </row>
    <row r="9" spans="1:15" x14ac:dyDescent="0.3">
      <c r="D9" s="2" t="s">
        <v>87</v>
      </c>
      <c r="E9" s="52">
        <v>3133978</v>
      </c>
      <c r="G9" s="2" t="s">
        <v>1152</v>
      </c>
      <c r="H9" s="52">
        <v>46265909</v>
      </c>
      <c r="J9" s="2" t="s">
        <v>53</v>
      </c>
      <c r="K9" s="52">
        <v>397375</v>
      </c>
      <c r="L9" s="52">
        <v>5500101</v>
      </c>
    </row>
    <row r="10" spans="1:15" x14ac:dyDescent="0.3">
      <c r="D10" s="2" t="s">
        <v>72</v>
      </c>
      <c r="E10" s="52">
        <v>2688185</v>
      </c>
      <c r="G10" s="2" t="s">
        <v>1153</v>
      </c>
      <c r="H10" s="52">
        <v>49015944</v>
      </c>
      <c r="J10" s="2" t="s">
        <v>55</v>
      </c>
      <c r="K10" s="52">
        <v>876312</v>
      </c>
      <c r="L10" s="52">
        <v>10546333</v>
      </c>
    </row>
    <row r="11" spans="1:15" x14ac:dyDescent="0.3">
      <c r="D11" s="2" t="s">
        <v>22</v>
      </c>
      <c r="E11" s="52">
        <v>50652487</v>
      </c>
      <c r="G11" s="2" t="s">
        <v>1154</v>
      </c>
      <c r="H11" s="52">
        <v>47949515</v>
      </c>
      <c r="J11" s="2" t="s">
        <v>59</v>
      </c>
      <c r="K11" s="52">
        <v>453243</v>
      </c>
      <c r="L11" s="52">
        <v>5789107</v>
      </c>
    </row>
    <row r="12" spans="1:15" x14ac:dyDescent="0.3">
      <c r="G12" s="2" t="s">
        <v>1155</v>
      </c>
      <c r="H12" s="52">
        <v>49800262</v>
      </c>
      <c r="J12" s="2" t="s">
        <v>60</v>
      </c>
      <c r="K12" s="52">
        <v>463343</v>
      </c>
      <c r="L12" s="52">
        <v>5104671</v>
      </c>
    </row>
    <row r="13" spans="1:15" x14ac:dyDescent="0.3">
      <c r="G13" s="2" t="s">
        <v>1156</v>
      </c>
      <c r="H13" s="52">
        <v>58525263</v>
      </c>
      <c r="J13" s="2" t="s">
        <v>4</v>
      </c>
      <c r="K13" s="52">
        <v>880443</v>
      </c>
      <c r="L13" s="52">
        <v>11109986</v>
      </c>
    </row>
    <row r="14" spans="1:15" x14ac:dyDescent="0.3">
      <c r="G14" s="2" t="s">
        <v>22</v>
      </c>
      <c r="H14" s="52">
        <v>619349695</v>
      </c>
      <c r="J14" s="2" t="s">
        <v>7</v>
      </c>
      <c r="K14" s="52">
        <v>917323</v>
      </c>
      <c r="L14" s="52">
        <v>11614082</v>
      </c>
    </row>
    <row r="15" spans="1:15" ht="17.399999999999999" x14ac:dyDescent="0.35">
      <c r="H15" s="14"/>
      <c r="J15" s="2" t="s">
        <v>2</v>
      </c>
      <c r="K15" s="52">
        <v>988740</v>
      </c>
      <c r="L15" s="52">
        <v>12430327</v>
      </c>
    </row>
    <row r="16" spans="1:15" ht="17.399999999999999" x14ac:dyDescent="0.35">
      <c r="H16" s="13"/>
      <c r="J16" s="2" t="s">
        <v>43</v>
      </c>
      <c r="K16" s="52">
        <v>787751</v>
      </c>
      <c r="L16" s="52">
        <v>9792730</v>
      </c>
    </row>
    <row r="17" spans="8:12" ht="17.399999999999999" x14ac:dyDescent="0.35">
      <c r="H17" s="13"/>
      <c r="J17" s="2" t="s">
        <v>67</v>
      </c>
      <c r="K17" s="52">
        <v>856645</v>
      </c>
      <c r="L17" s="52">
        <v>10512259</v>
      </c>
    </row>
    <row r="18" spans="8:12" ht="17.399999999999999" x14ac:dyDescent="0.35">
      <c r="H18" s="13"/>
      <c r="J18" s="2" t="s">
        <v>58</v>
      </c>
      <c r="K18" s="52">
        <v>477643</v>
      </c>
      <c r="L18" s="52">
        <v>7497052</v>
      </c>
    </row>
    <row r="19" spans="8:12" ht="17.399999999999999" x14ac:dyDescent="0.35">
      <c r="H19" s="13"/>
      <c r="J19" s="2" t="s">
        <v>49</v>
      </c>
      <c r="K19" s="52">
        <v>290505</v>
      </c>
      <c r="L19" s="52">
        <v>4443615</v>
      </c>
    </row>
    <row r="20" spans="8:12" ht="17.399999999999999" x14ac:dyDescent="0.35">
      <c r="H20" s="13"/>
      <c r="J20" s="2" t="s">
        <v>71</v>
      </c>
      <c r="K20" s="52">
        <v>643103</v>
      </c>
      <c r="L20" s="52">
        <v>8145682</v>
      </c>
    </row>
    <row r="21" spans="8:12" ht="17.399999999999999" x14ac:dyDescent="0.35">
      <c r="H21" s="13"/>
      <c r="J21" s="2" t="s">
        <v>74</v>
      </c>
      <c r="K21" s="52">
        <v>406707</v>
      </c>
      <c r="L21" s="52">
        <v>4653429</v>
      </c>
    </row>
    <row r="22" spans="8:12" ht="17.399999999999999" x14ac:dyDescent="0.35">
      <c r="H22" s="13"/>
      <c r="J22" s="2" t="s">
        <v>76</v>
      </c>
      <c r="K22" s="52">
        <v>367338</v>
      </c>
      <c r="L22" s="52">
        <v>3790877</v>
      </c>
    </row>
    <row r="23" spans="8:12" ht="17.399999999999999" x14ac:dyDescent="0.35">
      <c r="H23" s="13"/>
      <c r="J23" s="2" t="s">
        <v>31</v>
      </c>
      <c r="K23" s="52">
        <v>390950</v>
      </c>
      <c r="L23" s="52">
        <v>8707186</v>
      </c>
    </row>
    <row r="24" spans="8:12" ht="17.399999999999999" x14ac:dyDescent="0.35">
      <c r="H24" s="13"/>
      <c r="J24" s="2" t="s">
        <v>78</v>
      </c>
      <c r="K24" s="52">
        <v>530071</v>
      </c>
      <c r="L24" s="52">
        <v>6649271</v>
      </c>
    </row>
    <row r="25" spans="8:12" x14ac:dyDescent="0.3">
      <c r="J25" s="2" t="s">
        <v>54</v>
      </c>
      <c r="K25" s="52">
        <v>570378</v>
      </c>
      <c r="L25" s="52">
        <v>9256092</v>
      </c>
    </row>
    <row r="26" spans="8:12" x14ac:dyDescent="0.3">
      <c r="J26" s="2" t="s">
        <v>80</v>
      </c>
      <c r="K26" s="52">
        <v>596255</v>
      </c>
      <c r="L26" s="52">
        <v>7596620</v>
      </c>
    </row>
    <row r="27" spans="8:12" x14ac:dyDescent="0.3">
      <c r="J27" s="2" t="s">
        <v>82</v>
      </c>
      <c r="K27" s="52">
        <v>370567</v>
      </c>
      <c r="L27" s="52">
        <v>4168251</v>
      </c>
    </row>
    <row r="28" spans="8:12" x14ac:dyDescent="0.3">
      <c r="J28" s="2" t="s">
        <v>85</v>
      </c>
      <c r="K28" s="52">
        <v>606157</v>
      </c>
      <c r="L28" s="52">
        <v>6239476</v>
      </c>
    </row>
    <row r="29" spans="8:12" x14ac:dyDescent="0.3">
      <c r="J29" s="2" t="s">
        <v>37</v>
      </c>
      <c r="K29" s="52">
        <v>285432</v>
      </c>
      <c r="L29" s="52">
        <v>5070734</v>
      </c>
    </row>
    <row r="30" spans="8:12" x14ac:dyDescent="0.3">
      <c r="J30" s="2" t="s">
        <v>86</v>
      </c>
      <c r="K30" s="52">
        <v>404641</v>
      </c>
      <c r="L30" s="52">
        <v>5026602</v>
      </c>
    </row>
    <row r="31" spans="8:12" x14ac:dyDescent="0.3">
      <c r="J31" s="2" t="s">
        <v>69</v>
      </c>
      <c r="K31" s="52">
        <v>480903</v>
      </c>
      <c r="L31" s="52">
        <v>6795489</v>
      </c>
    </row>
    <row r="32" spans="8:12" x14ac:dyDescent="0.3">
      <c r="J32" s="2" t="s">
        <v>12</v>
      </c>
      <c r="K32" s="52">
        <v>789620</v>
      </c>
      <c r="L32" s="52">
        <v>11188721</v>
      </c>
    </row>
    <row r="33" spans="10:12" x14ac:dyDescent="0.3">
      <c r="J33" s="2" t="s">
        <v>89</v>
      </c>
      <c r="K33" s="52">
        <v>300869</v>
      </c>
      <c r="L33" s="52">
        <v>3283247</v>
      </c>
    </row>
    <row r="34" spans="10:12" x14ac:dyDescent="0.3">
      <c r="J34" s="2" t="s">
        <v>52</v>
      </c>
      <c r="K34" s="52">
        <v>510821</v>
      </c>
      <c r="L34" s="52">
        <v>8450686</v>
      </c>
    </row>
    <row r="35" spans="10:12" x14ac:dyDescent="0.3">
      <c r="J35" s="2" t="s">
        <v>33</v>
      </c>
      <c r="K35" s="52">
        <v>467516</v>
      </c>
      <c r="L35" s="52">
        <v>6491625</v>
      </c>
    </row>
    <row r="36" spans="10:12" x14ac:dyDescent="0.3">
      <c r="J36" s="2" t="s">
        <v>79</v>
      </c>
      <c r="K36" s="52">
        <v>685433</v>
      </c>
      <c r="L36" s="52">
        <v>8970011</v>
      </c>
    </row>
    <row r="37" spans="10:12" x14ac:dyDescent="0.3">
      <c r="J37" s="2" t="s">
        <v>61</v>
      </c>
      <c r="K37" s="52">
        <v>417491</v>
      </c>
      <c r="L37" s="52">
        <v>6454333</v>
      </c>
    </row>
    <row r="38" spans="10:12" x14ac:dyDescent="0.3">
      <c r="J38" s="2" t="s">
        <v>95</v>
      </c>
      <c r="K38" s="52">
        <v>557253</v>
      </c>
      <c r="L38" s="52">
        <v>6259729</v>
      </c>
    </row>
    <row r="39" spans="10:12" x14ac:dyDescent="0.3">
      <c r="J39" s="2" t="s">
        <v>93</v>
      </c>
      <c r="K39" s="52">
        <v>621595</v>
      </c>
      <c r="L39" s="52">
        <v>8055121</v>
      </c>
    </row>
    <row r="40" spans="10:12" x14ac:dyDescent="0.3">
      <c r="J40" s="2" t="s">
        <v>5</v>
      </c>
      <c r="K40" s="52">
        <v>1014063</v>
      </c>
      <c r="L40" s="52">
        <v>12234026</v>
      </c>
    </row>
    <row r="41" spans="10:12" x14ac:dyDescent="0.3">
      <c r="J41" s="2" t="s">
        <v>96</v>
      </c>
      <c r="K41" s="52">
        <v>800460</v>
      </c>
      <c r="L41" s="52">
        <v>8763923</v>
      </c>
    </row>
    <row r="42" spans="10:12" x14ac:dyDescent="0.3">
      <c r="J42" s="2" t="s">
        <v>8</v>
      </c>
      <c r="K42" s="52">
        <v>907106</v>
      </c>
      <c r="L42" s="52">
        <v>12017426</v>
      </c>
    </row>
    <row r="43" spans="10:12" x14ac:dyDescent="0.3">
      <c r="J43" s="2" t="s">
        <v>56</v>
      </c>
      <c r="K43" s="52">
        <v>693977</v>
      </c>
      <c r="L43" s="52">
        <v>8860363</v>
      </c>
    </row>
    <row r="44" spans="10:12" x14ac:dyDescent="0.3">
      <c r="J44" s="2" t="s">
        <v>46</v>
      </c>
      <c r="K44" s="52">
        <v>753290</v>
      </c>
      <c r="L44" s="52">
        <v>6266265</v>
      </c>
    </row>
    <row r="45" spans="10:12" x14ac:dyDescent="0.3">
      <c r="J45" s="2" t="s">
        <v>98</v>
      </c>
      <c r="K45" s="52">
        <v>728608</v>
      </c>
      <c r="L45" s="52">
        <v>7931968</v>
      </c>
    </row>
    <row r="46" spans="10:12" x14ac:dyDescent="0.3">
      <c r="J46" s="2" t="s">
        <v>48</v>
      </c>
      <c r="K46" s="52">
        <v>513256</v>
      </c>
      <c r="L46" s="52">
        <v>8766210</v>
      </c>
    </row>
    <row r="47" spans="10:12" x14ac:dyDescent="0.3">
      <c r="J47" s="2" t="s">
        <v>57</v>
      </c>
      <c r="K47" s="52">
        <v>955577</v>
      </c>
      <c r="L47" s="52">
        <v>10628685</v>
      </c>
    </row>
    <row r="48" spans="10:12" x14ac:dyDescent="0.3">
      <c r="J48" s="2" t="s">
        <v>83</v>
      </c>
      <c r="K48" s="52">
        <v>574138</v>
      </c>
      <c r="L48" s="52">
        <v>6950205</v>
      </c>
    </row>
    <row r="49" spans="10:12" x14ac:dyDescent="0.3">
      <c r="J49" s="2" t="s">
        <v>99</v>
      </c>
      <c r="K49" s="52">
        <v>731749</v>
      </c>
      <c r="L49" s="52">
        <v>7801496</v>
      </c>
    </row>
    <row r="50" spans="10:12" x14ac:dyDescent="0.3">
      <c r="J50" s="2" t="s">
        <v>13</v>
      </c>
      <c r="K50" s="52">
        <v>850847</v>
      </c>
      <c r="L50" s="52">
        <v>11597483</v>
      </c>
    </row>
    <row r="51" spans="10:12" x14ac:dyDescent="0.3">
      <c r="J51" s="2" t="s">
        <v>75</v>
      </c>
      <c r="K51" s="52">
        <v>410762</v>
      </c>
      <c r="L51" s="52">
        <v>4139688</v>
      </c>
    </row>
    <row r="52" spans="10:12" x14ac:dyDescent="0.3">
      <c r="J52" s="2" t="s">
        <v>70</v>
      </c>
      <c r="K52" s="52">
        <v>751630</v>
      </c>
      <c r="L52" s="52">
        <v>9870839</v>
      </c>
    </row>
    <row r="53" spans="10:12" x14ac:dyDescent="0.3">
      <c r="J53" s="2" t="s">
        <v>38</v>
      </c>
      <c r="K53" s="52">
        <v>380075</v>
      </c>
      <c r="L53" s="52">
        <v>5161292</v>
      </c>
    </row>
    <row r="54" spans="10:12" x14ac:dyDescent="0.3">
      <c r="J54" s="2" t="s">
        <v>88</v>
      </c>
      <c r="K54" s="52">
        <v>859862</v>
      </c>
      <c r="L54" s="52">
        <v>9296280</v>
      </c>
    </row>
    <row r="55" spans="10:12" x14ac:dyDescent="0.3">
      <c r="J55" s="2" t="s">
        <v>68</v>
      </c>
      <c r="K55" s="52">
        <v>661201</v>
      </c>
      <c r="L55" s="52">
        <v>7991433</v>
      </c>
    </row>
    <row r="56" spans="10:12" x14ac:dyDescent="0.3">
      <c r="J56" s="2" t="s">
        <v>10</v>
      </c>
      <c r="K56" s="52">
        <v>978613</v>
      </c>
      <c r="L56" s="52">
        <v>11927560</v>
      </c>
    </row>
    <row r="57" spans="10:12" x14ac:dyDescent="0.3">
      <c r="J57" s="2" t="s">
        <v>72</v>
      </c>
      <c r="K57" s="52">
        <v>207312</v>
      </c>
      <c r="L57" s="52">
        <v>2895497</v>
      </c>
    </row>
    <row r="58" spans="10:12" x14ac:dyDescent="0.3">
      <c r="J58" s="2" t="s">
        <v>103</v>
      </c>
      <c r="K58" s="52">
        <v>382887</v>
      </c>
      <c r="L58" s="52">
        <v>4104706</v>
      </c>
    </row>
    <row r="59" spans="10:12" x14ac:dyDescent="0.3">
      <c r="J59" s="2" t="s">
        <v>104</v>
      </c>
      <c r="K59" s="52">
        <v>670514</v>
      </c>
      <c r="L59" s="52">
        <v>6621701</v>
      </c>
    </row>
    <row r="60" spans="10:12" x14ac:dyDescent="0.3">
      <c r="J60" s="2" t="s">
        <v>41</v>
      </c>
      <c r="K60" s="52">
        <v>976754</v>
      </c>
      <c r="L60" s="52">
        <v>10162536</v>
      </c>
    </row>
    <row r="61" spans="10:12" x14ac:dyDescent="0.3">
      <c r="J61" s="2" t="s">
        <v>105</v>
      </c>
      <c r="K61" s="52">
        <v>213273</v>
      </c>
      <c r="L61" s="52">
        <v>1794735</v>
      </c>
    </row>
    <row r="62" spans="10:12" x14ac:dyDescent="0.3">
      <c r="J62" s="2" t="s">
        <v>106</v>
      </c>
      <c r="K62" s="52">
        <v>697143</v>
      </c>
      <c r="L62" s="52">
        <v>6639744</v>
      </c>
    </row>
    <row r="63" spans="10:12" x14ac:dyDescent="0.3">
      <c r="J63" s="2" t="s">
        <v>107</v>
      </c>
      <c r="K63" s="52">
        <v>455466</v>
      </c>
      <c r="L63" s="52">
        <v>4346850</v>
      </c>
    </row>
    <row r="64" spans="10:12" x14ac:dyDescent="0.3">
      <c r="J64" s="2" t="s">
        <v>77</v>
      </c>
      <c r="K64" s="52">
        <v>526617</v>
      </c>
      <c r="L64" s="52">
        <v>6489688</v>
      </c>
    </row>
    <row r="65" spans="10:12" x14ac:dyDescent="0.3">
      <c r="J65" s="2" t="s">
        <v>63</v>
      </c>
      <c r="K65" s="52">
        <v>567231</v>
      </c>
      <c r="L65" s="52">
        <v>7612709</v>
      </c>
    </row>
    <row r="66" spans="10:12" x14ac:dyDescent="0.3">
      <c r="J66" s="2" t="s">
        <v>81</v>
      </c>
      <c r="K66" s="52">
        <v>658297</v>
      </c>
      <c r="L66" s="52">
        <v>7710883</v>
      </c>
    </row>
    <row r="67" spans="10:12" x14ac:dyDescent="0.3">
      <c r="J67" s="2" t="s">
        <v>64</v>
      </c>
      <c r="K67" s="52">
        <v>565380</v>
      </c>
      <c r="L67" s="52">
        <v>7734444</v>
      </c>
    </row>
    <row r="68" spans="10:12" x14ac:dyDescent="0.3">
      <c r="J68" s="2" t="s">
        <v>45</v>
      </c>
      <c r="K68" s="52">
        <v>591303</v>
      </c>
      <c r="L68" s="52">
        <v>8920988</v>
      </c>
    </row>
    <row r="69" spans="10:12" x14ac:dyDescent="0.3">
      <c r="J69" s="2" t="s">
        <v>111</v>
      </c>
      <c r="K69" s="52">
        <v>336545</v>
      </c>
      <c r="L69" s="52">
        <v>2543717</v>
      </c>
    </row>
    <row r="70" spans="10:12" x14ac:dyDescent="0.3">
      <c r="J70" s="2" t="s">
        <v>110</v>
      </c>
      <c r="K70" s="52">
        <v>866699</v>
      </c>
      <c r="L70" s="52">
        <v>8799284</v>
      </c>
    </row>
    <row r="71" spans="10:12" x14ac:dyDescent="0.3">
      <c r="J71" s="2" t="s">
        <v>108</v>
      </c>
      <c r="K71" s="52">
        <v>618087</v>
      </c>
      <c r="L71" s="52">
        <v>6805614</v>
      </c>
    </row>
    <row r="72" spans="10:12" x14ac:dyDescent="0.3">
      <c r="J72" s="2" t="s">
        <v>91</v>
      </c>
      <c r="K72" s="52">
        <v>814569</v>
      </c>
      <c r="L72" s="52">
        <v>8555975</v>
      </c>
    </row>
    <row r="73" spans="10:12" x14ac:dyDescent="0.3">
      <c r="J73" s="2" t="s">
        <v>90</v>
      </c>
      <c r="K73" s="52">
        <v>415022</v>
      </c>
      <c r="L73" s="52">
        <v>4932238</v>
      </c>
    </row>
    <row r="74" spans="10:12" x14ac:dyDescent="0.3">
      <c r="J74" s="2" t="s">
        <v>112</v>
      </c>
      <c r="K74" s="52">
        <v>514936</v>
      </c>
      <c r="L74" s="52">
        <v>3260828</v>
      </c>
    </row>
    <row r="75" spans="10:12" x14ac:dyDescent="0.3">
      <c r="J75" s="2" t="s">
        <v>87</v>
      </c>
      <c r="K75" s="52">
        <v>260438</v>
      </c>
      <c r="L75" s="52">
        <v>3394416</v>
      </c>
    </row>
    <row r="76" spans="10:12" x14ac:dyDescent="0.3">
      <c r="J76" s="2" t="s">
        <v>100</v>
      </c>
      <c r="K76" s="52">
        <v>551809</v>
      </c>
      <c r="L76" s="52">
        <v>7141295</v>
      </c>
    </row>
    <row r="77" spans="10:12" x14ac:dyDescent="0.3">
      <c r="J77" s="2" t="s">
        <v>109</v>
      </c>
      <c r="K77" s="52">
        <v>581867</v>
      </c>
      <c r="L77" s="52">
        <v>5682217</v>
      </c>
    </row>
    <row r="78" spans="10:12" x14ac:dyDescent="0.3">
      <c r="J78" s="2" t="s">
        <v>51</v>
      </c>
      <c r="K78" s="52">
        <v>554113</v>
      </c>
      <c r="L78" s="52">
        <v>8676135</v>
      </c>
    </row>
    <row r="79" spans="10:12" x14ac:dyDescent="0.3">
      <c r="J79" s="2" t="s">
        <v>101</v>
      </c>
      <c r="K79" s="52">
        <v>612209</v>
      </c>
      <c r="L79" s="52">
        <v>7678123</v>
      </c>
    </row>
    <row r="80" spans="10:12" x14ac:dyDescent="0.3">
      <c r="J80" s="2" t="s">
        <v>73</v>
      </c>
      <c r="K80" s="52">
        <v>782988</v>
      </c>
      <c r="L80" s="52">
        <v>9670811</v>
      </c>
    </row>
    <row r="81" spans="10:12" x14ac:dyDescent="0.3">
      <c r="J81" s="2" t="s">
        <v>94</v>
      </c>
      <c r="K81" s="52">
        <v>423362</v>
      </c>
      <c r="L81" s="52">
        <v>4461261</v>
      </c>
    </row>
    <row r="82" spans="10:12" x14ac:dyDescent="0.3">
      <c r="J82" s="2" t="s">
        <v>92</v>
      </c>
      <c r="K82" s="52">
        <v>508549</v>
      </c>
      <c r="L82" s="52">
        <v>6479884</v>
      </c>
    </row>
    <row r="83" spans="10:12" x14ac:dyDescent="0.3">
      <c r="J83" s="2" t="s">
        <v>18</v>
      </c>
      <c r="K83" s="52">
        <v>763750</v>
      </c>
      <c r="L83" s="52">
        <v>11228789</v>
      </c>
    </row>
    <row r="84" spans="10:12" x14ac:dyDescent="0.3">
      <c r="J84" s="2" t="s">
        <v>62</v>
      </c>
      <c r="K84" s="52">
        <v>561823</v>
      </c>
      <c r="L84" s="52">
        <v>7156698</v>
      </c>
    </row>
    <row r="85" spans="10:12" x14ac:dyDescent="0.3">
      <c r="J85" s="2" t="s">
        <v>65</v>
      </c>
      <c r="K85" s="52">
        <v>719978</v>
      </c>
      <c r="L85" s="52">
        <v>7476434</v>
      </c>
    </row>
    <row r="86" spans="10:12" x14ac:dyDescent="0.3">
      <c r="J86" s="2" t="s">
        <v>16</v>
      </c>
      <c r="K86" s="52">
        <v>764657</v>
      </c>
      <c r="L86" s="52">
        <v>11313309</v>
      </c>
    </row>
    <row r="87" spans="10:12" x14ac:dyDescent="0.3">
      <c r="J87" s="2" t="s">
        <v>84</v>
      </c>
      <c r="K87" s="52">
        <v>458468</v>
      </c>
      <c r="L87" s="52">
        <v>4802926</v>
      </c>
    </row>
    <row r="88" spans="10:12" x14ac:dyDescent="0.3">
      <c r="J88" s="2" t="s">
        <v>36</v>
      </c>
      <c r="K88" s="52">
        <v>1045319</v>
      </c>
      <c r="L88" s="52">
        <v>10148261</v>
      </c>
    </row>
    <row r="89" spans="10:12" x14ac:dyDescent="0.3">
      <c r="J89" s="2" t="s">
        <v>66</v>
      </c>
      <c r="K89" s="52">
        <v>373981</v>
      </c>
      <c r="L89" s="52">
        <v>5925313</v>
      </c>
    </row>
    <row r="90" spans="10:12" x14ac:dyDescent="0.3">
      <c r="J90" s="2" t="s">
        <v>97</v>
      </c>
      <c r="K90" s="52">
        <v>680861</v>
      </c>
      <c r="L90" s="52">
        <v>8157281</v>
      </c>
    </row>
    <row r="91" spans="10:12" x14ac:dyDescent="0.3">
      <c r="J91" s="2" t="s">
        <v>102</v>
      </c>
      <c r="K91" s="52">
        <v>768213</v>
      </c>
      <c r="L91" s="52">
        <v>8349881</v>
      </c>
    </row>
    <row r="92" spans="10:12" x14ac:dyDescent="0.3">
      <c r="J92" s="2" t="s">
        <v>22</v>
      </c>
      <c r="K92" s="52">
        <v>54830903</v>
      </c>
      <c r="L92" s="52">
        <v>674180598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A3AC8-4C26-4019-AC45-6B01CA9FB866}">
  <dimension ref="A1:AN93"/>
  <sheetViews>
    <sheetView tabSelected="1" workbookViewId="0">
      <selection activeCell="K19" sqref="K19"/>
    </sheetView>
  </sheetViews>
  <sheetFormatPr defaultRowHeight="14.4" x14ac:dyDescent="0.3"/>
  <cols>
    <col min="1" max="3" width="10.33203125" customWidth="1"/>
    <col min="4" max="4" width="22.33203125" bestFit="1" customWidth="1"/>
    <col min="5" max="6" width="10.33203125" customWidth="1"/>
    <col min="8" max="8" width="10.33203125" customWidth="1"/>
    <col min="9" max="9" width="12" bestFit="1" customWidth="1"/>
    <col min="10" max="10" width="11" bestFit="1" customWidth="1"/>
    <col min="11" max="11" width="12" bestFit="1" customWidth="1"/>
    <col min="12" max="12" width="19.44140625" customWidth="1"/>
    <col min="13" max="13" width="13.33203125" customWidth="1"/>
    <col min="14" max="14" width="10.33203125" customWidth="1"/>
    <col min="15" max="15" width="12.5546875" customWidth="1"/>
    <col min="16" max="16" width="10.33203125" customWidth="1"/>
    <col min="17" max="18" width="12.5546875" customWidth="1"/>
    <col min="19" max="19" width="11.21875" customWidth="1"/>
    <col min="20" max="21" width="10.33203125" customWidth="1"/>
    <col min="22" max="22" width="17.21875" customWidth="1"/>
    <col min="24" max="24" width="9.33203125" bestFit="1" customWidth="1"/>
    <col min="25" max="25" width="9" bestFit="1" customWidth="1"/>
    <col min="26" max="28" width="10.33203125" customWidth="1"/>
    <col min="29" max="29" width="16.88671875" customWidth="1"/>
    <col min="31" max="31" width="9.33203125" bestFit="1" customWidth="1"/>
    <col min="32" max="32" width="25" customWidth="1"/>
    <col min="33" max="33" width="18.33203125" customWidth="1"/>
    <col min="34" max="34" width="13.44140625" customWidth="1"/>
    <col min="36" max="42" width="10.33203125" customWidth="1"/>
  </cols>
  <sheetData>
    <row r="1" spans="1:40" ht="15.6" customHeight="1" x14ac:dyDescent="0.3">
      <c r="L1" s="4"/>
    </row>
    <row r="2" spans="1:40" ht="14.4" customHeight="1" x14ac:dyDescent="0.3">
      <c r="A2" s="35" t="s">
        <v>23</v>
      </c>
      <c r="B2" s="36"/>
      <c r="C2" s="36"/>
      <c r="D2" s="36"/>
      <c r="E2" s="36"/>
      <c r="F2" s="37"/>
      <c r="G2" s="4"/>
      <c r="H2" s="6" t="s">
        <v>24</v>
      </c>
      <c r="I2" s="6"/>
      <c r="J2" s="6"/>
      <c r="K2" s="6"/>
      <c r="L2" s="4"/>
      <c r="M2" s="6" t="s">
        <v>25</v>
      </c>
      <c r="N2" s="6"/>
      <c r="O2" s="6"/>
      <c r="P2" s="6"/>
      <c r="Q2" s="6"/>
      <c r="S2" s="5" t="s">
        <v>26</v>
      </c>
      <c r="T2" s="5"/>
      <c r="U2" s="5"/>
      <c r="V2" s="5"/>
      <c r="Z2" s="35" t="s">
        <v>27</v>
      </c>
      <c r="AA2" s="36"/>
      <c r="AB2" s="36"/>
      <c r="AC2" s="37"/>
      <c r="AF2" s="48" t="s">
        <v>28</v>
      </c>
      <c r="AG2" s="49"/>
      <c r="AH2" s="50"/>
    </row>
    <row r="3" spans="1:40" x14ac:dyDescent="0.3">
      <c r="A3" s="38"/>
      <c r="B3" s="39"/>
      <c r="C3" s="39"/>
      <c r="D3" s="39"/>
      <c r="E3" s="39"/>
      <c r="F3" s="40"/>
      <c r="H3" s="7"/>
      <c r="I3" s="7"/>
      <c r="J3" s="7"/>
      <c r="K3" s="7"/>
      <c r="M3" s="7"/>
      <c r="N3" s="7"/>
      <c r="O3" s="7"/>
      <c r="P3" s="7"/>
      <c r="Q3" s="7"/>
      <c r="S3" s="5"/>
      <c r="T3" s="5"/>
      <c r="U3" s="5"/>
      <c r="V3" s="5"/>
      <c r="Z3" s="35"/>
      <c r="AA3" s="36"/>
      <c r="AB3" s="36"/>
      <c r="AC3" s="37"/>
      <c r="AF3" s="35"/>
      <c r="AG3" s="36"/>
      <c r="AH3" s="37"/>
      <c r="AJ3" s="51" t="s">
        <v>29</v>
      </c>
      <c r="AK3" s="51"/>
      <c r="AL3" s="51"/>
      <c r="AM3" s="51"/>
      <c r="AN3" s="51"/>
    </row>
    <row r="4" spans="1:40" x14ac:dyDescent="0.3">
      <c r="A4" s="41" t="s">
        <v>17</v>
      </c>
      <c r="B4" s="41" t="s">
        <v>3</v>
      </c>
      <c r="C4" s="41">
        <v>19</v>
      </c>
      <c r="H4" s="8" t="s">
        <v>31</v>
      </c>
      <c r="I4" s="8">
        <v>1088398.25</v>
      </c>
      <c r="J4" s="8">
        <v>48868.75</v>
      </c>
      <c r="K4" s="8">
        <v>1039529.5</v>
      </c>
      <c r="M4" s="8" t="s">
        <v>32</v>
      </c>
      <c r="N4" s="8"/>
      <c r="O4" s="8"/>
      <c r="P4" s="8"/>
      <c r="Q4" s="8"/>
      <c r="S4" s="8" t="s">
        <v>33</v>
      </c>
      <c r="T4" s="8">
        <v>872</v>
      </c>
      <c r="U4" s="8">
        <v>1087</v>
      </c>
      <c r="V4" s="8">
        <v>80.22</v>
      </c>
      <c r="Z4" s="46" t="s">
        <v>34</v>
      </c>
      <c r="AA4" s="47">
        <v>8504587</v>
      </c>
      <c r="AF4" s="42" t="s">
        <v>35</v>
      </c>
      <c r="AG4" s="43">
        <v>1000</v>
      </c>
      <c r="AH4" s="44">
        <v>619349695</v>
      </c>
      <c r="AJ4" s="45" t="s">
        <v>31</v>
      </c>
      <c r="AK4" s="45">
        <v>9041.73</v>
      </c>
    </row>
    <row r="5" spans="1:40" x14ac:dyDescent="0.3">
      <c r="A5" s="41" t="s">
        <v>6</v>
      </c>
      <c r="B5" s="41" t="s">
        <v>11</v>
      </c>
      <c r="C5" s="41">
        <v>19</v>
      </c>
      <c r="H5" s="8" t="s">
        <v>37</v>
      </c>
      <c r="I5" s="8">
        <v>1014146.8</v>
      </c>
      <c r="J5" s="8">
        <v>57086.400000000001</v>
      </c>
      <c r="K5" s="8">
        <v>957060.4</v>
      </c>
      <c r="M5" s="8"/>
      <c r="N5" s="8"/>
      <c r="O5" s="8"/>
      <c r="P5" s="8"/>
      <c r="Q5" s="8"/>
      <c r="S5" s="8" t="s">
        <v>38</v>
      </c>
      <c r="T5" s="8">
        <v>684</v>
      </c>
      <c r="U5" s="8">
        <v>864</v>
      </c>
      <c r="V5" s="8">
        <v>79.17</v>
      </c>
      <c r="Z5" s="46" t="s">
        <v>39</v>
      </c>
      <c r="AA5" s="47">
        <v>8861636</v>
      </c>
      <c r="AJ5" s="45" t="s">
        <v>40</v>
      </c>
      <c r="AK5" s="45">
        <v>8810.49</v>
      </c>
    </row>
    <row r="6" spans="1:40" x14ac:dyDescent="0.3">
      <c r="A6" s="41" t="s">
        <v>17</v>
      </c>
      <c r="B6" s="41" t="s">
        <v>14</v>
      </c>
      <c r="C6" s="41">
        <v>18</v>
      </c>
      <c r="H6" s="8" t="s">
        <v>42</v>
      </c>
      <c r="I6" s="8">
        <v>981851.85710000002</v>
      </c>
      <c r="J6" s="8">
        <v>53954.571400000001</v>
      </c>
      <c r="K6" s="8">
        <v>927897.28570000001</v>
      </c>
      <c r="M6" s="8"/>
      <c r="N6" s="8"/>
      <c r="O6" s="8"/>
      <c r="P6" s="8"/>
      <c r="Q6" s="8"/>
      <c r="S6" s="8" t="s">
        <v>43</v>
      </c>
      <c r="T6" s="8">
        <v>1373</v>
      </c>
      <c r="U6" s="8">
        <v>1758</v>
      </c>
      <c r="V6" s="8">
        <v>78.099999999999994</v>
      </c>
      <c r="Z6" s="46" t="s">
        <v>44</v>
      </c>
      <c r="AA6" s="47">
        <v>8526743</v>
      </c>
      <c r="AJ6" s="45" t="s">
        <v>37</v>
      </c>
      <c r="AK6" s="45">
        <v>8326.33</v>
      </c>
    </row>
    <row r="7" spans="1:40" x14ac:dyDescent="0.3">
      <c r="A7" s="41" t="s">
        <v>9</v>
      </c>
      <c r="B7" s="41" t="s">
        <v>21</v>
      </c>
      <c r="C7" s="41">
        <v>17</v>
      </c>
      <c r="H7" s="8" t="s">
        <v>45</v>
      </c>
      <c r="I7" s="8">
        <v>991220.88890000002</v>
      </c>
      <c r="J7" s="8">
        <v>65700.333299999998</v>
      </c>
      <c r="K7" s="8">
        <v>925520.55559999996</v>
      </c>
      <c r="S7" s="8" t="s">
        <v>46</v>
      </c>
      <c r="T7" s="8">
        <v>1240</v>
      </c>
      <c r="U7" s="8">
        <v>1626</v>
      </c>
      <c r="V7" s="8">
        <v>76.260000000000005</v>
      </c>
      <c r="Z7" s="46" t="s">
        <v>47</v>
      </c>
      <c r="AA7" s="47">
        <v>5074558</v>
      </c>
      <c r="AJ7" s="45" t="s">
        <v>48</v>
      </c>
      <c r="AK7" s="45">
        <v>8162.21</v>
      </c>
    </row>
    <row r="8" spans="1:40" x14ac:dyDescent="0.3">
      <c r="A8" s="41" t="s">
        <v>9</v>
      </c>
      <c r="B8" s="41" t="s">
        <v>3</v>
      </c>
      <c r="C8" s="41">
        <v>17</v>
      </c>
      <c r="H8" s="8" t="s">
        <v>48</v>
      </c>
      <c r="I8" s="8">
        <v>974023.33330000006</v>
      </c>
      <c r="J8" s="8">
        <v>57028.4444</v>
      </c>
      <c r="K8" s="8">
        <v>916994.88890000002</v>
      </c>
      <c r="S8" s="8" t="s">
        <v>49</v>
      </c>
      <c r="T8" s="8">
        <v>515</v>
      </c>
      <c r="U8" s="8">
        <v>682</v>
      </c>
      <c r="V8" s="8">
        <v>75.510000000000005</v>
      </c>
      <c r="Z8" s="46" t="s">
        <v>50</v>
      </c>
      <c r="AA8" s="47">
        <v>8562706</v>
      </c>
      <c r="AJ8" s="45" t="s">
        <v>51</v>
      </c>
      <c r="AK8" s="45">
        <v>7030.9</v>
      </c>
    </row>
    <row r="9" spans="1:40" x14ac:dyDescent="0.3">
      <c r="A9" s="41" t="s">
        <v>3</v>
      </c>
      <c r="B9" s="41" t="s">
        <v>11</v>
      </c>
      <c r="C9" s="41">
        <v>17</v>
      </c>
      <c r="H9" s="8" t="s">
        <v>51</v>
      </c>
      <c r="I9" s="8">
        <v>867613.5</v>
      </c>
      <c r="J9" s="8">
        <v>55411.3</v>
      </c>
      <c r="K9" s="8">
        <v>812202.2</v>
      </c>
      <c r="Q9" s="9"/>
      <c r="R9" s="9"/>
      <c r="S9" s="8" t="s">
        <v>18</v>
      </c>
      <c r="T9" s="8">
        <v>1505</v>
      </c>
      <c r="U9" s="8">
        <v>2002</v>
      </c>
      <c r="V9" s="8">
        <v>75.17</v>
      </c>
      <c r="Z9" s="46" t="s">
        <v>40</v>
      </c>
      <c r="AA9" s="47">
        <v>6298483</v>
      </c>
      <c r="AJ9" s="45" t="s">
        <v>42</v>
      </c>
      <c r="AK9" s="45">
        <v>7027.57</v>
      </c>
    </row>
    <row r="10" spans="1:40" x14ac:dyDescent="0.3">
      <c r="A10" s="41" t="s">
        <v>9</v>
      </c>
      <c r="B10" s="41" t="s">
        <v>11</v>
      </c>
      <c r="C10" s="41">
        <v>17</v>
      </c>
      <c r="H10" s="8" t="s">
        <v>18</v>
      </c>
      <c r="I10" s="8">
        <v>863753</v>
      </c>
      <c r="J10" s="8">
        <v>58750</v>
      </c>
      <c r="K10" s="8">
        <v>805003</v>
      </c>
      <c r="S10" s="8" t="s">
        <v>42</v>
      </c>
      <c r="T10" s="8">
        <v>844</v>
      </c>
      <c r="U10" s="8">
        <v>1138</v>
      </c>
      <c r="V10" s="8">
        <v>74.17</v>
      </c>
      <c r="Z10" s="46" t="s">
        <v>42</v>
      </c>
      <c r="AA10" s="47">
        <v>6495281</v>
      </c>
      <c r="AJ10" s="45" t="s">
        <v>52</v>
      </c>
      <c r="AK10" s="45">
        <v>6776.81</v>
      </c>
    </row>
    <row r="11" spans="1:40" x14ac:dyDescent="0.3">
      <c r="A11" s="41" t="s">
        <v>3</v>
      </c>
      <c r="B11" s="41" t="s">
        <v>20</v>
      </c>
      <c r="C11" s="41">
        <v>17</v>
      </c>
      <c r="H11" s="8" t="s">
        <v>52</v>
      </c>
      <c r="I11" s="8">
        <v>845068.6</v>
      </c>
      <c r="J11" s="8">
        <v>51082.1</v>
      </c>
      <c r="K11" s="8">
        <v>793986.5</v>
      </c>
      <c r="S11" s="8" t="s">
        <v>31</v>
      </c>
      <c r="T11" s="8">
        <v>914</v>
      </c>
      <c r="U11" s="8">
        <v>1237</v>
      </c>
      <c r="V11" s="8">
        <v>73.89</v>
      </c>
      <c r="Z11" s="46" t="s">
        <v>53</v>
      </c>
      <c r="AA11" s="47">
        <v>5102726</v>
      </c>
      <c r="AJ11" s="45" t="s">
        <v>54</v>
      </c>
      <c r="AK11" s="45">
        <v>6322.47</v>
      </c>
    </row>
    <row r="12" spans="1:40" x14ac:dyDescent="0.3">
      <c r="A12" s="41" t="s">
        <v>11</v>
      </c>
      <c r="B12" s="41" t="s">
        <v>14</v>
      </c>
      <c r="C12" s="41">
        <v>17</v>
      </c>
      <c r="H12" s="8" t="s">
        <v>54</v>
      </c>
      <c r="I12" s="8">
        <v>841462.90910000005</v>
      </c>
      <c r="J12" s="8">
        <v>51852.5455</v>
      </c>
      <c r="K12" s="8">
        <v>789610.36360000004</v>
      </c>
      <c r="S12" s="8" t="s">
        <v>44</v>
      </c>
      <c r="T12" s="8">
        <v>1226</v>
      </c>
      <c r="U12" s="8">
        <v>1661</v>
      </c>
      <c r="V12" s="8">
        <v>73.81</v>
      </c>
      <c r="Z12" s="46" t="s">
        <v>55</v>
      </c>
      <c r="AA12" s="47">
        <v>9670021</v>
      </c>
      <c r="AJ12" s="45" t="s">
        <v>56</v>
      </c>
      <c r="AK12" s="45">
        <v>6252.9</v>
      </c>
    </row>
    <row r="13" spans="1:40" x14ac:dyDescent="0.3">
      <c r="A13" s="41" t="s">
        <v>6</v>
      </c>
      <c r="B13" s="41" t="s">
        <v>21</v>
      </c>
      <c r="C13" s="41">
        <v>16</v>
      </c>
      <c r="H13" s="8" t="s">
        <v>40</v>
      </c>
      <c r="I13" s="8">
        <v>834794.375</v>
      </c>
      <c r="J13" s="8">
        <v>47484</v>
      </c>
      <c r="K13" s="8">
        <v>787310.375</v>
      </c>
      <c r="S13" s="8" t="s">
        <v>58</v>
      </c>
      <c r="T13" s="8">
        <v>989</v>
      </c>
      <c r="U13" s="8">
        <v>1343</v>
      </c>
      <c r="V13" s="8">
        <v>73.64</v>
      </c>
      <c r="Z13" s="46" t="s">
        <v>59</v>
      </c>
      <c r="AA13" s="47">
        <v>5335864</v>
      </c>
      <c r="AJ13" s="45" t="s">
        <v>18</v>
      </c>
      <c r="AK13" s="45">
        <v>6102.6</v>
      </c>
    </row>
    <row r="14" spans="1:40" x14ac:dyDescent="0.3">
      <c r="H14" s="8" t="s">
        <v>13</v>
      </c>
      <c r="I14" s="8">
        <v>828391.64289999998</v>
      </c>
      <c r="J14" s="8">
        <v>60774.7857</v>
      </c>
      <c r="K14" s="8">
        <v>767616.85710000002</v>
      </c>
      <c r="S14" s="8" t="s">
        <v>54</v>
      </c>
      <c r="T14" s="8">
        <v>1234</v>
      </c>
      <c r="U14" s="8">
        <v>1682</v>
      </c>
      <c r="V14" s="8">
        <v>73.37</v>
      </c>
      <c r="Z14" s="46" t="s">
        <v>60</v>
      </c>
      <c r="AA14" s="47">
        <v>4641328</v>
      </c>
      <c r="AJ14" s="45" t="s">
        <v>16</v>
      </c>
      <c r="AK14" s="45">
        <v>6082.42</v>
      </c>
    </row>
    <row r="15" spans="1:40" x14ac:dyDescent="0.3">
      <c r="H15" s="8" t="s">
        <v>61</v>
      </c>
      <c r="I15" s="8">
        <v>806791.625</v>
      </c>
      <c r="J15" s="8">
        <v>52186.375</v>
      </c>
      <c r="K15" s="8">
        <v>754605.25</v>
      </c>
      <c r="S15" s="8" t="s">
        <v>50</v>
      </c>
      <c r="T15" s="8">
        <v>1314</v>
      </c>
      <c r="U15" s="8">
        <v>1807</v>
      </c>
      <c r="V15" s="8">
        <v>72.72</v>
      </c>
      <c r="Z15" s="46" t="s">
        <v>4</v>
      </c>
      <c r="AA15" s="47">
        <v>10229543</v>
      </c>
      <c r="AJ15" s="45" t="s">
        <v>49</v>
      </c>
      <c r="AK15" s="45">
        <v>5988.7</v>
      </c>
    </row>
    <row r="16" spans="1:40" x14ac:dyDescent="0.3">
      <c r="H16" s="8" t="s">
        <v>33</v>
      </c>
      <c r="I16" s="8">
        <v>811453.125</v>
      </c>
      <c r="J16" s="8">
        <v>58439.5</v>
      </c>
      <c r="K16" s="8">
        <v>753013.625</v>
      </c>
      <c r="S16" s="8" t="s">
        <v>51</v>
      </c>
      <c r="T16" s="8">
        <v>1106</v>
      </c>
      <c r="U16" s="8">
        <v>1526</v>
      </c>
      <c r="V16" s="8">
        <v>72.48</v>
      </c>
      <c r="Z16" s="46" t="s">
        <v>7</v>
      </c>
      <c r="AA16" s="47">
        <v>10696759</v>
      </c>
      <c r="AJ16" s="45" t="s">
        <v>45</v>
      </c>
      <c r="AK16" s="45">
        <v>5789.09</v>
      </c>
    </row>
    <row r="17" spans="8:37" x14ac:dyDescent="0.3">
      <c r="H17" s="8" t="s">
        <v>62</v>
      </c>
      <c r="I17" s="8">
        <v>795188.66669999994</v>
      </c>
      <c r="J17" s="8">
        <v>62424.777800000003</v>
      </c>
      <c r="K17" s="8">
        <v>732763.88890000002</v>
      </c>
      <c r="S17" s="8" t="s">
        <v>63</v>
      </c>
      <c r="T17" s="8">
        <v>992</v>
      </c>
      <c r="U17" s="8">
        <v>1375</v>
      </c>
      <c r="V17" s="8">
        <v>72.150000000000006</v>
      </c>
      <c r="Z17" s="46" t="s">
        <v>2</v>
      </c>
      <c r="AA17" s="47">
        <v>11441587</v>
      </c>
      <c r="AJ17" s="45" t="s">
        <v>61</v>
      </c>
      <c r="AK17" s="45">
        <v>5747.4</v>
      </c>
    </row>
    <row r="18" spans="8:37" x14ac:dyDescent="0.3">
      <c r="H18" s="8" t="s">
        <v>64</v>
      </c>
      <c r="I18" s="8">
        <v>773444.4</v>
      </c>
      <c r="J18" s="8">
        <v>56538</v>
      </c>
      <c r="K18" s="8">
        <v>716906.4</v>
      </c>
      <c r="S18" s="8" t="s">
        <v>65</v>
      </c>
      <c r="T18" s="8">
        <v>1263</v>
      </c>
      <c r="U18" s="8">
        <v>1755</v>
      </c>
      <c r="V18" s="8">
        <v>71.97</v>
      </c>
      <c r="Z18" s="46" t="s">
        <v>43</v>
      </c>
      <c r="AA18" s="47">
        <v>9004979</v>
      </c>
      <c r="AJ18" s="45" t="s">
        <v>66</v>
      </c>
      <c r="AK18" s="45">
        <v>5730.48</v>
      </c>
    </row>
    <row r="19" spans="8:37" x14ac:dyDescent="0.3">
      <c r="H19" s="8" t="s">
        <v>50</v>
      </c>
      <c r="I19" s="8">
        <v>771409.33330000006</v>
      </c>
      <c r="J19" s="8">
        <v>57850.5</v>
      </c>
      <c r="K19" s="8">
        <v>713558.83330000006</v>
      </c>
      <c r="S19" s="8" t="s">
        <v>47</v>
      </c>
      <c r="T19" s="8">
        <v>826</v>
      </c>
      <c r="U19" s="8">
        <v>1172</v>
      </c>
      <c r="V19" s="8">
        <v>70.48</v>
      </c>
      <c r="Z19" s="46" t="s">
        <v>67</v>
      </c>
      <c r="AA19" s="47">
        <v>9655614</v>
      </c>
      <c r="AJ19" s="45" t="s">
        <v>33</v>
      </c>
      <c r="AK19" s="45">
        <v>5709.43</v>
      </c>
    </row>
    <row r="20" spans="8:37" x14ac:dyDescent="0.3">
      <c r="H20" s="8" t="s">
        <v>58</v>
      </c>
      <c r="I20" s="8">
        <v>749705.2</v>
      </c>
      <c r="J20" s="8">
        <v>47764.3</v>
      </c>
      <c r="K20" s="8">
        <v>701940.9</v>
      </c>
      <c r="S20" s="8" t="s">
        <v>68</v>
      </c>
      <c r="T20" s="8">
        <v>1189</v>
      </c>
      <c r="U20" s="8">
        <v>1688</v>
      </c>
      <c r="V20" s="8">
        <v>70.44</v>
      </c>
      <c r="Z20" s="46" t="s">
        <v>58</v>
      </c>
      <c r="AA20" s="47">
        <v>7019409</v>
      </c>
      <c r="AJ20" s="45" t="s">
        <v>59</v>
      </c>
      <c r="AK20" s="45">
        <v>5647.91</v>
      </c>
    </row>
    <row r="21" spans="8:37" x14ac:dyDescent="0.3">
      <c r="H21" s="8" t="s">
        <v>69</v>
      </c>
      <c r="I21" s="8">
        <v>755054.33330000006</v>
      </c>
      <c r="J21" s="8">
        <v>53433.666700000002</v>
      </c>
      <c r="K21" s="8">
        <v>701620.66669999994</v>
      </c>
      <c r="S21" s="8" t="s">
        <v>8</v>
      </c>
      <c r="T21" s="8">
        <v>1784</v>
      </c>
      <c r="U21" s="8">
        <v>2544</v>
      </c>
      <c r="V21" s="8">
        <v>70.13</v>
      </c>
      <c r="Z21" s="46" t="s">
        <v>49</v>
      </c>
      <c r="AA21" s="47">
        <v>4153110</v>
      </c>
      <c r="AJ21" s="45" t="s">
        <v>70</v>
      </c>
      <c r="AK21" s="45">
        <v>5576.75</v>
      </c>
    </row>
    <row r="22" spans="8:37" x14ac:dyDescent="0.3">
      <c r="H22" s="8" t="s">
        <v>66</v>
      </c>
      <c r="I22" s="8">
        <v>740664.125</v>
      </c>
      <c r="J22" s="8">
        <v>46747.625</v>
      </c>
      <c r="K22" s="8">
        <v>693916.5</v>
      </c>
      <c r="S22" s="8" t="s">
        <v>59</v>
      </c>
      <c r="T22" s="8">
        <v>842</v>
      </c>
      <c r="U22" s="8">
        <v>1212</v>
      </c>
      <c r="V22" s="8">
        <v>69.47</v>
      </c>
      <c r="Z22" s="46" t="s">
        <v>71</v>
      </c>
      <c r="AA22" s="47">
        <v>7502579</v>
      </c>
      <c r="AJ22" s="45" t="s">
        <v>72</v>
      </c>
      <c r="AK22" s="45">
        <v>5452.91</v>
      </c>
    </row>
    <row r="23" spans="8:37" x14ac:dyDescent="0.3">
      <c r="H23" s="8" t="s">
        <v>12</v>
      </c>
      <c r="I23" s="8">
        <v>745914.73329999996</v>
      </c>
      <c r="J23" s="8">
        <v>52641.333299999998</v>
      </c>
      <c r="K23" s="8">
        <v>693273.4</v>
      </c>
      <c r="S23" s="8" t="s">
        <v>73</v>
      </c>
      <c r="T23" s="8">
        <v>1216</v>
      </c>
      <c r="U23" s="8">
        <v>1773</v>
      </c>
      <c r="V23" s="8">
        <v>68.58</v>
      </c>
      <c r="Z23" s="46" t="s">
        <v>74</v>
      </c>
      <c r="AA23" s="47">
        <v>4246722</v>
      </c>
      <c r="AJ23" s="45" t="s">
        <v>69</v>
      </c>
      <c r="AK23" s="45">
        <v>5313.13</v>
      </c>
    </row>
    <row r="24" spans="8:37" x14ac:dyDescent="0.3">
      <c r="H24" s="8" t="s">
        <v>43</v>
      </c>
      <c r="I24" s="8">
        <v>753286.92310000001</v>
      </c>
      <c r="J24" s="8">
        <v>60596.230799999998</v>
      </c>
      <c r="K24" s="8">
        <v>692690.6923</v>
      </c>
      <c r="S24" s="8" t="s">
        <v>75</v>
      </c>
      <c r="T24" s="8">
        <v>587</v>
      </c>
      <c r="U24" s="8">
        <v>858</v>
      </c>
      <c r="V24" s="8">
        <v>68.41</v>
      </c>
      <c r="Z24" s="46" t="s">
        <v>76</v>
      </c>
      <c r="AA24" s="47">
        <v>3423539</v>
      </c>
      <c r="AJ24" s="45" t="s">
        <v>58</v>
      </c>
      <c r="AK24" s="45">
        <v>5268.48</v>
      </c>
    </row>
    <row r="25" spans="8:37" x14ac:dyDescent="0.3">
      <c r="H25" s="8" t="s">
        <v>49</v>
      </c>
      <c r="I25" s="8">
        <v>740602.5</v>
      </c>
      <c r="J25" s="8">
        <v>48417.5</v>
      </c>
      <c r="K25" s="8">
        <v>692185</v>
      </c>
      <c r="S25" s="8" t="s">
        <v>77</v>
      </c>
      <c r="T25" s="8">
        <v>944</v>
      </c>
      <c r="U25" s="8">
        <v>1382</v>
      </c>
      <c r="V25" s="8">
        <v>68.31</v>
      </c>
      <c r="Z25" s="46" t="s">
        <v>31</v>
      </c>
      <c r="AA25" s="47">
        <v>8316236</v>
      </c>
      <c r="AJ25" s="45" t="s">
        <v>4</v>
      </c>
      <c r="AK25" s="45">
        <v>5265.4</v>
      </c>
    </row>
    <row r="26" spans="8:37" x14ac:dyDescent="0.3">
      <c r="H26" s="8" t="s">
        <v>67</v>
      </c>
      <c r="I26" s="8">
        <v>750875.64289999998</v>
      </c>
      <c r="J26" s="8">
        <v>61188.928599999999</v>
      </c>
      <c r="K26" s="8">
        <v>689686.71429999999</v>
      </c>
      <c r="S26" s="8" t="s">
        <v>39</v>
      </c>
      <c r="T26" s="8">
        <v>1517</v>
      </c>
      <c r="U26" s="8">
        <v>2223</v>
      </c>
      <c r="V26" s="8">
        <v>68.239999999999995</v>
      </c>
      <c r="Z26" s="46" t="s">
        <v>78</v>
      </c>
      <c r="AA26" s="47">
        <v>6119200</v>
      </c>
      <c r="AJ26" s="45" t="s">
        <v>62</v>
      </c>
      <c r="AK26" s="45">
        <v>5186.01</v>
      </c>
    </row>
    <row r="27" spans="8:37" x14ac:dyDescent="0.3">
      <c r="H27" s="8" t="s">
        <v>38</v>
      </c>
      <c r="I27" s="8">
        <v>737327.42859999998</v>
      </c>
      <c r="J27" s="8">
        <v>54296.428599999999</v>
      </c>
      <c r="K27" s="8">
        <v>683031</v>
      </c>
      <c r="S27" s="8" t="s">
        <v>37</v>
      </c>
      <c r="T27" s="8">
        <v>556</v>
      </c>
      <c r="U27" s="8">
        <v>815</v>
      </c>
      <c r="V27" s="8">
        <v>68.22</v>
      </c>
      <c r="Z27" s="46" t="s">
        <v>54</v>
      </c>
      <c r="AA27" s="47">
        <v>8685714</v>
      </c>
      <c r="AJ27" s="45" t="s">
        <v>50</v>
      </c>
      <c r="AK27" s="45">
        <v>5185.95</v>
      </c>
    </row>
    <row r="28" spans="8:37" x14ac:dyDescent="0.3">
      <c r="H28" s="8" t="s">
        <v>56</v>
      </c>
      <c r="I28" s="8">
        <v>738363.58330000006</v>
      </c>
      <c r="J28" s="8">
        <v>57831.416700000002</v>
      </c>
      <c r="K28" s="8">
        <v>680532.16669999994</v>
      </c>
      <c r="S28" s="8" t="s">
        <v>79</v>
      </c>
      <c r="T28" s="8">
        <v>1218</v>
      </c>
      <c r="U28" s="8">
        <v>1786</v>
      </c>
      <c r="V28" s="8">
        <v>68.2</v>
      </c>
      <c r="Z28" s="46" t="s">
        <v>80</v>
      </c>
      <c r="AA28" s="47">
        <v>7000365</v>
      </c>
      <c r="AJ28" s="45" t="s">
        <v>81</v>
      </c>
      <c r="AK28" s="45">
        <v>5133.74</v>
      </c>
    </row>
    <row r="29" spans="8:37" x14ac:dyDescent="0.3">
      <c r="H29" s="8" t="s">
        <v>78</v>
      </c>
      <c r="I29" s="8">
        <v>738807.88890000002</v>
      </c>
      <c r="J29" s="8">
        <v>58896.777800000003</v>
      </c>
      <c r="K29" s="8">
        <v>679911.11109999998</v>
      </c>
      <c r="S29" s="8" t="s">
        <v>40</v>
      </c>
      <c r="T29" s="8">
        <v>863</v>
      </c>
      <c r="U29" s="8">
        <v>1271</v>
      </c>
      <c r="V29" s="8">
        <v>67.900000000000006</v>
      </c>
      <c r="Z29" s="46" t="s">
        <v>82</v>
      </c>
      <c r="AA29" s="47">
        <v>3797684</v>
      </c>
      <c r="AJ29" s="45" t="s">
        <v>83</v>
      </c>
      <c r="AK29" s="45">
        <v>5117.97</v>
      </c>
    </row>
    <row r="30" spans="8:37" x14ac:dyDescent="0.3">
      <c r="H30" s="8" t="s">
        <v>2</v>
      </c>
      <c r="I30" s="8">
        <v>731195.70589999994</v>
      </c>
      <c r="J30" s="8">
        <v>58161.176500000001</v>
      </c>
      <c r="K30" s="8">
        <v>673034.5294</v>
      </c>
      <c r="S30" s="8" t="s">
        <v>84</v>
      </c>
      <c r="T30" s="8">
        <v>830</v>
      </c>
      <c r="U30" s="8">
        <v>1224</v>
      </c>
      <c r="V30" s="8">
        <v>67.81</v>
      </c>
      <c r="Z30" s="46" t="s">
        <v>85</v>
      </c>
      <c r="AA30" s="47">
        <v>5633319</v>
      </c>
      <c r="AJ30" s="45" t="s">
        <v>8</v>
      </c>
      <c r="AK30" s="45">
        <v>5111.62</v>
      </c>
    </row>
    <row r="31" spans="8:37" x14ac:dyDescent="0.3">
      <c r="H31" s="8" t="s">
        <v>72</v>
      </c>
      <c r="I31" s="8">
        <v>723874.25</v>
      </c>
      <c r="J31" s="8">
        <v>51828</v>
      </c>
      <c r="K31" s="8">
        <v>672046.25</v>
      </c>
      <c r="S31" s="8" t="s">
        <v>53</v>
      </c>
      <c r="T31" s="8">
        <v>792</v>
      </c>
      <c r="U31" s="8">
        <v>1168</v>
      </c>
      <c r="V31" s="8">
        <v>67.81</v>
      </c>
      <c r="Z31" s="46" t="s">
        <v>37</v>
      </c>
      <c r="AA31" s="47">
        <v>4785302</v>
      </c>
      <c r="AJ31" s="45" t="s">
        <v>68</v>
      </c>
      <c r="AK31" s="45">
        <v>5032.3900000000003</v>
      </c>
    </row>
    <row r="32" spans="8:37" x14ac:dyDescent="0.3">
      <c r="H32" s="8" t="s">
        <v>59</v>
      </c>
      <c r="I32" s="8">
        <v>723638.375</v>
      </c>
      <c r="J32" s="8">
        <v>56655.375</v>
      </c>
      <c r="K32" s="8">
        <v>666983</v>
      </c>
      <c r="S32" s="8" t="s">
        <v>70</v>
      </c>
      <c r="T32" s="8">
        <v>1410</v>
      </c>
      <c r="U32" s="8">
        <v>2085</v>
      </c>
      <c r="V32" s="8">
        <v>67.63</v>
      </c>
      <c r="Z32" s="46" t="s">
        <v>86</v>
      </c>
      <c r="AA32" s="47">
        <v>4621961</v>
      </c>
      <c r="AJ32" s="45" t="s">
        <v>67</v>
      </c>
      <c r="AK32" s="45">
        <v>5024.9799999999996</v>
      </c>
    </row>
    <row r="33" spans="8:37" x14ac:dyDescent="0.3">
      <c r="H33" s="8" t="s">
        <v>86</v>
      </c>
      <c r="I33" s="8">
        <v>718086</v>
      </c>
      <c r="J33" s="8">
        <v>57805.857100000001</v>
      </c>
      <c r="K33" s="8">
        <v>660280.14289999998</v>
      </c>
      <c r="S33" s="8" t="s">
        <v>87</v>
      </c>
      <c r="T33" s="8">
        <v>571</v>
      </c>
      <c r="U33" s="8">
        <v>846</v>
      </c>
      <c r="V33" s="8">
        <v>67.489999999999995</v>
      </c>
      <c r="Z33" s="46" t="s">
        <v>69</v>
      </c>
      <c r="AA33" s="47">
        <v>6314586</v>
      </c>
      <c r="AJ33" s="45" t="s">
        <v>2</v>
      </c>
      <c r="AK33" s="45">
        <v>4950.3500000000004</v>
      </c>
    </row>
    <row r="34" spans="8:37" x14ac:dyDescent="0.3">
      <c r="H34" s="8" t="s">
        <v>16</v>
      </c>
      <c r="I34" s="8">
        <v>707081.8125</v>
      </c>
      <c r="J34" s="8">
        <v>47791.0625</v>
      </c>
      <c r="K34" s="8">
        <v>659290.75</v>
      </c>
      <c r="S34" s="8" t="s">
        <v>10</v>
      </c>
      <c r="T34" s="8">
        <v>1662</v>
      </c>
      <c r="U34" s="8">
        <v>2463</v>
      </c>
      <c r="V34" s="8">
        <v>67.48</v>
      </c>
      <c r="Z34" s="46" t="s">
        <v>12</v>
      </c>
      <c r="AA34" s="47">
        <v>10399101</v>
      </c>
      <c r="AJ34" s="45" t="s">
        <v>88</v>
      </c>
      <c r="AK34" s="45">
        <v>4936.95</v>
      </c>
    </row>
    <row r="35" spans="8:37" x14ac:dyDescent="0.3">
      <c r="H35" s="8" t="s">
        <v>44</v>
      </c>
      <c r="I35" s="8">
        <v>707640.84620000003</v>
      </c>
      <c r="J35" s="8">
        <v>51737.538500000002</v>
      </c>
      <c r="K35" s="8">
        <v>655903.3077</v>
      </c>
      <c r="S35" s="8" t="s">
        <v>83</v>
      </c>
      <c r="T35" s="8">
        <v>1036</v>
      </c>
      <c r="U35" s="8">
        <v>1543</v>
      </c>
      <c r="V35" s="8">
        <v>67.14</v>
      </c>
      <c r="Z35" s="46" t="s">
        <v>89</v>
      </c>
      <c r="AA35" s="47">
        <v>2982378</v>
      </c>
      <c r="AJ35" s="45" t="s">
        <v>64</v>
      </c>
      <c r="AK35" s="45">
        <v>4923.26</v>
      </c>
    </row>
    <row r="36" spans="8:37" x14ac:dyDescent="0.3">
      <c r="H36" s="8" t="s">
        <v>8</v>
      </c>
      <c r="I36" s="8">
        <v>706907.4118</v>
      </c>
      <c r="J36" s="8">
        <v>53359.176500000001</v>
      </c>
      <c r="K36" s="8">
        <v>653548.23529999994</v>
      </c>
      <c r="S36" s="8" t="s">
        <v>56</v>
      </c>
      <c r="T36" s="8">
        <v>1419</v>
      </c>
      <c r="U36" s="8">
        <v>2118</v>
      </c>
      <c r="V36" s="8">
        <v>67</v>
      </c>
      <c r="Z36" s="46" t="s">
        <v>52</v>
      </c>
      <c r="AA36" s="47">
        <v>7939865</v>
      </c>
      <c r="AJ36" s="45" t="s">
        <v>44</v>
      </c>
      <c r="AK36" s="45">
        <v>4849.41</v>
      </c>
    </row>
    <row r="37" spans="8:37" x14ac:dyDescent="0.3">
      <c r="H37" s="8" t="s">
        <v>70</v>
      </c>
      <c r="I37" s="8">
        <v>705059.92859999998</v>
      </c>
      <c r="J37" s="8">
        <v>53687.857100000001</v>
      </c>
      <c r="K37" s="8">
        <v>651372.07140000002</v>
      </c>
      <c r="S37" s="8" t="s">
        <v>90</v>
      </c>
      <c r="T37" s="8">
        <v>756</v>
      </c>
      <c r="U37" s="8">
        <v>1137</v>
      </c>
      <c r="V37" s="8">
        <v>66.489999999999995</v>
      </c>
      <c r="Z37" s="46" t="s">
        <v>33</v>
      </c>
      <c r="AA37" s="47">
        <v>6024109</v>
      </c>
      <c r="AJ37" s="45" t="s">
        <v>91</v>
      </c>
      <c r="AK37" s="45">
        <v>4833.88</v>
      </c>
    </row>
    <row r="38" spans="8:37" x14ac:dyDescent="0.3">
      <c r="H38" s="8" t="s">
        <v>55</v>
      </c>
      <c r="I38" s="8">
        <v>703088.86670000001</v>
      </c>
      <c r="J38" s="8">
        <v>58420.800000000003</v>
      </c>
      <c r="K38" s="8">
        <v>644668.06669999997</v>
      </c>
      <c r="S38" s="8" t="s">
        <v>92</v>
      </c>
      <c r="T38" s="8">
        <v>871</v>
      </c>
      <c r="U38" s="8">
        <v>1315</v>
      </c>
      <c r="V38" s="8">
        <v>66.239999999999995</v>
      </c>
      <c r="Z38" s="46" t="s">
        <v>79</v>
      </c>
      <c r="AA38" s="47">
        <v>8284578</v>
      </c>
      <c r="AJ38" s="45" t="s">
        <v>93</v>
      </c>
      <c r="AK38" s="45">
        <v>4817.66</v>
      </c>
    </row>
    <row r="39" spans="8:37" x14ac:dyDescent="0.3">
      <c r="H39" s="8" t="s">
        <v>53</v>
      </c>
      <c r="I39" s="8">
        <v>687512.625</v>
      </c>
      <c r="J39" s="8">
        <v>49671.875</v>
      </c>
      <c r="K39" s="8">
        <v>637840.75</v>
      </c>
      <c r="S39" s="8" t="s">
        <v>89</v>
      </c>
      <c r="T39" s="8">
        <v>505</v>
      </c>
      <c r="U39" s="8">
        <v>766</v>
      </c>
      <c r="V39" s="8">
        <v>65.930000000000007</v>
      </c>
      <c r="Z39" s="46" t="s">
        <v>61</v>
      </c>
      <c r="AA39" s="47">
        <v>6036842</v>
      </c>
      <c r="AJ39" s="45" t="s">
        <v>12</v>
      </c>
      <c r="AK39" s="45">
        <v>4810.28</v>
      </c>
    </row>
    <row r="40" spans="8:37" x14ac:dyDescent="0.3">
      <c r="H40" s="8" t="s">
        <v>83</v>
      </c>
      <c r="I40" s="8">
        <v>695020.5</v>
      </c>
      <c r="J40" s="8">
        <v>57413.8</v>
      </c>
      <c r="K40" s="8">
        <v>637606.69999999995</v>
      </c>
      <c r="S40" s="8" t="s">
        <v>94</v>
      </c>
      <c r="T40" s="8">
        <v>701</v>
      </c>
      <c r="U40" s="8">
        <v>1066</v>
      </c>
      <c r="V40" s="8">
        <v>65.760000000000005</v>
      </c>
      <c r="Z40" s="46" t="s">
        <v>95</v>
      </c>
      <c r="AA40" s="47">
        <v>5702476</v>
      </c>
      <c r="AJ40" s="45" t="s">
        <v>38</v>
      </c>
      <c r="AK40" s="45">
        <v>4796.74</v>
      </c>
    </row>
    <row r="41" spans="8:37" x14ac:dyDescent="0.3">
      <c r="H41" s="8" t="s">
        <v>73</v>
      </c>
      <c r="I41" s="8">
        <v>690772.21429999999</v>
      </c>
      <c r="J41" s="8">
        <v>55927.7143</v>
      </c>
      <c r="K41" s="8">
        <v>634844.5</v>
      </c>
      <c r="S41" s="8" t="s">
        <v>69</v>
      </c>
      <c r="T41" s="8">
        <v>897</v>
      </c>
      <c r="U41" s="8">
        <v>1365</v>
      </c>
      <c r="V41" s="8">
        <v>65.709999999999994</v>
      </c>
      <c r="Z41" s="46" t="s">
        <v>93</v>
      </c>
      <c r="AA41" s="47">
        <v>7433526</v>
      </c>
      <c r="AJ41" s="45" t="s">
        <v>90</v>
      </c>
      <c r="AK41" s="45">
        <v>4783.9399999999996</v>
      </c>
    </row>
    <row r="42" spans="8:37" x14ac:dyDescent="0.3">
      <c r="H42" s="8" t="s">
        <v>47</v>
      </c>
      <c r="I42" s="8">
        <v>699541.125</v>
      </c>
      <c r="J42" s="8">
        <v>65221.375</v>
      </c>
      <c r="K42" s="8">
        <v>634319.75</v>
      </c>
      <c r="S42" s="8" t="s">
        <v>45</v>
      </c>
      <c r="T42" s="8">
        <v>940</v>
      </c>
      <c r="U42" s="8">
        <v>1431</v>
      </c>
      <c r="V42" s="8">
        <v>65.69</v>
      </c>
      <c r="Z42" s="46" t="s">
        <v>5</v>
      </c>
      <c r="AA42" s="47">
        <v>11219963</v>
      </c>
      <c r="AJ42" s="45" t="s">
        <v>92</v>
      </c>
      <c r="AK42" s="45">
        <v>4775.1499999999996</v>
      </c>
    </row>
    <row r="43" spans="8:37" x14ac:dyDescent="0.3">
      <c r="H43" s="8" t="s">
        <v>7</v>
      </c>
      <c r="I43" s="8">
        <v>683181.29410000006</v>
      </c>
      <c r="J43" s="8">
        <v>53960.176500000001</v>
      </c>
      <c r="K43" s="8">
        <v>629221.1176</v>
      </c>
      <c r="S43" s="8" t="s">
        <v>80</v>
      </c>
      <c r="T43" s="8">
        <v>1120</v>
      </c>
      <c r="U43" s="8">
        <v>1705</v>
      </c>
      <c r="V43" s="8">
        <v>65.69</v>
      </c>
      <c r="Z43" s="46" t="s">
        <v>96</v>
      </c>
      <c r="AA43" s="47">
        <v>7963463</v>
      </c>
      <c r="AJ43" s="45" t="s">
        <v>13</v>
      </c>
      <c r="AK43" s="45">
        <v>4766.74</v>
      </c>
    </row>
    <row r="44" spans="8:37" x14ac:dyDescent="0.3">
      <c r="H44" s="8" t="s">
        <v>71</v>
      </c>
      <c r="I44" s="8">
        <v>678806.83330000006</v>
      </c>
      <c r="J44" s="8">
        <v>53591.916700000002</v>
      </c>
      <c r="K44" s="8">
        <v>625214.91669999994</v>
      </c>
      <c r="S44" s="8" t="s">
        <v>36</v>
      </c>
      <c r="T44" s="8">
        <v>1695</v>
      </c>
      <c r="U44" s="8">
        <v>2583</v>
      </c>
      <c r="V44" s="8">
        <v>65.62</v>
      </c>
      <c r="Z44" s="46" t="s">
        <v>8</v>
      </c>
      <c r="AA44" s="47">
        <v>11110320</v>
      </c>
      <c r="AJ44" s="45" t="s">
        <v>78</v>
      </c>
      <c r="AK44" s="45">
        <v>4739.32</v>
      </c>
    </row>
    <row r="45" spans="8:37" x14ac:dyDescent="0.3">
      <c r="H45" s="8" t="s">
        <v>5</v>
      </c>
      <c r="I45" s="8">
        <v>679668.11109999998</v>
      </c>
      <c r="J45" s="8">
        <v>56336.833299999998</v>
      </c>
      <c r="K45" s="8">
        <v>623331.27780000004</v>
      </c>
      <c r="S45" s="8" t="s">
        <v>5</v>
      </c>
      <c r="T45" s="8">
        <v>1640</v>
      </c>
      <c r="U45" s="8">
        <v>2500</v>
      </c>
      <c r="V45" s="8">
        <v>65.599999999999994</v>
      </c>
      <c r="Z45" s="46" t="s">
        <v>56</v>
      </c>
      <c r="AA45" s="47">
        <v>8166386</v>
      </c>
      <c r="AJ45" s="45" t="s">
        <v>10</v>
      </c>
      <c r="AK45" s="45">
        <v>4703.3</v>
      </c>
    </row>
    <row r="46" spans="8:37" x14ac:dyDescent="0.3">
      <c r="H46" s="8" t="s">
        <v>97</v>
      </c>
      <c r="I46" s="8">
        <v>679773.41669999994</v>
      </c>
      <c r="J46" s="8">
        <v>56738.416700000002</v>
      </c>
      <c r="K46" s="8">
        <v>623035</v>
      </c>
      <c r="S46" s="8" t="s">
        <v>66</v>
      </c>
      <c r="T46" s="8">
        <v>724</v>
      </c>
      <c r="U46" s="8">
        <v>1105</v>
      </c>
      <c r="V46" s="8">
        <v>65.52</v>
      </c>
      <c r="Z46" s="46" t="s">
        <v>46</v>
      </c>
      <c r="AA46" s="47">
        <v>5512975</v>
      </c>
      <c r="AJ46" s="45" t="s">
        <v>73</v>
      </c>
      <c r="AK46" s="45">
        <v>4694.57</v>
      </c>
    </row>
    <row r="47" spans="8:37" x14ac:dyDescent="0.3">
      <c r="H47" s="8" t="s">
        <v>75</v>
      </c>
      <c r="I47" s="8">
        <v>689948</v>
      </c>
      <c r="J47" s="8">
        <v>68460.333299999998</v>
      </c>
      <c r="K47" s="8">
        <v>621487.66669999994</v>
      </c>
      <c r="S47" s="8" t="s">
        <v>78</v>
      </c>
      <c r="T47" s="8">
        <v>827</v>
      </c>
      <c r="U47" s="8">
        <v>1267</v>
      </c>
      <c r="V47" s="8">
        <v>65.27</v>
      </c>
      <c r="Z47" s="46" t="s">
        <v>98</v>
      </c>
      <c r="AA47" s="47">
        <v>7203360</v>
      </c>
      <c r="AJ47" s="45" t="s">
        <v>57</v>
      </c>
      <c r="AK47" s="45">
        <v>4680.18</v>
      </c>
    </row>
    <row r="48" spans="8:37" x14ac:dyDescent="0.3">
      <c r="H48" s="8" t="s">
        <v>93</v>
      </c>
      <c r="I48" s="8">
        <v>671260.08330000006</v>
      </c>
      <c r="J48" s="8">
        <v>51799.583299999998</v>
      </c>
      <c r="K48" s="8">
        <v>619460.5</v>
      </c>
      <c r="S48" s="8" t="s">
        <v>98</v>
      </c>
      <c r="T48" s="8">
        <v>1106</v>
      </c>
      <c r="U48" s="8">
        <v>1695</v>
      </c>
      <c r="V48" s="8">
        <v>65.25</v>
      </c>
      <c r="Z48" s="46" t="s">
        <v>48</v>
      </c>
      <c r="AA48" s="47">
        <v>8252954</v>
      </c>
      <c r="AJ48" s="45" t="s">
        <v>97</v>
      </c>
      <c r="AK48" s="45">
        <v>4671.9799999999996</v>
      </c>
    </row>
    <row r="49" spans="8:37" x14ac:dyDescent="0.3">
      <c r="H49" s="8" t="s">
        <v>10</v>
      </c>
      <c r="I49" s="8">
        <v>662642.22219999996</v>
      </c>
      <c r="J49" s="8">
        <v>54367.388899999998</v>
      </c>
      <c r="K49" s="8">
        <v>608274.83330000006</v>
      </c>
      <c r="S49" s="8" t="s">
        <v>13</v>
      </c>
      <c r="T49" s="8">
        <v>1391</v>
      </c>
      <c r="U49" s="8">
        <v>2132</v>
      </c>
      <c r="V49" s="8">
        <v>65.239999999999995</v>
      </c>
      <c r="Z49" s="46" t="s">
        <v>57</v>
      </c>
      <c r="AA49" s="47">
        <v>9673108</v>
      </c>
      <c r="AJ49" s="45" t="s">
        <v>86</v>
      </c>
      <c r="AK49" s="45">
        <v>4649.96</v>
      </c>
    </row>
    <row r="50" spans="8:37" x14ac:dyDescent="0.3">
      <c r="H50" s="8" t="s">
        <v>74</v>
      </c>
      <c r="I50" s="8">
        <v>664775.57140000002</v>
      </c>
      <c r="J50" s="8">
        <v>58101</v>
      </c>
      <c r="K50" s="8">
        <v>606674.57140000002</v>
      </c>
      <c r="S50" s="8" t="s">
        <v>67</v>
      </c>
      <c r="T50" s="8">
        <v>1518</v>
      </c>
      <c r="U50" s="8">
        <v>2330</v>
      </c>
      <c r="V50" s="8">
        <v>65.150000000000006</v>
      </c>
      <c r="Z50" s="46" t="s">
        <v>83</v>
      </c>
      <c r="AA50" s="47">
        <v>6376067</v>
      </c>
      <c r="AJ50" s="45" t="s">
        <v>55</v>
      </c>
      <c r="AK50" s="45">
        <v>4599.3599999999997</v>
      </c>
    </row>
    <row r="51" spans="8:37" x14ac:dyDescent="0.3">
      <c r="H51" s="8" t="s">
        <v>88</v>
      </c>
      <c r="I51" s="8">
        <v>664020</v>
      </c>
      <c r="J51" s="8">
        <v>61418.7143</v>
      </c>
      <c r="K51" s="8">
        <v>602601.28570000001</v>
      </c>
      <c r="S51" s="8" t="s">
        <v>12</v>
      </c>
      <c r="T51" s="8">
        <v>1436</v>
      </c>
      <c r="U51" s="8">
        <v>2208</v>
      </c>
      <c r="V51" s="8">
        <v>65.040000000000006</v>
      </c>
      <c r="Z51" s="46" t="s">
        <v>99</v>
      </c>
      <c r="AA51" s="47">
        <v>7069747</v>
      </c>
      <c r="AJ51" s="45" t="s">
        <v>80</v>
      </c>
      <c r="AK51" s="45">
        <v>4562.53</v>
      </c>
    </row>
    <row r="52" spans="8:37" x14ac:dyDescent="0.3">
      <c r="H52" s="8" t="s">
        <v>4</v>
      </c>
      <c r="I52" s="8">
        <v>653528.5882</v>
      </c>
      <c r="J52" s="8">
        <v>51790.7647</v>
      </c>
      <c r="K52" s="8">
        <v>601737.82350000006</v>
      </c>
      <c r="S52" s="8" t="s">
        <v>81</v>
      </c>
      <c r="T52" s="8">
        <v>1088</v>
      </c>
      <c r="U52" s="8">
        <v>1673</v>
      </c>
      <c r="V52" s="8">
        <v>65.03</v>
      </c>
      <c r="Z52" s="46" t="s">
        <v>13</v>
      </c>
      <c r="AA52" s="47">
        <v>10746636</v>
      </c>
      <c r="AJ52" s="45" t="s">
        <v>71</v>
      </c>
      <c r="AK52" s="45">
        <v>4553.2</v>
      </c>
    </row>
    <row r="53" spans="8:37" x14ac:dyDescent="0.3">
      <c r="H53" s="8" t="s">
        <v>100</v>
      </c>
      <c r="I53" s="8">
        <v>649208.63639999996</v>
      </c>
      <c r="J53" s="8">
        <v>50164.4545</v>
      </c>
      <c r="K53" s="8">
        <v>599044.18180000002</v>
      </c>
      <c r="S53" s="8" t="s">
        <v>85</v>
      </c>
      <c r="T53" s="8">
        <v>962</v>
      </c>
      <c r="U53" s="8">
        <v>1487</v>
      </c>
      <c r="V53" s="8">
        <v>64.69</v>
      </c>
      <c r="Z53" s="46" t="s">
        <v>75</v>
      </c>
      <c r="AA53" s="47">
        <v>3728926</v>
      </c>
      <c r="AJ53" s="45" t="s">
        <v>100</v>
      </c>
      <c r="AK53" s="45">
        <v>4516.95</v>
      </c>
    </row>
    <row r="54" spans="8:37" x14ac:dyDescent="0.3">
      <c r="H54" s="8" t="s">
        <v>92</v>
      </c>
      <c r="I54" s="8">
        <v>647988.4</v>
      </c>
      <c r="J54" s="8">
        <v>50854.9</v>
      </c>
      <c r="K54" s="8">
        <v>597133.5</v>
      </c>
      <c r="S54" s="8" t="s">
        <v>101</v>
      </c>
      <c r="T54" s="8">
        <v>942</v>
      </c>
      <c r="U54" s="8">
        <v>1457</v>
      </c>
      <c r="V54" s="8">
        <v>64.650000000000006</v>
      </c>
      <c r="Z54" s="46" t="s">
        <v>70</v>
      </c>
      <c r="AA54" s="47">
        <v>9119209</v>
      </c>
      <c r="AJ54" s="45" t="s">
        <v>74</v>
      </c>
      <c r="AK54" s="45">
        <v>4513.51</v>
      </c>
    </row>
    <row r="55" spans="8:37" x14ac:dyDescent="0.3">
      <c r="H55" s="8" t="s">
        <v>89</v>
      </c>
      <c r="I55" s="8">
        <v>656649.4</v>
      </c>
      <c r="J55" s="8">
        <v>60173.8</v>
      </c>
      <c r="K55" s="8">
        <v>596475.6</v>
      </c>
      <c r="S55" s="8" t="s">
        <v>7</v>
      </c>
      <c r="T55" s="8">
        <v>1419</v>
      </c>
      <c r="U55" s="8">
        <v>2209</v>
      </c>
      <c r="V55" s="8">
        <v>64.239999999999995</v>
      </c>
      <c r="Z55" s="46" t="s">
        <v>38</v>
      </c>
      <c r="AA55" s="47">
        <v>4781217</v>
      </c>
      <c r="AJ55" s="45" t="s">
        <v>47</v>
      </c>
      <c r="AK55" s="45">
        <v>4509.53</v>
      </c>
    </row>
    <row r="56" spans="8:37" x14ac:dyDescent="0.3">
      <c r="H56" s="8" t="s">
        <v>77</v>
      </c>
      <c r="I56" s="8">
        <v>648968.80000000005</v>
      </c>
      <c r="J56" s="8">
        <v>52661.7</v>
      </c>
      <c r="K56" s="8">
        <v>596307.1</v>
      </c>
      <c r="S56" s="8" t="s">
        <v>52</v>
      </c>
      <c r="T56" s="8">
        <v>978</v>
      </c>
      <c r="U56" s="8">
        <v>1526</v>
      </c>
      <c r="V56" s="8">
        <v>64.09</v>
      </c>
      <c r="Z56" s="46" t="s">
        <v>88</v>
      </c>
      <c r="AA56" s="47">
        <v>8436418</v>
      </c>
      <c r="AJ56" s="45" t="s">
        <v>87</v>
      </c>
      <c r="AK56" s="45">
        <v>4507.8599999999997</v>
      </c>
    </row>
    <row r="57" spans="8:37" x14ac:dyDescent="0.3">
      <c r="H57" s="8" t="s">
        <v>91</v>
      </c>
      <c r="I57" s="8">
        <v>658151.92310000001</v>
      </c>
      <c r="J57" s="8">
        <v>62659.1538</v>
      </c>
      <c r="K57" s="8">
        <v>595492.76919999998</v>
      </c>
      <c r="S57" s="8" t="s">
        <v>96</v>
      </c>
      <c r="T57" s="8">
        <v>1259</v>
      </c>
      <c r="U57" s="8">
        <v>1965</v>
      </c>
      <c r="V57" s="8">
        <v>64.069999999999993</v>
      </c>
      <c r="Z57" s="46" t="s">
        <v>68</v>
      </c>
      <c r="AA57" s="47">
        <v>7330232</v>
      </c>
      <c r="AJ57" s="45" t="s">
        <v>102</v>
      </c>
      <c r="AK57" s="45">
        <v>4494.0200000000004</v>
      </c>
    </row>
    <row r="58" spans="8:37" x14ac:dyDescent="0.3">
      <c r="H58" s="8" t="s">
        <v>79</v>
      </c>
      <c r="I58" s="8">
        <v>640715.07140000002</v>
      </c>
      <c r="J58" s="8">
        <v>48959.5</v>
      </c>
      <c r="K58" s="8">
        <v>591755.57140000002</v>
      </c>
      <c r="S58" s="8" t="s">
        <v>48</v>
      </c>
      <c r="T58" s="8">
        <v>929</v>
      </c>
      <c r="U58" s="8">
        <v>1450</v>
      </c>
      <c r="V58" s="8">
        <v>64.069999999999993</v>
      </c>
      <c r="Z58" s="46" t="s">
        <v>10</v>
      </c>
      <c r="AA58" s="47">
        <v>10948947</v>
      </c>
      <c r="AJ58" s="45" t="s">
        <v>5</v>
      </c>
      <c r="AK58" s="45">
        <v>4489.55</v>
      </c>
    </row>
    <row r="59" spans="8:37" x14ac:dyDescent="0.3">
      <c r="H59" s="8" t="s">
        <v>101</v>
      </c>
      <c r="I59" s="8">
        <v>639843.58330000006</v>
      </c>
      <c r="J59" s="8">
        <v>51017.416700000002</v>
      </c>
      <c r="K59" s="8">
        <v>588826.16669999994</v>
      </c>
      <c r="S59" s="8" t="s">
        <v>34</v>
      </c>
      <c r="T59" s="8">
        <v>1317</v>
      </c>
      <c r="U59" s="8">
        <v>2067</v>
      </c>
      <c r="V59" s="8">
        <v>63.72</v>
      </c>
      <c r="Z59" s="46" t="s">
        <v>72</v>
      </c>
      <c r="AA59" s="47">
        <v>2688185</v>
      </c>
      <c r="AJ59" s="45" t="s">
        <v>77</v>
      </c>
      <c r="AK59" s="45">
        <v>4481.83</v>
      </c>
    </row>
    <row r="60" spans="8:37" x14ac:dyDescent="0.3">
      <c r="H60" s="8" t="s">
        <v>63</v>
      </c>
      <c r="I60" s="8">
        <v>634392.41669999994</v>
      </c>
      <c r="J60" s="8">
        <v>47269.25</v>
      </c>
      <c r="K60" s="8">
        <v>587123.16669999994</v>
      </c>
      <c r="S60" s="8" t="s">
        <v>4</v>
      </c>
      <c r="T60" s="8">
        <v>1633</v>
      </c>
      <c r="U60" s="8">
        <v>2564</v>
      </c>
      <c r="V60" s="8">
        <v>63.69</v>
      </c>
      <c r="Z60" s="46" t="s">
        <v>103</v>
      </c>
      <c r="AA60" s="47">
        <v>3721819</v>
      </c>
      <c r="AJ60" s="45" t="s">
        <v>53</v>
      </c>
      <c r="AK60" s="45">
        <v>4475.2700000000004</v>
      </c>
    </row>
    <row r="61" spans="8:37" x14ac:dyDescent="0.3">
      <c r="H61" s="8" t="s">
        <v>80</v>
      </c>
      <c r="I61" s="8">
        <v>633051.66669999994</v>
      </c>
      <c r="J61" s="8">
        <v>49687.916700000002</v>
      </c>
      <c r="K61" s="8">
        <v>583363.75</v>
      </c>
      <c r="S61" s="8" t="s">
        <v>97</v>
      </c>
      <c r="T61" s="8">
        <v>1157</v>
      </c>
      <c r="U61" s="8">
        <v>1817</v>
      </c>
      <c r="V61" s="8">
        <v>63.68</v>
      </c>
      <c r="Z61" s="46" t="s">
        <v>104</v>
      </c>
      <c r="AA61" s="47">
        <v>5951187</v>
      </c>
      <c r="AJ61" s="45" t="s">
        <v>76</v>
      </c>
      <c r="AK61" s="45">
        <v>4408</v>
      </c>
    </row>
    <row r="62" spans="8:37" x14ac:dyDescent="0.3">
      <c r="H62" s="8" t="s">
        <v>60</v>
      </c>
      <c r="I62" s="8">
        <v>638083.875</v>
      </c>
      <c r="J62" s="8">
        <v>57917.875</v>
      </c>
      <c r="K62" s="8">
        <v>580166</v>
      </c>
      <c r="S62" s="8" t="s">
        <v>61</v>
      </c>
      <c r="T62" s="8">
        <v>790</v>
      </c>
      <c r="U62" s="8">
        <v>1243</v>
      </c>
      <c r="V62" s="8">
        <v>63.56</v>
      </c>
      <c r="Z62" s="46" t="s">
        <v>41</v>
      </c>
      <c r="AA62" s="47">
        <v>9185782</v>
      </c>
      <c r="AJ62" s="45" t="s">
        <v>60</v>
      </c>
      <c r="AK62" s="45">
        <v>4389.2299999999996</v>
      </c>
    </row>
    <row r="63" spans="8:37" x14ac:dyDescent="0.3">
      <c r="H63" s="8" t="s">
        <v>57</v>
      </c>
      <c r="I63" s="8">
        <v>625216.76470000006</v>
      </c>
      <c r="J63" s="8">
        <v>56210.411800000002</v>
      </c>
      <c r="K63" s="8">
        <v>569006.35290000006</v>
      </c>
      <c r="S63" s="8" t="s">
        <v>41</v>
      </c>
      <c r="T63" s="8">
        <v>1694</v>
      </c>
      <c r="U63" s="8">
        <v>2676</v>
      </c>
      <c r="V63" s="8">
        <v>63.3</v>
      </c>
      <c r="Z63" s="46" t="s">
        <v>105</v>
      </c>
      <c r="AA63" s="47">
        <v>1581462</v>
      </c>
      <c r="AJ63" s="45" t="s">
        <v>99</v>
      </c>
      <c r="AK63" s="45">
        <v>4334.16</v>
      </c>
    </row>
    <row r="64" spans="8:37" x14ac:dyDescent="0.3">
      <c r="H64" s="8" t="s">
        <v>96</v>
      </c>
      <c r="I64" s="8">
        <v>625994.5</v>
      </c>
      <c r="J64" s="8">
        <v>57175.7143</v>
      </c>
      <c r="K64" s="8">
        <v>568818.78570000001</v>
      </c>
      <c r="S64" s="8" t="s">
        <v>2</v>
      </c>
      <c r="T64" s="8">
        <v>1615</v>
      </c>
      <c r="U64" s="8">
        <v>2553</v>
      </c>
      <c r="V64" s="8">
        <v>63.26</v>
      </c>
      <c r="Z64" s="46" t="s">
        <v>106</v>
      </c>
      <c r="AA64" s="47">
        <v>5942601</v>
      </c>
      <c r="AJ64" s="45" t="s">
        <v>79</v>
      </c>
      <c r="AK64" s="45">
        <v>4279.59</v>
      </c>
    </row>
    <row r="65" spans="8:37" x14ac:dyDescent="0.3">
      <c r="H65" s="8" t="s">
        <v>34</v>
      </c>
      <c r="I65" s="8">
        <v>624239.13329999999</v>
      </c>
      <c r="J65" s="8">
        <v>57266.666700000002</v>
      </c>
      <c r="K65" s="8">
        <v>566972.46669999999</v>
      </c>
      <c r="S65" s="8" t="s">
        <v>55</v>
      </c>
      <c r="T65" s="8">
        <v>1376</v>
      </c>
      <c r="U65" s="8">
        <v>2186</v>
      </c>
      <c r="V65" s="8">
        <v>62.95</v>
      </c>
      <c r="Z65" s="46" t="s">
        <v>107</v>
      </c>
      <c r="AA65" s="47">
        <v>3891384</v>
      </c>
      <c r="AJ65" s="45" t="s">
        <v>108</v>
      </c>
      <c r="AK65" s="45">
        <v>4242.8999999999996</v>
      </c>
    </row>
    <row r="66" spans="8:37" x14ac:dyDescent="0.3">
      <c r="H66" s="8" t="s">
        <v>109</v>
      </c>
      <c r="I66" s="8">
        <v>631357.44440000004</v>
      </c>
      <c r="J66" s="8">
        <v>64651.888899999998</v>
      </c>
      <c r="K66" s="8">
        <v>566705.55559999996</v>
      </c>
      <c r="S66" s="8" t="s">
        <v>60</v>
      </c>
      <c r="T66" s="8">
        <v>652</v>
      </c>
      <c r="U66" s="8">
        <v>1044</v>
      </c>
      <c r="V66" s="8">
        <v>62.45</v>
      </c>
      <c r="Z66" s="46" t="s">
        <v>77</v>
      </c>
      <c r="AA66" s="47">
        <v>5963071</v>
      </c>
      <c r="AJ66" s="45" t="s">
        <v>39</v>
      </c>
      <c r="AK66" s="45">
        <v>4140.8900000000003</v>
      </c>
    </row>
    <row r="67" spans="8:37" x14ac:dyDescent="0.3">
      <c r="H67" s="8" t="s">
        <v>110</v>
      </c>
      <c r="I67" s="8">
        <v>628520.28570000001</v>
      </c>
      <c r="J67" s="8">
        <v>61907.071400000001</v>
      </c>
      <c r="K67" s="8">
        <v>566613.21429999999</v>
      </c>
      <c r="S67" s="8" t="s">
        <v>93</v>
      </c>
      <c r="T67" s="8">
        <v>1153</v>
      </c>
      <c r="U67" s="8">
        <v>1855</v>
      </c>
      <c r="V67" s="8">
        <v>62.16</v>
      </c>
      <c r="Z67" s="46" t="s">
        <v>63</v>
      </c>
      <c r="AA67" s="47">
        <v>7045478</v>
      </c>
      <c r="AJ67" s="45" t="s">
        <v>103</v>
      </c>
      <c r="AK67" s="45">
        <v>4129.4799999999996</v>
      </c>
    </row>
    <row r="68" spans="8:37" x14ac:dyDescent="0.3">
      <c r="H68" s="8" t="s">
        <v>90</v>
      </c>
      <c r="I68" s="8">
        <v>616529.75</v>
      </c>
      <c r="J68" s="8">
        <v>51877.75</v>
      </c>
      <c r="K68" s="8">
        <v>564652</v>
      </c>
      <c r="S68" s="8" t="s">
        <v>100</v>
      </c>
      <c r="T68" s="8">
        <v>987</v>
      </c>
      <c r="U68" s="8">
        <v>1591</v>
      </c>
      <c r="V68" s="8">
        <v>62.04</v>
      </c>
      <c r="Z68" s="46" t="s">
        <v>81</v>
      </c>
      <c r="AA68" s="47">
        <v>7052586</v>
      </c>
      <c r="AJ68" s="45" t="s">
        <v>43</v>
      </c>
      <c r="AK68" s="45">
        <v>4112.8599999999997</v>
      </c>
    </row>
    <row r="69" spans="8:37" x14ac:dyDescent="0.3">
      <c r="H69" s="8" t="s">
        <v>68</v>
      </c>
      <c r="I69" s="8">
        <v>614725.61540000001</v>
      </c>
      <c r="J69" s="8">
        <v>50861.615400000002</v>
      </c>
      <c r="K69" s="8">
        <v>563864</v>
      </c>
      <c r="S69" s="8" t="s">
        <v>86</v>
      </c>
      <c r="T69" s="8">
        <v>699</v>
      </c>
      <c r="U69" s="8">
        <v>1127</v>
      </c>
      <c r="V69" s="8">
        <v>62.02</v>
      </c>
      <c r="Z69" s="46" t="s">
        <v>64</v>
      </c>
      <c r="AA69" s="47">
        <v>7169064</v>
      </c>
      <c r="AJ69" s="45" t="s">
        <v>89</v>
      </c>
      <c r="AK69" s="45">
        <v>4098.9399999999996</v>
      </c>
    </row>
    <row r="70" spans="8:37" x14ac:dyDescent="0.3">
      <c r="H70" s="8" t="s">
        <v>108</v>
      </c>
      <c r="I70" s="8">
        <v>618692.18180000002</v>
      </c>
      <c r="J70" s="8">
        <v>56189.727299999999</v>
      </c>
      <c r="K70" s="8">
        <v>562502.45449999999</v>
      </c>
      <c r="S70" s="8" t="s">
        <v>71</v>
      </c>
      <c r="T70" s="8">
        <v>1026</v>
      </c>
      <c r="U70" s="8">
        <v>1655</v>
      </c>
      <c r="V70" s="8">
        <v>61.99</v>
      </c>
      <c r="Z70" s="46" t="s">
        <v>45</v>
      </c>
      <c r="AA70" s="47">
        <v>8329685</v>
      </c>
      <c r="AJ70" s="45" t="s">
        <v>104</v>
      </c>
      <c r="AK70" s="45">
        <v>4084.95</v>
      </c>
    </row>
    <row r="71" spans="8:37" x14ac:dyDescent="0.3">
      <c r="H71" s="8" t="s">
        <v>98</v>
      </c>
      <c r="I71" s="8">
        <v>610151.38459999999</v>
      </c>
      <c r="J71" s="8">
        <v>56046.769200000002</v>
      </c>
      <c r="K71" s="8">
        <v>554104.61540000001</v>
      </c>
      <c r="S71" s="8" t="s">
        <v>108</v>
      </c>
      <c r="T71" s="8">
        <v>1033</v>
      </c>
      <c r="U71" s="8">
        <v>1670</v>
      </c>
      <c r="V71" s="8">
        <v>61.86</v>
      </c>
      <c r="Z71" s="46" t="s">
        <v>111</v>
      </c>
      <c r="AA71" s="47">
        <v>2207172</v>
      </c>
      <c r="AJ71" s="45" t="s">
        <v>96</v>
      </c>
      <c r="AK71" s="45">
        <v>4081.94</v>
      </c>
    </row>
    <row r="72" spans="8:37" x14ac:dyDescent="0.3">
      <c r="H72" s="8" t="s">
        <v>39</v>
      </c>
      <c r="I72" s="8">
        <v>608710.1875</v>
      </c>
      <c r="J72" s="8">
        <v>54857.9375</v>
      </c>
      <c r="K72" s="8">
        <v>553852.25</v>
      </c>
      <c r="S72" s="8" t="s">
        <v>107</v>
      </c>
      <c r="T72" s="8">
        <v>660</v>
      </c>
      <c r="U72" s="8">
        <v>1070</v>
      </c>
      <c r="V72" s="8">
        <v>61.68</v>
      </c>
      <c r="Z72" s="46" t="s">
        <v>110</v>
      </c>
      <c r="AA72" s="47">
        <v>7932585</v>
      </c>
      <c r="AJ72" s="45" t="s">
        <v>75</v>
      </c>
      <c r="AK72" s="45">
        <v>3991.98</v>
      </c>
    </row>
    <row r="73" spans="8:37" x14ac:dyDescent="0.3">
      <c r="H73" s="8" t="s">
        <v>82</v>
      </c>
      <c r="I73" s="8">
        <v>595464.42859999998</v>
      </c>
      <c r="J73" s="8">
        <v>52938.142899999999</v>
      </c>
      <c r="K73" s="8">
        <v>542526.28570000001</v>
      </c>
      <c r="S73" s="8" t="s">
        <v>106</v>
      </c>
      <c r="T73" s="8">
        <v>940</v>
      </c>
      <c r="U73" s="8">
        <v>1528</v>
      </c>
      <c r="V73" s="8">
        <v>61.52</v>
      </c>
      <c r="Z73" s="46" t="s">
        <v>108</v>
      </c>
      <c r="AA73" s="47">
        <v>6187527</v>
      </c>
      <c r="AJ73" s="45" t="s">
        <v>7</v>
      </c>
      <c r="AK73" s="45">
        <v>3976.06</v>
      </c>
    </row>
    <row r="74" spans="8:37" x14ac:dyDescent="0.3">
      <c r="H74" s="8" t="s">
        <v>81</v>
      </c>
      <c r="I74" s="8">
        <v>593144.84620000003</v>
      </c>
      <c r="J74" s="8">
        <v>50638.230799999998</v>
      </c>
      <c r="K74" s="8">
        <v>542506.61540000001</v>
      </c>
      <c r="S74" s="8" t="s">
        <v>91</v>
      </c>
      <c r="T74" s="8">
        <v>1224</v>
      </c>
      <c r="U74" s="8">
        <v>2007</v>
      </c>
      <c r="V74" s="8">
        <v>60.99</v>
      </c>
      <c r="Z74" s="46" t="s">
        <v>91</v>
      </c>
      <c r="AA74" s="47">
        <v>7741406</v>
      </c>
      <c r="AJ74" s="45" t="s">
        <v>109</v>
      </c>
      <c r="AK74" s="45">
        <v>3962.49</v>
      </c>
    </row>
    <row r="75" spans="8:37" x14ac:dyDescent="0.3">
      <c r="H75" s="8" t="s">
        <v>102</v>
      </c>
      <c r="I75" s="8">
        <v>596420.07140000002</v>
      </c>
      <c r="J75" s="8">
        <v>54872.357100000001</v>
      </c>
      <c r="K75" s="8">
        <v>541547.71429999999</v>
      </c>
      <c r="S75" s="8" t="s">
        <v>62</v>
      </c>
      <c r="T75" s="8">
        <v>947</v>
      </c>
      <c r="U75" s="8">
        <v>1553</v>
      </c>
      <c r="V75" s="8">
        <v>60.98</v>
      </c>
      <c r="Z75" s="46" t="s">
        <v>90</v>
      </c>
      <c r="AA75" s="47">
        <v>4517216</v>
      </c>
      <c r="AJ75" s="45" t="s">
        <v>34</v>
      </c>
      <c r="AK75" s="45">
        <v>3955.89</v>
      </c>
    </row>
    <row r="76" spans="8:37" x14ac:dyDescent="0.3">
      <c r="H76" s="8" t="s">
        <v>103</v>
      </c>
      <c r="I76" s="8">
        <v>586386.57140000002</v>
      </c>
      <c r="J76" s="8">
        <v>54698.142899999999</v>
      </c>
      <c r="K76" s="8">
        <v>531688.42859999998</v>
      </c>
      <c r="S76" s="8" t="s">
        <v>16</v>
      </c>
      <c r="T76" s="8">
        <v>1325</v>
      </c>
      <c r="U76" s="8">
        <v>2197</v>
      </c>
      <c r="V76" s="8">
        <v>60.31</v>
      </c>
      <c r="Z76" s="46" t="s">
        <v>112</v>
      </c>
      <c r="AA76" s="47">
        <v>2745892</v>
      </c>
      <c r="AJ76" s="45" t="s">
        <v>101</v>
      </c>
      <c r="AK76" s="45">
        <v>3937.5</v>
      </c>
    </row>
    <row r="77" spans="8:37" x14ac:dyDescent="0.3">
      <c r="H77" s="8" t="s">
        <v>87</v>
      </c>
      <c r="I77" s="8">
        <v>565736</v>
      </c>
      <c r="J77" s="8">
        <v>43406.333299999998</v>
      </c>
      <c r="K77" s="8">
        <v>522329.6667</v>
      </c>
      <c r="S77" s="8" t="s">
        <v>64</v>
      </c>
      <c r="T77" s="8">
        <v>981</v>
      </c>
      <c r="U77" s="8">
        <v>1660</v>
      </c>
      <c r="V77" s="8">
        <v>59.1</v>
      </c>
      <c r="Z77" s="46" t="s">
        <v>87</v>
      </c>
      <c r="AA77" s="47">
        <v>3133978</v>
      </c>
      <c r="AJ77" s="45" t="s">
        <v>98</v>
      </c>
      <c r="AK77" s="45">
        <v>3897.77</v>
      </c>
    </row>
    <row r="78" spans="8:37" x14ac:dyDescent="0.3">
      <c r="H78" s="8" t="s">
        <v>65</v>
      </c>
      <c r="I78" s="8">
        <v>575110.3077</v>
      </c>
      <c r="J78" s="8">
        <v>55382.9231</v>
      </c>
      <c r="K78" s="8">
        <v>519727.38459999999</v>
      </c>
      <c r="S78" s="8" t="s">
        <v>74</v>
      </c>
      <c r="T78" s="8">
        <v>673</v>
      </c>
      <c r="U78" s="8">
        <v>1141</v>
      </c>
      <c r="V78" s="8">
        <v>58.98</v>
      </c>
      <c r="Z78" s="46" t="s">
        <v>100</v>
      </c>
      <c r="AA78" s="47">
        <v>6589486</v>
      </c>
      <c r="AJ78" s="45" t="s">
        <v>110</v>
      </c>
      <c r="AK78" s="45">
        <v>3888.33</v>
      </c>
    </row>
    <row r="79" spans="8:37" x14ac:dyDescent="0.3">
      <c r="H79" s="8" t="s">
        <v>95</v>
      </c>
      <c r="I79" s="8">
        <v>569066.27269999997</v>
      </c>
      <c r="J79" s="8">
        <v>50659.363599999997</v>
      </c>
      <c r="K79" s="8">
        <v>518406.90909999999</v>
      </c>
      <c r="S79" s="8" t="s">
        <v>95</v>
      </c>
      <c r="T79" s="8">
        <v>919</v>
      </c>
      <c r="U79" s="8">
        <v>1571</v>
      </c>
      <c r="V79" s="8">
        <v>58.5</v>
      </c>
      <c r="Z79" s="46" t="s">
        <v>109</v>
      </c>
      <c r="AA79" s="47">
        <v>5100350</v>
      </c>
      <c r="AJ79" s="45" t="s">
        <v>65</v>
      </c>
      <c r="AK79" s="45">
        <v>3867.79</v>
      </c>
    </row>
    <row r="80" spans="8:37" x14ac:dyDescent="0.3">
      <c r="H80" s="8" t="s">
        <v>99</v>
      </c>
      <c r="I80" s="8">
        <v>557249.71429999999</v>
      </c>
      <c r="J80" s="8">
        <v>52267.7857</v>
      </c>
      <c r="K80" s="8">
        <v>504981.92859999998</v>
      </c>
      <c r="S80" s="8" t="s">
        <v>110</v>
      </c>
      <c r="T80" s="8">
        <v>1162</v>
      </c>
      <c r="U80" s="8">
        <v>1990</v>
      </c>
      <c r="V80" s="8">
        <v>58.39</v>
      </c>
      <c r="Z80" s="46" t="s">
        <v>51</v>
      </c>
      <c r="AA80" s="47">
        <v>8122022</v>
      </c>
      <c r="AJ80" s="45" t="s">
        <v>63</v>
      </c>
      <c r="AK80" s="45">
        <v>3852.59</v>
      </c>
    </row>
    <row r="81" spans="8:37" x14ac:dyDescent="0.3">
      <c r="H81" s="8" t="s">
        <v>94</v>
      </c>
      <c r="I81" s="8">
        <v>557657.625</v>
      </c>
      <c r="J81" s="8">
        <v>52920.25</v>
      </c>
      <c r="K81" s="8">
        <v>504737.375</v>
      </c>
      <c r="S81" s="8" t="s">
        <v>72</v>
      </c>
      <c r="T81" s="8">
        <v>407</v>
      </c>
      <c r="U81" s="8">
        <v>699</v>
      </c>
      <c r="V81" s="8">
        <v>58.23</v>
      </c>
      <c r="Z81" s="46" t="s">
        <v>101</v>
      </c>
      <c r="AA81" s="47">
        <v>7065914</v>
      </c>
      <c r="AJ81" s="45" t="s">
        <v>82</v>
      </c>
      <c r="AK81" s="45">
        <v>3751.8</v>
      </c>
    </row>
    <row r="82" spans="8:37" x14ac:dyDescent="0.3">
      <c r="H82" s="8" t="s">
        <v>104</v>
      </c>
      <c r="I82" s="8">
        <v>551808.41669999994</v>
      </c>
      <c r="J82" s="8">
        <v>55876.166700000002</v>
      </c>
      <c r="K82" s="8">
        <v>495932.25</v>
      </c>
      <c r="S82" s="8" t="s">
        <v>57</v>
      </c>
      <c r="T82" s="8">
        <v>1490</v>
      </c>
      <c r="U82" s="8">
        <v>2562</v>
      </c>
      <c r="V82" s="8">
        <v>58.16</v>
      </c>
      <c r="Z82" s="46" t="s">
        <v>73</v>
      </c>
      <c r="AA82" s="47">
        <v>8887823</v>
      </c>
      <c r="AJ82" s="45" t="s">
        <v>41</v>
      </c>
      <c r="AK82" s="45">
        <v>3732.11</v>
      </c>
    </row>
    <row r="83" spans="8:37" x14ac:dyDescent="0.3">
      <c r="H83" s="8" t="s">
        <v>76</v>
      </c>
      <c r="I83" s="8">
        <v>541553.85710000002</v>
      </c>
      <c r="J83" s="8">
        <v>52476.857100000001</v>
      </c>
      <c r="K83" s="8">
        <v>489077</v>
      </c>
      <c r="S83" s="8" t="s">
        <v>103</v>
      </c>
      <c r="T83" s="8">
        <v>497</v>
      </c>
      <c r="U83" s="8">
        <v>864</v>
      </c>
      <c r="V83" s="8">
        <v>57.52</v>
      </c>
      <c r="Z83" s="46" t="s">
        <v>94</v>
      </c>
      <c r="AA83" s="47">
        <v>4037899</v>
      </c>
      <c r="AJ83" s="45" t="s">
        <v>36</v>
      </c>
      <c r="AK83" s="45">
        <v>3709.16</v>
      </c>
    </row>
    <row r="84" spans="8:37" x14ac:dyDescent="0.3">
      <c r="H84" s="8" t="s">
        <v>41</v>
      </c>
      <c r="I84" s="8">
        <v>534870.31579999998</v>
      </c>
      <c r="J84" s="8">
        <v>51408.105300000003</v>
      </c>
      <c r="K84" s="8">
        <v>483462.21049999999</v>
      </c>
      <c r="S84" s="8" t="s">
        <v>82</v>
      </c>
      <c r="T84" s="8">
        <v>599</v>
      </c>
      <c r="U84" s="8">
        <v>1058</v>
      </c>
      <c r="V84" s="8">
        <v>56.62</v>
      </c>
      <c r="Z84" s="46" t="s">
        <v>92</v>
      </c>
      <c r="AA84" s="47">
        <v>5971335</v>
      </c>
      <c r="AJ84" s="45" t="s">
        <v>85</v>
      </c>
      <c r="AK84" s="45">
        <v>3627.6</v>
      </c>
    </row>
    <row r="85" spans="8:37" x14ac:dyDescent="0.3">
      <c r="H85" s="8" t="s">
        <v>84</v>
      </c>
      <c r="I85" s="8">
        <v>533658.44440000004</v>
      </c>
      <c r="J85" s="8">
        <v>50940.888899999998</v>
      </c>
      <c r="K85" s="8">
        <v>482717.55560000002</v>
      </c>
      <c r="S85" s="8" t="s">
        <v>111</v>
      </c>
      <c r="T85" s="8">
        <v>450</v>
      </c>
      <c r="U85" s="8">
        <v>803</v>
      </c>
      <c r="V85" s="8">
        <v>56.04</v>
      </c>
      <c r="Z85" s="46" t="s">
        <v>18</v>
      </c>
      <c r="AA85" s="47">
        <v>10465039</v>
      </c>
      <c r="AB85" t="s">
        <v>1143</v>
      </c>
      <c r="AJ85" s="45" t="s">
        <v>95</v>
      </c>
      <c r="AK85" s="45">
        <v>3614.16</v>
      </c>
    </row>
    <row r="86" spans="8:37" x14ac:dyDescent="0.3">
      <c r="H86" s="8" t="s">
        <v>36</v>
      </c>
      <c r="I86" s="8">
        <v>534119</v>
      </c>
      <c r="J86" s="8">
        <v>55016.789499999999</v>
      </c>
      <c r="K86" s="8">
        <v>479102.21049999999</v>
      </c>
      <c r="S86" s="8" t="s">
        <v>109</v>
      </c>
      <c r="T86" s="8">
        <v>749</v>
      </c>
      <c r="U86" s="8">
        <v>1364</v>
      </c>
      <c r="V86" s="8">
        <v>54.91</v>
      </c>
      <c r="Z86" s="46" t="s">
        <v>62</v>
      </c>
      <c r="AA86" s="47">
        <v>6594875</v>
      </c>
      <c r="AJ86" s="45" t="s">
        <v>94</v>
      </c>
      <c r="AK86" s="45">
        <v>3554.79</v>
      </c>
    </row>
    <row r="87" spans="8:37" x14ac:dyDescent="0.3">
      <c r="H87" s="8" t="s">
        <v>85</v>
      </c>
      <c r="I87" s="8">
        <v>519956.3333</v>
      </c>
      <c r="J87" s="8">
        <v>50513.083299999998</v>
      </c>
      <c r="K87" s="8">
        <v>469443.25</v>
      </c>
      <c r="S87" s="8" t="s">
        <v>104</v>
      </c>
      <c r="T87" s="8">
        <v>1034</v>
      </c>
      <c r="U87" s="8">
        <v>1884</v>
      </c>
      <c r="V87" s="8">
        <v>54.88</v>
      </c>
      <c r="Z87" s="46" t="s">
        <v>65</v>
      </c>
      <c r="AA87" s="47">
        <v>6756456</v>
      </c>
      <c r="AJ87" s="45" t="s">
        <v>106</v>
      </c>
      <c r="AK87" s="45">
        <v>3487.26</v>
      </c>
    </row>
    <row r="88" spans="8:37" x14ac:dyDescent="0.3">
      <c r="H88" s="8" t="s">
        <v>106</v>
      </c>
      <c r="I88" s="8">
        <v>510749.53850000002</v>
      </c>
      <c r="J88" s="8">
        <v>53626.384599999998</v>
      </c>
      <c r="K88" s="8">
        <v>457123.15379999997</v>
      </c>
      <c r="S88" s="8" t="s">
        <v>102</v>
      </c>
      <c r="T88" s="8">
        <v>1170</v>
      </c>
      <c r="U88" s="8">
        <v>2149</v>
      </c>
      <c r="V88" s="8">
        <v>54.44</v>
      </c>
      <c r="Z88" s="46" t="s">
        <v>16</v>
      </c>
      <c r="AA88" s="47">
        <v>10548652</v>
      </c>
      <c r="AJ88" s="45" t="s">
        <v>84</v>
      </c>
      <c r="AK88" s="45">
        <v>3399.1</v>
      </c>
    </row>
    <row r="89" spans="8:37" x14ac:dyDescent="0.3">
      <c r="H89" s="8" t="s">
        <v>107</v>
      </c>
      <c r="I89" s="8">
        <v>482983.3333</v>
      </c>
      <c r="J89" s="8">
        <v>50607.333299999998</v>
      </c>
      <c r="K89" s="8">
        <v>432376</v>
      </c>
      <c r="S89" s="8" t="s">
        <v>76</v>
      </c>
      <c r="T89" s="8">
        <v>581</v>
      </c>
      <c r="U89" s="8">
        <v>1077</v>
      </c>
      <c r="V89" s="8">
        <v>53.95</v>
      </c>
      <c r="Z89" s="46" t="s">
        <v>84</v>
      </c>
      <c r="AA89" s="47">
        <v>4344458</v>
      </c>
      <c r="AJ89" s="45" t="s">
        <v>107</v>
      </c>
      <c r="AK89" s="45">
        <v>3325.82</v>
      </c>
    </row>
    <row r="90" spans="8:37" x14ac:dyDescent="0.3">
      <c r="H90" s="8" t="s">
        <v>46</v>
      </c>
      <c r="I90" s="8">
        <v>482020.38459999999</v>
      </c>
      <c r="J90" s="8">
        <v>57945.384599999998</v>
      </c>
      <c r="K90" s="8">
        <v>424075</v>
      </c>
      <c r="S90" s="8" t="s">
        <v>88</v>
      </c>
      <c r="T90" s="8">
        <v>1177</v>
      </c>
      <c r="U90" s="8">
        <v>2231</v>
      </c>
      <c r="V90" s="8">
        <v>52.76</v>
      </c>
      <c r="Z90" s="46" t="s">
        <v>36</v>
      </c>
      <c r="AA90" s="47">
        <v>9102942</v>
      </c>
      <c r="AJ90" s="45" t="s">
        <v>46</v>
      </c>
      <c r="AK90" s="45">
        <v>3040.4</v>
      </c>
    </row>
    <row r="91" spans="8:37" x14ac:dyDescent="0.3">
      <c r="H91" s="8" t="s">
        <v>105</v>
      </c>
      <c r="I91" s="8">
        <v>448683.75</v>
      </c>
      <c r="J91" s="8">
        <v>53318.25</v>
      </c>
      <c r="K91" s="8">
        <v>395365.5</v>
      </c>
      <c r="S91" s="8" t="s">
        <v>99</v>
      </c>
      <c r="T91" s="8">
        <v>1116</v>
      </c>
      <c r="U91" s="8">
        <v>2119</v>
      </c>
      <c r="V91" s="8">
        <v>52.67</v>
      </c>
      <c r="Z91" s="46" t="s">
        <v>66</v>
      </c>
      <c r="AA91" s="47">
        <v>5551332</v>
      </c>
      <c r="AJ91" s="45" t="s">
        <v>112</v>
      </c>
      <c r="AK91" s="45">
        <v>2890.8</v>
      </c>
    </row>
    <row r="92" spans="8:37" x14ac:dyDescent="0.3">
      <c r="H92" s="8" t="s">
        <v>112</v>
      </c>
      <c r="I92" s="8">
        <v>407603.5</v>
      </c>
      <c r="J92" s="8">
        <v>64367</v>
      </c>
      <c r="K92" s="8">
        <v>343236.5</v>
      </c>
      <c r="S92" s="8" t="s">
        <v>105</v>
      </c>
      <c r="T92" s="8">
        <v>257</v>
      </c>
      <c r="U92" s="8">
        <v>542</v>
      </c>
      <c r="V92" s="8">
        <v>47.42</v>
      </c>
      <c r="Z92" s="46" t="s">
        <v>97</v>
      </c>
      <c r="AA92" s="47">
        <v>7476420</v>
      </c>
      <c r="AJ92" s="45" t="s">
        <v>111</v>
      </c>
      <c r="AK92" s="45">
        <v>2890.59</v>
      </c>
    </row>
    <row r="93" spans="8:37" x14ac:dyDescent="0.3">
      <c r="H93" s="8" t="s">
        <v>111</v>
      </c>
      <c r="I93" s="8">
        <v>363388.14289999998</v>
      </c>
      <c r="J93" s="8">
        <v>48077.857100000001</v>
      </c>
      <c r="K93" s="8">
        <v>315310.28570000001</v>
      </c>
      <c r="S93" s="8" t="s">
        <v>112</v>
      </c>
      <c r="T93" s="8">
        <v>592</v>
      </c>
      <c r="U93" s="8">
        <v>1407</v>
      </c>
      <c r="V93" s="8">
        <v>42.08</v>
      </c>
      <c r="Z93" s="42" t="s">
        <v>102</v>
      </c>
      <c r="AA93" s="43">
        <v>7581668</v>
      </c>
      <c r="AJ93" s="45" t="s">
        <v>105</v>
      </c>
      <c r="AK93" s="45">
        <v>2694.8</v>
      </c>
    </row>
  </sheetData>
  <mergeCells count="2">
    <mergeCell ref="AF2:AH2"/>
    <mergeCell ref="AJ3:AN3"/>
  </mergeCells>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23863-BBD6-4AE6-9C39-12DA6B50FA20}">
  <dimension ref="A1:P1001"/>
  <sheetViews>
    <sheetView topLeftCell="A2" workbookViewId="0">
      <selection activeCell="I10" sqref="I10"/>
    </sheetView>
  </sheetViews>
  <sheetFormatPr defaultRowHeight="14.4" x14ac:dyDescent="0.3"/>
  <cols>
    <col min="1" max="1" width="9.6640625" customWidth="1"/>
    <col min="2" max="2" width="12.33203125" bestFit="1" customWidth="1"/>
    <col min="3" max="3" width="8.21875" bestFit="1" customWidth="1"/>
    <col min="4" max="4" width="12.77734375" bestFit="1" customWidth="1"/>
    <col min="5" max="5" width="11.77734375" bestFit="1" customWidth="1"/>
    <col min="6" max="6" width="19" bestFit="1" customWidth="1"/>
    <col min="7" max="7" width="13.33203125" bestFit="1" customWidth="1"/>
    <col min="8" max="8" width="15.77734375" bestFit="1" customWidth="1"/>
    <col min="9" max="9" width="11.6640625" bestFit="1" customWidth="1"/>
    <col min="10" max="10" width="10.21875" bestFit="1" customWidth="1"/>
    <col min="11" max="11" width="17" customWidth="1"/>
    <col min="12" max="12" width="8" customWidth="1"/>
    <col min="13" max="13" width="8.33203125" customWidth="1"/>
    <col min="14" max="14" width="27" customWidth="1"/>
    <col min="15" max="15" width="19.6640625" bestFit="1" customWidth="1"/>
    <col min="16" max="16" width="15.33203125" bestFit="1" customWidth="1"/>
  </cols>
  <sheetData>
    <row r="1" spans="1:16" ht="17.399999999999999" x14ac:dyDescent="0.35">
      <c r="A1" t="s">
        <v>1117</v>
      </c>
      <c r="B1" t="s">
        <v>30</v>
      </c>
      <c r="C1" t="s">
        <v>1118</v>
      </c>
      <c r="D1" t="s">
        <v>1119</v>
      </c>
      <c r="E1" t="s">
        <v>1120</v>
      </c>
      <c r="F1" t="s">
        <v>1121</v>
      </c>
      <c r="G1" t="s">
        <v>1122</v>
      </c>
      <c r="H1" t="s">
        <v>1123</v>
      </c>
      <c r="I1" t="s">
        <v>1124</v>
      </c>
      <c r="J1" t="s">
        <v>1125</v>
      </c>
      <c r="K1" s="2" t="s">
        <v>1126</v>
      </c>
      <c r="L1" t="s">
        <v>1127</v>
      </c>
      <c r="M1" s="2" t="s">
        <v>1128</v>
      </c>
      <c r="N1" s="12" t="s">
        <v>1129</v>
      </c>
      <c r="O1" s="21" t="s">
        <v>1130</v>
      </c>
    </row>
    <row r="2" spans="1:16" ht="17.399999999999999" x14ac:dyDescent="0.35">
      <c r="A2" t="s">
        <v>114</v>
      </c>
      <c r="B2" t="s">
        <v>103</v>
      </c>
      <c r="C2" t="s">
        <v>17</v>
      </c>
      <c r="D2" t="s">
        <v>20</v>
      </c>
      <c r="E2" s="16">
        <v>45688</v>
      </c>
      <c r="F2">
        <v>68</v>
      </c>
      <c r="G2" t="s">
        <v>113</v>
      </c>
      <c r="H2">
        <v>129</v>
      </c>
      <c r="I2">
        <v>104</v>
      </c>
      <c r="J2">
        <v>305136</v>
      </c>
      <c r="K2">
        <v>34654</v>
      </c>
      <c r="L2" t="e">
        <f>[1]!Table1[[#This Row],[Revenue]]-[1]!Table1[[#This Row],[OperationalCost]]</f>
        <v>#REF!</v>
      </c>
      <c r="M2" t="str">
        <f t="shared" ref="M2:M64" si="0">TEXT(E2,"MMM")</f>
        <v>Jan</v>
      </c>
      <c r="N2" s="15">
        <f>Table11[[#This Row],[SeatsSold]]/Table11[[#This Row],[SeatsAvailable]]</f>
        <v>0.80620155038759689</v>
      </c>
      <c r="O2" s="20">
        <v>45658.229166666664</v>
      </c>
    </row>
    <row r="3" spans="1:16" ht="17.399999999999999" x14ac:dyDescent="0.35">
      <c r="A3" t="s">
        <v>115</v>
      </c>
      <c r="B3" t="s">
        <v>70</v>
      </c>
      <c r="C3" t="s">
        <v>11</v>
      </c>
      <c r="D3" t="s">
        <v>17</v>
      </c>
      <c r="E3" s="16">
        <v>45883</v>
      </c>
      <c r="F3">
        <v>159</v>
      </c>
      <c r="G3" t="s">
        <v>116</v>
      </c>
      <c r="H3">
        <v>141</v>
      </c>
      <c r="I3">
        <v>40</v>
      </c>
      <c r="J3">
        <v>204600</v>
      </c>
      <c r="K3">
        <v>73890</v>
      </c>
      <c r="L3" t="e">
        <f>[1]!Table1[[#This Row],[Revenue]]-[1]!Table1[[#This Row],[OperationalCost]]</f>
        <v>#REF!</v>
      </c>
      <c r="M3" t="str">
        <f t="shared" si="0"/>
        <v>Aug</v>
      </c>
      <c r="N3" s="15">
        <f>Table11[[#This Row],[SeatsSold]]/Table11[[#This Row],[SeatsAvailable]]</f>
        <v>0.28368794326241137</v>
      </c>
      <c r="O3" s="19">
        <v>45659.229166666664</v>
      </c>
    </row>
    <row r="4" spans="1:16" ht="17.399999999999999" x14ac:dyDescent="0.35">
      <c r="A4" t="s">
        <v>117</v>
      </c>
      <c r="B4" t="s">
        <v>79</v>
      </c>
      <c r="C4" t="s">
        <v>21</v>
      </c>
      <c r="D4" t="s">
        <v>19</v>
      </c>
      <c r="E4" s="16">
        <v>45817</v>
      </c>
      <c r="F4">
        <v>100</v>
      </c>
      <c r="G4" t="s">
        <v>118</v>
      </c>
      <c r="H4">
        <v>96</v>
      </c>
      <c r="I4">
        <v>45</v>
      </c>
      <c r="J4">
        <v>392580</v>
      </c>
      <c r="K4">
        <v>30816</v>
      </c>
      <c r="L4" t="e">
        <f>[1]!Table1[[#This Row],[Revenue]]-[1]!Table1[[#This Row],[OperationalCost]]</f>
        <v>#REF!</v>
      </c>
      <c r="M4" t="str">
        <f t="shared" si="0"/>
        <v>Jun</v>
      </c>
      <c r="N4" s="15">
        <f>Table11[[#This Row],[SeatsSold]]/Table11[[#This Row],[SeatsAvailable]]</f>
        <v>0.46875</v>
      </c>
      <c r="O4" s="19">
        <v>45660.229166666664</v>
      </c>
    </row>
    <row r="5" spans="1:16" ht="17.399999999999999" x14ac:dyDescent="0.35">
      <c r="A5" t="s">
        <v>119</v>
      </c>
      <c r="B5" t="s">
        <v>79</v>
      </c>
      <c r="C5" t="s">
        <v>21</v>
      </c>
      <c r="D5" t="s">
        <v>19</v>
      </c>
      <c r="E5" s="16">
        <v>45702</v>
      </c>
      <c r="F5">
        <v>231</v>
      </c>
      <c r="G5" t="s">
        <v>120</v>
      </c>
      <c r="H5">
        <v>207</v>
      </c>
      <c r="I5">
        <v>71</v>
      </c>
      <c r="J5">
        <v>617771</v>
      </c>
      <c r="K5">
        <v>78087</v>
      </c>
      <c r="L5" t="e">
        <f>[1]!Table1[[#This Row],[Revenue]]-[1]!Table1[[#This Row],[OperationalCost]]</f>
        <v>#REF!</v>
      </c>
      <c r="M5" t="str">
        <f t="shared" si="0"/>
        <v>Feb</v>
      </c>
      <c r="N5" s="15">
        <f>Table11[[#This Row],[SeatsSold]]/Table11[[#This Row],[SeatsAvailable]]</f>
        <v>0.34299516908212563</v>
      </c>
      <c r="O5" s="19">
        <v>45661.229166666664</v>
      </c>
      <c r="P5" t="str">
        <f>TEXT(DATE(1900,1,1)+E2-2,"mmm yyyy hh:mm")</f>
        <v>Jan 2025 00:00</v>
      </c>
    </row>
    <row r="6" spans="1:16" ht="17.399999999999999" x14ac:dyDescent="0.35">
      <c r="A6" t="s">
        <v>121</v>
      </c>
      <c r="B6" t="s">
        <v>73</v>
      </c>
      <c r="C6" t="s">
        <v>19</v>
      </c>
      <c r="D6" t="s">
        <v>17</v>
      </c>
      <c r="E6" s="16">
        <v>46249</v>
      </c>
      <c r="F6">
        <v>94</v>
      </c>
      <c r="G6" t="s">
        <v>122</v>
      </c>
      <c r="H6">
        <v>81</v>
      </c>
      <c r="I6">
        <v>54</v>
      </c>
      <c r="J6">
        <v>391014</v>
      </c>
      <c r="K6">
        <v>24419</v>
      </c>
      <c r="L6" t="e">
        <f>[1]!Table1[[#This Row],[Revenue]]-[1]!Table1[[#This Row],[OperationalCost]]</f>
        <v>#REF!</v>
      </c>
      <c r="M6" t="str">
        <f t="shared" si="0"/>
        <v>Aug</v>
      </c>
      <c r="N6" s="15">
        <f>Table11[[#This Row],[SeatsSold]]/Table11[[#This Row],[SeatsAvailable]]</f>
        <v>0.66666666666666663</v>
      </c>
      <c r="O6" s="19">
        <v>45662.229166666664</v>
      </c>
    </row>
    <row r="7" spans="1:16" ht="17.399999999999999" x14ac:dyDescent="0.35">
      <c r="A7" t="s">
        <v>123</v>
      </c>
      <c r="B7" t="s">
        <v>48</v>
      </c>
      <c r="C7" t="s">
        <v>3</v>
      </c>
      <c r="D7" t="s">
        <v>6</v>
      </c>
      <c r="E7" s="16">
        <v>45942</v>
      </c>
      <c r="F7">
        <v>161</v>
      </c>
      <c r="G7" t="s">
        <v>118</v>
      </c>
      <c r="H7">
        <v>111</v>
      </c>
      <c r="I7">
        <v>87</v>
      </c>
      <c r="J7">
        <v>723840</v>
      </c>
      <c r="K7">
        <v>44281</v>
      </c>
      <c r="L7" t="e">
        <f>[1]!Table1[[#This Row],[Revenue]]-[1]!Table1[[#This Row],[OperationalCost]]</f>
        <v>#REF!</v>
      </c>
      <c r="M7" t="str">
        <f t="shared" si="0"/>
        <v>Oct</v>
      </c>
      <c r="N7" s="15">
        <f>Table11[[#This Row],[SeatsSold]]/Table11[[#This Row],[SeatsAvailable]]</f>
        <v>0.78378378378378377</v>
      </c>
      <c r="O7" s="19">
        <v>45663.229166666664</v>
      </c>
    </row>
    <row r="8" spans="1:16" ht="17.399999999999999" x14ac:dyDescent="0.35">
      <c r="A8" t="s">
        <v>124</v>
      </c>
      <c r="B8" t="s">
        <v>93</v>
      </c>
      <c r="C8" t="s">
        <v>3</v>
      </c>
      <c r="D8" t="s">
        <v>9</v>
      </c>
      <c r="E8" s="16">
        <v>46204</v>
      </c>
      <c r="F8">
        <v>231</v>
      </c>
      <c r="G8" t="s">
        <v>113</v>
      </c>
      <c r="H8">
        <v>111</v>
      </c>
      <c r="I8">
        <v>99</v>
      </c>
      <c r="J8">
        <v>862884</v>
      </c>
      <c r="K8">
        <v>70632</v>
      </c>
      <c r="L8" t="e">
        <f>[1]!Table1[[#This Row],[Revenue]]-[1]!Table1[[#This Row],[OperationalCost]]</f>
        <v>#REF!</v>
      </c>
      <c r="M8" t="str">
        <f t="shared" si="0"/>
        <v>Jul</v>
      </c>
      <c r="N8" s="15">
        <f>Table11[[#This Row],[SeatsSold]]/Table11[[#This Row],[SeatsAvailable]]</f>
        <v>0.89189189189189189</v>
      </c>
      <c r="O8" s="19">
        <v>45664.229166666664</v>
      </c>
    </row>
    <row r="9" spans="1:16" ht="17.399999999999999" x14ac:dyDescent="0.35">
      <c r="A9" t="s">
        <v>125</v>
      </c>
      <c r="B9" t="s">
        <v>83</v>
      </c>
      <c r="C9" t="s">
        <v>11</v>
      </c>
      <c r="D9" t="s">
        <v>9</v>
      </c>
      <c r="E9" s="16">
        <v>46359</v>
      </c>
      <c r="F9">
        <v>128</v>
      </c>
      <c r="G9" t="s">
        <v>122</v>
      </c>
      <c r="H9">
        <v>128</v>
      </c>
      <c r="I9">
        <v>44</v>
      </c>
      <c r="J9">
        <v>337392</v>
      </c>
      <c r="K9">
        <v>47360</v>
      </c>
      <c r="L9" t="e">
        <f>[1]!Table1[[#This Row],[Revenue]]-[1]!Table1[[#This Row],[OperationalCost]]</f>
        <v>#REF!</v>
      </c>
      <c r="M9" t="str">
        <f t="shared" si="0"/>
        <v>Dec</v>
      </c>
      <c r="N9" s="15">
        <f>Table11[[#This Row],[SeatsSold]]/Table11[[#This Row],[SeatsAvailable]]</f>
        <v>0.34375</v>
      </c>
      <c r="O9" s="19">
        <v>45665.229166666664</v>
      </c>
    </row>
    <row r="10" spans="1:16" ht="17.399999999999999" x14ac:dyDescent="0.35">
      <c r="A10" t="s">
        <v>126</v>
      </c>
      <c r="B10" t="s">
        <v>98</v>
      </c>
      <c r="C10" t="s">
        <v>3</v>
      </c>
      <c r="D10" t="s">
        <v>19</v>
      </c>
      <c r="E10" s="16">
        <v>46238</v>
      </c>
      <c r="F10">
        <v>228</v>
      </c>
      <c r="G10" t="s">
        <v>118</v>
      </c>
      <c r="H10">
        <v>124</v>
      </c>
      <c r="I10">
        <v>123</v>
      </c>
      <c r="J10">
        <v>1313517</v>
      </c>
      <c r="K10">
        <v>80644</v>
      </c>
      <c r="L10" t="e">
        <f>[1]!Table1[[#This Row],[Revenue]]-[1]!Table1[[#This Row],[OperationalCost]]</f>
        <v>#REF!</v>
      </c>
      <c r="M10" t="str">
        <f t="shared" si="0"/>
        <v>Aug</v>
      </c>
      <c r="N10" s="15">
        <f>Table11[[#This Row],[SeatsSold]]/Table11[[#This Row],[SeatsAvailable]]</f>
        <v>0.99193548387096775</v>
      </c>
      <c r="O10" s="19">
        <v>45666.229166666664</v>
      </c>
    </row>
    <row r="11" spans="1:16" ht="17.399999999999999" x14ac:dyDescent="0.35">
      <c r="A11" t="s">
        <v>127</v>
      </c>
      <c r="B11" t="s">
        <v>18</v>
      </c>
      <c r="C11" s="1" t="s">
        <v>6</v>
      </c>
      <c r="D11" t="s">
        <v>14</v>
      </c>
      <c r="E11" s="16">
        <v>45929</v>
      </c>
      <c r="F11">
        <v>80</v>
      </c>
      <c r="G11" t="s">
        <v>113</v>
      </c>
      <c r="H11">
        <v>213</v>
      </c>
      <c r="I11">
        <v>177</v>
      </c>
      <c r="J11">
        <v>1204308</v>
      </c>
      <c r="K11">
        <v>61777</v>
      </c>
      <c r="L11" t="e">
        <f>[1]!Table1[[#This Row],[Revenue]]-[1]!Table1[[#This Row],[OperationalCost]]</f>
        <v>#REF!</v>
      </c>
      <c r="M11" t="str">
        <f t="shared" si="0"/>
        <v>Sep</v>
      </c>
      <c r="N11" s="15">
        <f>Table11[[#This Row],[SeatsSold]]/Table11[[#This Row],[SeatsAvailable]]</f>
        <v>0.83098591549295775</v>
      </c>
      <c r="O11" s="19">
        <v>45667.229166666664</v>
      </c>
    </row>
    <row r="12" spans="1:16" ht="17.399999999999999" x14ac:dyDescent="0.35">
      <c r="A12" t="s">
        <v>128</v>
      </c>
      <c r="B12" t="s">
        <v>108</v>
      </c>
      <c r="C12" t="s">
        <v>15</v>
      </c>
      <c r="D12" t="s">
        <v>17</v>
      </c>
      <c r="E12" s="16">
        <v>46028</v>
      </c>
      <c r="F12">
        <v>101</v>
      </c>
      <c r="G12" t="s">
        <v>113</v>
      </c>
      <c r="H12">
        <v>200</v>
      </c>
      <c r="I12">
        <v>166</v>
      </c>
      <c r="J12">
        <v>662174</v>
      </c>
      <c r="K12">
        <v>34932</v>
      </c>
      <c r="L12" t="e">
        <f>[1]!Table1[[#This Row],[Revenue]]-[1]!Table1[[#This Row],[OperationalCost]]</f>
        <v>#REF!</v>
      </c>
      <c r="M12" t="str">
        <f t="shared" si="0"/>
        <v>Jan</v>
      </c>
      <c r="N12" s="15">
        <f>Table11[[#This Row],[SeatsSold]]/Table11[[#This Row],[SeatsAvailable]]</f>
        <v>0.83</v>
      </c>
      <c r="O12" s="19">
        <v>45668.229166666664</v>
      </c>
    </row>
    <row r="13" spans="1:16" ht="17.399999999999999" x14ac:dyDescent="0.35">
      <c r="A13" t="s">
        <v>129</v>
      </c>
      <c r="B13" t="s">
        <v>34</v>
      </c>
      <c r="C13" t="s">
        <v>14</v>
      </c>
      <c r="D13" t="s">
        <v>9</v>
      </c>
      <c r="E13" s="22">
        <v>46354</v>
      </c>
      <c r="F13">
        <v>153</v>
      </c>
      <c r="G13" t="s">
        <v>116</v>
      </c>
      <c r="H13">
        <v>86</v>
      </c>
      <c r="I13">
        <v>64</v>
      </c>
      <c r="J13">
        <v>560128</v>
      </c>
      <c r="K13">
        <v>58730</v>
      </c>
      <c r="L13" t="e">
        <f>[1]!Table1[[#This Row],[Revenue]]-[1]!Table1[[#This Row],[OperationalCost]]</f>
        <v>#REF!</v>
      </c>
      <c r="M13" t="str">
        <f t="shared" si="0"/>
        <v>Nov</v>
      </c>
      <c r="N13" s="15">
        <f>Table11[[#This Row],[SeatsSold]]/Table11[[#This Row],[SeatsAvailable]]</f>
        <v>0.7441860465116279</v>
      </c>
      <c r="O13" s="19">
        <v>45669.229166666664</v>
      </c>
      <c r="P13" s="16">
        <f>DATE(1900,1,1)+E2-2</f>
        <v>45687</v>
      </c>
    </row>
    <row r="14" spans="1:16" ht="17.399999999999999" x14ac:dyDescent="0.35">
      <c r="A14" t="s">
        <v>130</v>
      </c>
      <c r="B14" t="s">
        <v>88</v>
      </c>
      <c r="C14" t="s">
        <v>11</v>
      </c>
      <c r="D14" t="s">
        <v>19</v>
      </c>
      <c r="E14" s="16">
        <v>46224</v>
      </c>
      <c r="F14">
        <v>47</v>
      </c>
      <c r="G14" t="s">
        <v>122</v>
      </c>
      <c r="H14">
        <v>207</v>
      </c>
      <c r="I14">
        <v>108</v>
      </c>
      <c r="J14">
        <v>871884</v>
      </c>
      <c r="K14">
        <v>39041</v>
      </c>
      <c r="L14" t="e">
        <f>[1]!Table1[[#This Row],[Revenue]]-[1]!Table1[[#This Row],[OperationalCost]]</f>
        <v>#REF!</v>
      </c>
      <c r="M14" t="str">
        <f t="shared" si="0"/>
        <v>Jul</v>
      </c>
      <c r="N14" s="15">
        <f>Table11[[#This Row],[SeatsSold]]/Table11[[#This Row],[SeatsAvailable]]</f>
        <v>0.52173913043478259</v>
      </c>
      <c r="O14" s="19">
        <v>46023.229166666664</v>
      </c>
    </row>
    <row r="15" spans="1:16" ht="17.399999999999999" x14ac:dyDescent="0.35">
      <c r="A15" t="s">
        <v>131</v>
      </c>
      <c r="B15" t="s">
        <v>10</v>
      </c>
      <c r="C15" t="s">
        <v>17</v>
      </c>
      <c r="D15" t="s">
        <v>14</v>
      </c>
      <c r="E15" s="16">
        <v>46122</v>
      </c>
      <c r="F15">
        <v>45</v>
      </c>
      <c r="G15" t="s">
        <v>118</v>
      </c>
      <c r="H15">
        <v>198</v>
      </c>
      <c r="I15">
        <v>85</v>
      </c>
      <c r="J15">
        <v>919445</v>
      </c>
      <c r="K15">
        <v>54135</v>
      </c>
      <c r="L15" t="e">
        <f>[1]!Table1[[#This Row],[Revenue]]-[1]!Table1[[#This Row],[OperationalCost]]</f>
        <v>#REF!</v>
      </c>
      <c r="M15" t="str">
        <f t="shared" si="0"/>
        <v>Apr</v>
      </c>
      <c r="N15" s="15">
        <f>Table11[[#This Row],[SeatsSold]]/Table11[[#This Row],[SeatsAvailable]]</f>
        <v>0.42929292929292928</v>
      </c>
      <c r="O15" s="19">
        <v>46024.229166666664</v>
      </c>
    </row>
    <row r="16" spans="1:16" ht="17.399999999999999" x14ac:dyDescent="0.35">
      <c r="A16" t="s">
        <v>132</v>
      </c>
      <c r="B16" t="s">
        <v>94</v>
      </c>
      <c r="C16" t="s">
        <v>19</v>
      </c>
      <c r="D16" t="s">
        <v>15</v>
      </c>
      <c r="E16" s="16">
        <v>46281</v>
      </c>
      <c r="F16">
        <v>95</v>
      </c>
      <c r="G16" t="s">
        <v>113</v>
      </c>
      <c r="H16">
        <v>165</v>
      </c>
      <c r="I16">
        <v>137</v>
      </c>
      <c r="J16">
        <v>705002</v>
      </c>
      <c r="K16">
        <v>59985</v>
      </c>
      <c r="L16" t="e">
        <f>[1]!Table1[[#This Row],[Revenue]]-[1]!Table1[[#This Row],[OperationalCost]]</f>
        <v>#REF!</v>
      </c>
      <c r="M16" t="str">
        <f t="shared" si="0"/>
        <v>Sep</v>
      </c>
      <c r="N16" s="15">
        <f>Table11[[#This Row],[SeatsSold]]/Table11[[#This Row],[SeatsAvailable]]</f>
        <v>0.83030303030303032</v>
      </c>
      <c r="O16" s="19">
        <v>46025.229166666664</v>
      </c>
    </row>
    <row r="17" spans="1:16" ht="17.399999999999999" x14ac:dyDescent="0.35">
      <c r="A17" t="s">
        <v>133</v>
      </c>
      <c r="B17" t="s">
        <v>54</v>
      </c>
      <c r="C17" t="s">
        <v>20</v>
      </c>
      <c r="D17" t="s">
        <v>17</v>
      </c>
      <c r="E17" s="16">
        <v>46158</v>
      </c>
      <c r="F17">
        <v>49</v>
      </c>
      <c r="G17" t="s">
        <v>122</v>
      </c>
      <c r="H17">
        <v>162</v>
      </c>
      <c r="I17">
        <v>152</v>
      </c>
      <c r="J17">
        <v>1145776</v>
      </c>
      <c r="K17">
        <v>24097</v>
      </c>
      <c r="L17" t="e">
        <f>[1]!Table1[[#This Row],[Revenue]]-[1]!Table1[[#This Row],[OperationalCost]]</f>
        <v>#REF!</v>
      </c>
      <c r="M17" t="str">
        <f t="shared" si="0"/>
        <v>May</v>
      </c>
      <c r="N17" s="15">
        <f>Table11[[#This Row],[SeatsSold]]/Table11[[#This Row],[SeatsAvailable]]</f>
        <v>0.93827160493827155</v>
      </c>
      <c r="O17" s="19">
        <v>46026.229166666664</v>
      </c>
    </row>
    <row r="18" spans="1:16" ht="17.399999999999999" x14ac:dyDescent="0.35">
      <c r="A18" t="s">
        <v>134</v>
      </c>
      <c r="B18" t="s">
        <v>7</v>
      </c>
      <c r="C18" t="s">
        <v>9</v>
      </c>
      <c r="D18" t="s">
        <v>3</v>
      </c>
      <c r="E18" s="16">
        <v>45745</v>
      </c>
      <c r="F18">
        <v>232</v>
      </c>
      <c r="G18" t="s">
        <v>120</v>
      </c>
      <c r="H18">
        <v>87</v>
      </c>
      <c r="I18">
        <v>74</v>
      </c>
      <c r="J18">
        <v>337440</v>
      </c>
      <c r="K18">
        <v>56840</v>
      </c>
      <c r="L18" t="e">
        <f>[1]!Table1[[#This Row],[Revenue]]-[1]!Table1[[#This Row],[OperationalCost]]</f>
        <v>#REF!</v>
      </c>
      <c r="M18" t="str">
        <f t="shared" si="0"/>
        <v>Mar</v>
      </c>
      <c r="N18" s="15">
        <f>Table11[[#This Row],[SeatsSold]]/Table11[[#This Row],[SeatsAvailable]]</f>
        <v>0.85057471264367812</v>
      </c>
      <c r="O18" s="19">
        <v>46027.229166666664</v>
      </c>
    </row>
    <row r="19" spans="1:16" ht="17.399999999999999" x14ac:dyDescent="0.35">
      <c r="A19" t="s">
        <v>135</v>
      </c>
      <c r="B19" t="s">
        <v>97</v>
      </c>
      <c r="C19" t="s">
        <v>6</v>
      </c>
      <c r="D19" t="s">
        <v>15</v>
      </c>
      <c r="E19" s="16">
        <v>45827</v>
      </c>
      <c r="F19">
        <v>112</v>
      </c>
      <c r="G19" t="s">
        <v>116</v>
      </c>
      <c r="H19">
        <v>178</v>
      </c>
      <c r="I19">
        <v>94</v>
      </c>
      <c r="J19">
        <v>1065490</v>
      </c>
      <c r="K19">
        <v>56470</v>
      </c>
      <c r="L19" t="e">
        <f>[1]!Table1[[#This Row],[Revenue]]-[1]!Table1[[#This Row],[OperationalCost]]</f>
        <v>#REF!</v>
      </c>
      <c r="M19" t="str">
        <f t="shared" si="0"/>
        <v>Jun</v>
      </c>
      <c r="N19" s="15">
        <f>Table11[[#This Row],[SeatsSold]]/Table11[[#This Row],[SeatsAvailable]]</f>
        <v>0.5280898876404494</v>
      </c>
      <c r="O19" s="19">
        <v>46028.229166666664</v>
      </c>
    </row>
    <row r="20" spans="1:16" ht="17.399999999999999" x14ac:dyDescent="0.35">
      <c r="A20" t="s">
        <v>136</v>
      </c>
      <c r="B20" t="s">
        <v>92</v>
      </c>
      <c r="C20" t="s">
        <v>19</v>
      </c>
      <c r="D20" t="s">
        <v>6</v>
      </c>
      <c r="E20" s="16">
        <v>46345</v>
      </c>
      <c r="F20">
        <v>211</v>
      </c>
      <c r="G20" t="s">
        <v>118</v>
      </c>
      <c r="H20">
        <v>182</v>
      </c>
      <c r="I20">
        <v>172</v>
      </c>
      <c r="J20">
        <v>1702284</v>
      </c>
      <c r="K20">
        <v>57676</v>
      </c>
      <c r="L20" t="e">
        <f>[1]!Table1[[#This Row],[Revenue]]-[1]!Table1[[#This Row],[OperationalCost]]</f>
        <v>#REF!</v>
      </c>
      <c r="M20" t="str">
        <f t="shared" si="0"/>
        <v>Nov</v>
      </c>
      <c r="N20" s="15">
        <f>Table11[[#This Row],[SeatsSold]]/Table11[[#This Row],[SeatsAvailable]]</f>
        <v>0.94505494505494503</v>
      </c>
      <c r="O20" s="19">
        <v>46029.229166666664</v>
      </c>
    </row>
    <row r="21" spans="1:16" ht="17.399999999999999" x14ac:dyDescent="0.35">
      <c r="A21" t="s">
        <v>137</v>
      </c>
      <c r="B21" t="s">
        <v>7</v>
      </c>
      <c r="C21" t="s">
        <v>9</v>
      </c>
      <c r="D21" t="s">
        <v>3</v>
      </c>
      <c r="E21" s="16">
        <v>46004</v>
      </c>
      <c r="F21">
        <v>50</v>
      </c>
      <c r="G21" t="s">
        <v>116</v>
      </c>
      <c r="H21">
        <v>211</v>
      </c>
      <c r="I21">
        <v>98</v>
      </c>
      <c r="J21">
        <v>598584</v>
      </c>
      <c r="K21">
        <v>26728</v>
      </c>
      <c r="L21" t="e">
        <f>[1]!Table1[[#This Row],[Revenue]]-[1]!Table1[[#This Row],[OperationalCost]]</f>
        <v>#REF!</v>
      </c>
      <c r="M21" t="str">
        <f t="shared" si="0"/>
        <v>Dec</v>
      </c>
      <c r="N21" s="15">
        <f>Table11[[#This Row],[SeatsSold]]/Table11[[#This Row],[SeatsAvailable]]</f>
        <v>0.46445497630331756</v>
      </c>
      <c r="O21" s="19">
        <v>46030.229166666664</v>
      </c>
    </row>
    <row r="22" spans="1:16" ht="17.399999999999999" x14ac:dyDescent="0.35">
      <c r="A22" t="s">
        <v>138</v>
      </c>
      <c r="B22" t="s">
        <v>82</v>
      </c>
      <c r="C22" t="s">
        <v>20</v>
      </c>
      <c r="D22" t="s">
        <v>19</v>
      </c>
      <c r="E22" s="16">
        <v>45727</v>
      </c>
      <c r="F22">
        <v>53</v>
      </c>
      <c r="G22" t="s">
        <v>118</v>
      </c>
      <c r="H22">
        <v>88</v>
      </c>
      <c r="I22">
        <v>72</v>
      </c>
      <c r="J22">
        <v>460728</v>
      </c>
      <c r="K22">
        <v>28075</v>
      </c>
      <c r="L22" t="e">
        <f>[1]!Table1[[#This Row],[Revenue]]-[1]!Table1[[#This Row],[OperationalCost]]</f>
        <v>#REF!</v>
      </c>
      <c r="M22" t="str">
        <f t="shared" si="0"/>
        <v>Mar</v>
      </c>
      <c r="N22" s="15">
        <f>Table11[[#This Row],[SeatsSold]]/Table11[[#This Row],[SeatsAvailable]]</f>
        <v>0.81818181818181823</v>
      </c>
      <c r="O22" s="19">
        <v>46031.229166666664</v>
      </c>
    </row>
    <row r="23" spans="1:16" ht="17.399999999999999" x14ac:dyDescent="0.35">
      <c r="A23" t="s">
        <v>139</v>
      </c>
      <c r="B23" t="s">
        <v>67</v>
      </c>
      <c r="C23" t="s">
        <v>9</v>
      </c>
      <c r="D23" t="s">
        <v>15</v>
      </c>
      <c r="E23" s="16">
        <v>45793</v>
      </c>
      <c r="F23">
        <v>230</v>
      </c>
      <c r="G23" t="s">
        <v>116</v>
      </c>
      <c r="H23">
        <v>217</v>
      </c>
      <c r="I23">
        <v>161</v>
      </c>
      <c r="J23">
        <v>1043441</v>
      </c>
      <c r="K23">
        <v>95358</v>
      </c>
      <c r="L23" t="e">
        <f>[1]!Table1[[#This Row],[Revenue]]-[1]!Table1[[#This Row],[OperationalCost]]</f>
        <v>#REF!</v>
      </c>
      <c r="M23" t="str">
        <f t="shared" si="0"/>
        <v>May</v>
      </c>
      <c r="N23" s="15">
        <f>Table11[[#This Row],[SeatsSold]]/Table11[[#This Row],[SeatsAvailable]]</f>
        <v>0.74193548387096775</v>
      </c>
      <c r="O23" s="19">
        <v>46032.229166666664</v>
      </c>
    </row>
    <row r="24" spans="1:16" ht="17.399999999999999" x14ac:dyDescent="0.35">
      <c r="A24" t="s">
        <v>140</v>
      </c>
      <c r="B24" t="s">
        <v>7</v>
      </c>
      <c r="C24" t="s">
        <v>9</v>
      </c>
      <c r="D24" t="s">
        <v>3</v>
      </c>
      <c r="E24" s="16">
        <v>45757</v>
      </c>
      <c r="F24">
        <v>213</v>
      </c>
      <c r="G24" t="s">
        <v>120</v>
      </c>
      <c r="H24">
        <v>160</v>
      </c>
      <c r="I24">
        <v>94</v>
      </c>
      <c r="J24">
        <v>868090</v>
      </c>
      <c r="K24">
        <v>65787</v>
      </c>
      <c r="L24" t="e">
        <f>[1]!Table1[[#This Row],[Revenue]]-[1]!Table1[[#This Row],[OperationalCost]]</f>
        <v>#REF!</v>
      </c>
      <c r="M24" t="str">
        <f t="shared" si="0"/>
        <v>Apr</v>
      </c>
      <c r="N24" s="15">
        <f>Table11[[#This Row],[SeatsSold]]/Table11[[#This Row],[SeatsAvailable]]</f>
        <v>0.58750000000000002</v>
      </c>
      <c r="O24" s="19">
        <v>46033.229166666664</v>
      </c>
    </row>
    <row r="25" spans="1:16" ht="17.399999999999999" x14ac:dyDescent="0.35">
      <c r="A25" t="s">
        <v>141</v>
      </c>
      <c r="B25" t="s">
        <v>5</v>
      </c>
      <c r="C25" t="s">
        <v>3</v>
      </c>
      <c r="D25" t="s">
        <v>20</v>
      </c>
      <c r="E25" s="16">
        <v>46070</v>
      </c>
      <c r="F25">
        <v>231</v>
      </c>
      <c r="G25" t="s">
        <v>118</v>
      </c>
      <c r="H25">
        <v>97</v>
      </c>
      <c r="I25">
        <v>55</v>
      </c>
      <c r="J25">
        <v>310145</v>
      </c>
      <c r="K25">
        <v>59857</v>
      </c>
      <c r="L25" t="e">
        <f>[1]!Table1[[#This Row],[Revenue]]-[1]!Table1[[#This Row],[OperationalCost]]</f>
        <v>#REF!</v>
      </c>
      <c r="M25" t="str">
        <f t="shared" si="0"/>
        <v>Feb</v>
      </c>
      <c r="N25" s="15">
        <f>Table11[[#This Row],[SeatsSold]]/Table11[[#This Row],[SeatsAvailable]]</f>
        <v>0.5670103092783505</v>
      </c>
      <c r="O25" s="19">
        <v>46034.229166666664</v>
      </c>
    </row>
    <row r="26" spans="1:16" ht="17.399999999999999" x14ac:dyDescent="0.35">
      <c r="A26" t="s">
        <v>142</v>
      </c>
      <c r="B26" t="s">
        <v>18</v>
      </c>
      <c r="C26" t="s">
        <v>6</v>
      </c>
      <c r="D26" t="s">
        <v>14</v>
      </c>
      <c r="E26" s="16">
        <v>46090</v>
      </c>
      <c r="F26">
        <v>91</v>
      </c>
      <c r="G26" t="s">
        <v>118</v>
      </c>
      <c r="H26">
        <v>188</v>
      </c>
      <c r="I26">
        <v>103</v>
      </c>
      <c r="J26">
        <v>384705</v>
      </c>
      <c r="K26">
        <v>62563</v>
      </c>
      <c r="L26" t="e">
        <f>[1]!Table1[[#This Row],[Revenue]]-[1]!Table1[[#This Row],[OperationalCost]]</f>
        <v>#REF!</v>
      </c>
      <c r="M26" t="str">
        <f t="shared" si="0"/>
        <v>Mar</v>
      </c>
      <c r="N26" s="15">
        <f>Table11[[#This Row],[SeatsSold]]/Table11[[#This Row],[SeatsAvailable]]</f>
        <v>0.5478723404255319</v>
      </c>
      <c r="O26" s="19">
        <v>46388.229166666664</v>
      </c>
    </row>
    <row r="27" spans="1:16" x14ac:dyDescent="0.3">
      <c r="A27" t="s">
        <v>143</v>
      </c>
      <c r="B27" t="s">
        <v>5</v>
      </c>
      <c r="C27" t="s">
        <v>3</v>
      </c>
      <c r="D27" t="s">
        <v>20</v>
      </c>
      <c r="E27" s="16">
        <v>46325</v>
      </c>
      <c r="F27">
        <v>183</v>
      </c>
      <c r="G27" t="s">
        <v>122</v>
      </c>
      <c r="H27">
        <v>93</v>
      </c>
      <c r="I27">
        <v>88</v>
      </c>
      <c r="J27">
        <v>560736</v>
      </c>
      <c r="K27">
        <v>46758</v>
      </c>
      <c r="L27" t="e">
        <f>[1]!Table1[[#This Row],[Revenue]]-[1]!Table1[[#This Row],[OperationalCost]]</f>
        <v>#REF!</v>
      </c>
      <c r="M27" t="str">
        <f t="shared" si="0"/>
        <v>Oct</v>
      </c>
      <c r="N27" s="15">
        <f>Table11[[#This Row],[SeatsSold]]/Table11[[#This Row],[SeatsAvailable]]</f>
        <v>0.94623655913978499</v>
      </c>
      <c r="O27" s="10"/>
    </row>
    <row r="28" spans="1:16" x14ac:dyDescent="0.3">
      <c r="A28" t="s">
        <v>144</v>
      </c>
      <c r="B28" t="s">
        <v>36</v>
      </c>
      <c r="C28" t="s">
        <v>6</v>
      </c>
      <c r="D28" t="s">
        <v>11</v>
      </c>
      <c r="E28" s="16">
        <v>45876</v>
      </c>
      <c r="F28">
        <v>147</v>
      </c>
      <c r="G28" t="s">
        <v>122</v>
      </c>
      <c r="H28">
        <v>112</v>
      </c>
      <c r="I28">
        <v>88</v>
      </c>
      <c r="J28">
        <v>223080</v>
      </c>
      <c r="K28">
        <v>48657</v>
      </c>
      <c r="L28" t="e">
        <f>[1]!Table1[[#This Row],[Revenue]]-[1]!Table1[[#This Row],[OperationalCost]]</f>
        <v>#REF!</v>
      </c>
      <c r="M28" t="str">
        <f t="shared" si="0"/>
        <v>Aug</v>
      </c>
      <c r="N28" s="15">
        <f>Table11[[#This Row],[SeatsSold]]/Table11[[#This Row],[SeatsAvailable]]</f>
        <v>0.7857142857142857</v>
      </c>
      <c r="O28" s="10"/>
    </row>
    <row r="29" spans="1:16" x14ac:dyDescent="0.3">
      <c r="A29" t="s">
        <v>145</v>
      </c>
      <c r="B29" t="s">
        <v>102</v>
      </c>
      <c r="C29" t="s">
        <v>6</v>
      </c>
      <c r="D29" t="s">
        <v>19</v>
      </c>
      <c r="E29" s="16">
        <v>46091</v>
      </c>
      <c r="F29">
        <v>223</v>
      </c>
      <c r="G29" t="s">
        <v>116</v>
      </c>
      <c r="H29">
        <v>194</v>
      </c>
      <c r="I29">
        <v>79</v>
      </c>
      <c r="J29">
        <v>443269</v>
      </c>
      <c r="K29">
        <v>69675</v>
      </c>
      <c r="L29" t="e">
        <f>[1]!Table1[[#This Row],[Revenue]]-[1]!Table1[[#This Row],[OperationalCost]]</f>
        <v>#REF!</v>
      </c>
      <c r="M29" t="str">
        <f t="shared" si="0"/>
        <v>Mar</v>
      </c>
      <c r="N29" s="15">
        <f>Table11[[#This Row],[SeatsSold]]/Table11[[#This Row],[SeatsAvailable]]</f>
        <v>0.40721649484536082</v>
      </c>
      <c r="O29" s="10"/>
    </row>
    <row r="30" spans="1:16" x14ac:dyDescent="0.3">
      <c r="A30" t="s">
        <v>146</v>
      </c>
      <c r="B30" t="s">
        <v>80</v>
      </c>
      <c r="C30" t="s">
        <v>20</v>
      </c>
      <c r="D30" t="s">
        <v>15</v>
      </c>
      <c r="E30" s="16">
        <v>45720</v>
      </c>
      <c r="F30">
        <v>236</v>
      </c>
      <c r="G30" t="s">
        <v>118</v>
      </c>
      <c r="H30">
        <v>84</v>
      </c>
      <c r="I30">
        <v>43</v>
      </c>
      <c r="J30">
        <v>443373</v>
      </c>
      <c r="K30">
        <v>76588</v>
      </c>
      <c r="L30" t="e">
        <f>[1]!Table1[[#This Row],[Revenue]]-[1]!Table1[[#This Row],[OperationalCost]]</f>
        <v>#REF!</v>
      </c>
      <c r="M30" t="str">
        <f t="shared" si="0"/>
        <v>Mar</v>
      </c>
      <c r="N30" s="15">
        <f>Table11[[#This Row],[SeatsSold]]/Table11[[#This Row],[SeatsAvailable]]</f>
        <v>0.51190476190476186</v>
      </c>
      <c r="O30" s="10"/>
    </row>
    <row r="31" spans="1:16" x14ac:dyDescent="0.3">
      <c r="A31" t="s">
        <v>147</v>
      </c>
      <c r="B31" t="s">
        <v>39</v>
      </c>
      <c r="C31" t="s">
        <v>14</v>
      </c>
      <c r="D31" t="s">
        <v>20</v>
      </c>
      <c r="E31" s="16">
        <v>46178</v>
      </c>
      <c r="F31">
        <v>65</v>
      </c>
      <c r="G31" t="s">
        <v>113</v>
      </c>
      <c r="H31">
        <v>87</v>
      </c>
      <c r="I31">
        <v>78</v>
      </c>
      <c r="J31">
        <v>281814</v>
      </c>
      <c r="K31">
        <v>31160</v>
      </c>
      <c r="L31" t="e">
        <f>[1]!Table1[[#This Row],[Revenue]]-[1]!Table1[[#This Row],[OperationalCost]]</f>
        <v>#REF!</v>
      </c>
      <c r="M31" t="str">
        <f t="shared" si="0"/>
        <v>Jun</v>
      </c>
      <c r="N31" s="15">
        <f>Table11[[#This Row],[SeatsSold]]/Table11[[#This Row],[SeatsAvailable]]</f>
        <v>0.89655172413793105</v>
      </c>
      <c r="O31" s="10"/>
    </row>
    <row r="32" spans="1:16" x14ac:dyDescent="0.3">
      <c r="A32" t="s">
        <v>148</v>
      </c>
      <c r="B32" t="s">
        <v>41</v>
      </c>
      <c r="C32" t="s">
        <v>17</v>
      </c>
      <c r="D32" t="s">
        <v>3</v>
      </c>
      <c r="E32" s="16">
        <v>46241</v>
      </c>
      <c r="F32">
        <v>108</v>
      </c>
      <c r="G32" t="s">
        <v>116</v>
      </c>
      <c r="H32">
        <v>80</v>
      </c>
      <c r="I32">
        <v>79</v>
      </c>
      <c r="J32">
        <v>303597</v>
      </c>
      <c r="K32">
        <v>44356</v>
      </c>
      <c r="L32" t="e">
        <f>[1]!Table1[[#This Row],[Revenue]]-[1]!Table1[[#This Row],[OperationalCost]]</f>
        <v>#REF!</v>
      </c>
      <c r="M32" t="str">
        <f t="shared" si="0"/>
        <v>Aug</v>
      </c>
      <c r="N32" s="15">
        <f>Table11[[#This Row],[SeatsSold]]/Table11[[#This Row],[SeatsAvailable]]</f>
        <v>0.98750000000000004</v>
      </c>
      <c r="O32" s="10"/>
      <c r="P32">
        <f>DATE(1900,1,1)+E2-2</f>
        <v>45687</v>
      </c>
    </row>
    <row r="33" spans="1:16" x14ac:dyDescent="0.3">
      <c r="A33" t="s">
        <v>149</v>
      </c>
      <c r="B33" t="s">
        <v>110</v>
      </c>
      <c r="C33" t="s">
        <v>15</v>
      </c>
      <c r="D33" t="s">
        <v>11</v>
      </c>
      <c r="E33" s="16">
        <v>45981</v>
      </c>
      <c r="F33">
        <v>111</v>
      </c>
      <c r="G33" t="s">
        <v>113</v>
      </c>
      <c r="H33">
        <v>150</v>
      </c>
      <c r="I33">
        <v>70</v>
      </c>
      <c r="J33">
        <v>479570</v>
      </c>
      <c r="K33">
        <v>41481</v>
      </c>
      <c r="L33" t="e">
        <f>[1]!Table1[[#This Row],[Revenue]]-[1]!Table1[[#This Row],[OperationalCost]]</f>
        <v>#REF!</v>
      </c>
      <c r="M33" t="str">
        <f t="shared" si="0"/>
        <v>Nov</v>
      </c>
      <c r="N33" s="15">
        <f>Table11[[#This Row],[SeatsSold]]/Table11[[#This Row],[SeatsAvailable]]</f>
        <v>0.46666666666666667</v>
      </c>
      <c r="O33" s="10"/>
    </row>
    <row r="34" spans="1:16" x14ac:dyDescent="0.3">
      <c r="A34" t="s">
        <v>150</v>
      </c>
      <c r="B34" t="s">
        <v>101</v>
      </c>
      <c r="C34" t="s">
        <v>19</v>
      </c>
      <c r="D34" t="s">
        <v>11</v>
      </c>
      <c r="E34" s="16">
        <v>45981</v>
      </c>
      <c r="F34">
        <v>237</v>
      </c>
      <c r="G34" t="s">
        <v>122</v>
      </c>
      <c r="H34">
        <v>72</v>
      </c>
      <c r="I34">
        <v>69</v>
      </c>
      <c r="J34">
        <v>808956</v>
      </c>
      <c r="K34">
        <v>41421</v>
      </c>
      <c r="L34" t="e">
        <f>[1]!Table1[[#This Row],[Revenue]]-[1]!Table1[[#This Row],[OperationalCost]]</f>
        <v>#REF!</v>
      </c>
      <c r="M34" t="str">
        <f t="shared" si="0"/>
        <v>Nov</v>
      </c>
      <c r="N34" s="15">
        <f>Table11[[#This Row],[SeatsSold]]/Table11[[#This Row],[SeatsAvailable]]</f>
        <v>0.95833333333333337</v>
      </c>
      <c r="O34" s="10"/>
      <c r="P34" t="str">
        <f>TEXT(P32,"mmm yyyy")</f>
        <v>Jan 2025</v>
      </c>
    </row>
    <row r="35" spans="1:16" x14ac:dyDescent="0.3">
      <c r="A35" t="s">
        <v>151</v>
      </c>
      <c r="B35" t="s">
        <v>83</v>
      </c>
      <c r="C35" t="s">
        <v>11</v>
      </c>
      <c r="D35" t="s">
        <v>9</v>
      </c>
      <c r="E35" s="16">
        <v>46176</v>
      </c>
      <c r="F35">
        <v>112</v>
      </c>
      <c r="G35" t="s">
        <v>113</v>
      </c>
      <c r="H35">
        <v>159</v>
      </c>
      <c r="I35">
        <v>152</v>
      </c>
      <c r="J35">
        <v>551304</v>
      </c>
      <c r="K35">
        <v>48050</v>
      </c>
      <c r="L35" t="e">
        <f>[1]!Table1[[#This Row],[Revenue]]-[1]!Table1[[#This Row],[OperationalCost]]</f>
        <v>#REF!</v>
      </c>
      <c r="M35" t="str">
        <f t="shared" si="0"/>
        <v>Jun</v>
      </c>
      <c r="N35" s="15">
        <f>Table11[[#This Row],[SeatsSold]]/Table11[[#This Row],[SeatsAvailable]]</f>
        <v>0.95597484276729561</v>
      </c>
      <c r="O35" s="10"/>
    </row>
    <row r="36" spans="1:16" x14ac:dyDescent="0.3">
      <c r="A36" t="s">
        <v>152</v>
      </c>
      <c r="B36" t="s">
        <v>112</v>
      </c>
      <c r="C36" t="s">
        <v>19</v>
      </c>
      <c r="D36" t="s">
        <v>14</v>
      </c>
      <c r="E36" s="16">
        <v>46106</v>
      </c>
      <c r="F36">
        <v>184</v>
      </c>
      <c r="G36" t="s">
        <v>118</v>
      </c>
      <c r="H36">
        <v>205</v>
      </c>
      <c r="I36">
        <v>42</v>
      </c>
      <c r="J36">
        <v>486612</v>
      </c>
      <c r="K36">
        <v>87109</v>
      </c>
      <c r="L36" t="e">
        <f>[1]!Table1[[#This Row],[Revenue]]-[1]!Table1[[#This Row],[OperationalCost]]</f>
        <v>#REF!</v>
      </c>
      <c r="M36" t="str">
        <f t="shared" si="0"/>
        <v>Mar</v>
      </c>
      <c r="N36" s="15">
        <f>Table11[[#This Row],[SeatsSold]]/Table11[[#This Row],[SeatsAvailable]]</f>
        <v>0.20487804878048779</v>
      </c>
      <c r="O36" s="10"/>
    </row>
    <row r="37" spans="1:16" x14ac:dyDescent="0.3">
      <c r="A37" t="s">
        <v>153</v>
      </c>
      <c r="B37" t="s">
        <v>93</v>
      </c>
      <c r="C37" t="s">
        <v>3</v>
      </c>
      <c r="D37" t="s">
        <v>9</v>
      </c>
      <c r="E37" s="16">
        <v>45928</v>
      </c>
      <c r="F37">
        <v>74</v>
      </c>
      <c r="G37" t="s">
        <v>122</v>
      </c>
      <c r="H37">
        <v>211</v>
      </c>
      <c r="I37">
        <v>79</v>
      </c>
      <c r="J37">
        <v>549998</v>
      </c>
      <c r="K37">
        <v>63582</v>
      </c>
      <c r="L37" t="e">
        <f>[1]!Table1[[#This Row],[Revenue]]-[1]!Table1[[#This Row],[OperationalCost]]</f>
        <v>#REF!</v>
      </c>
      <c r="M37" t="str">
        <f t="shared" si="0"/>
        <v>Sep</v>
      </c>
      <c r="N37" s="15">
        <f>Table11[[#This Row],[SeatsSold]]/Table11[[#This Row],[SeatsAvailable]]</f>
        <v>0.37440758293838861</v>
      </c>
      <c r="O37" s="10"/>
      <c r="P37" t="str">
        <f>YEAR(E2)&amp;"-"&amp;MONTH(E2)</f>
        <v>2025-1</v>
      </c>
    </row>
    <row r="38" spans="1:16" x14ac:dyDescent="0.3">
      <c r="A38" t="s">
        <v>154</v>
      </c>
      <c r="B38" t="s">
        <v>43</v>
      </c>
      <c r="C38" t="s">
        <v>9</v>
      </c>
      <c r="D38" t="s">
        <v>17</v>
      </c>
      <c r="E38" s="16">
        <v>45866</v>
      </c>
      <c r="F38">
        <v>220</v>
      </c>
      <c r="G38" t="s">
        <v>118</v>
      </c>
      <c r="H38">
        <v>199</v>
      </c>
      <c r="I38">
        <v>165</v>
      </c>
      <c r="J38">
        <v>1091310</v>
      </c>
      <c r="K38">
        <v>49757</v>
      </c>
      <c r="L38" t="e">
        <f>[1]!Table1[[#This Row],[Revenue]]-[1]!Table1[[#This Row],[OperationalCost]]</f>
        <v>#REF!</v>
      </c>
      <c r="M38" t="str">
        <f t="shared" si="0"/>
        <v>Jul</v>
      </c>
      <c r="N38" s="15">
        <f>Table11[[#This Row],[SeatsSold]]/Table11[[#This Row],[SeatsAvailable]]</f>
        <v>0.82914572864321612</v>
      </c>
      <c r="O38" s="10"/>
    </row>
    <row r="39" spans="1:16" x14ac:dyDescent="0.3">
      <c r="A39" t="s">
        <v>155</v>
      </c>
      <c r="B39" t="s">
        <v>107</v>
      </c>
      <c r="C39" t="s">
        <v>17</v>
      </c>
      <c r="D39" t="s">
        <v>19</v>
      </c>
      <c r="E39" s="16">
        <v>45703</v>
      </c>
      <c r="F39">
        <v>45</v>
      </c>
      <c r="G39" t="s">
        <v>118</v>
      </c>
      <c r="H39">
        <v>103</v>
      </c>
      <c r="I39">
        <v>73</v>
      </c>
      <c r="J39">
        <v>375731</v>
      </c>
      <c r="K39">
        <v>33248</v>
      </c>
      <c r="L39" t="e">
        <f>[1]!Table1[[#This Row],[Revenue]]-[1]!Table1[[#This Row],[OperationalCost]]</f>
        <v>#REF!</v>
      </c>
      <c r="M39" t="str">
        <f t="shared" si="0"/>
        <v>Feb</v>
      </c>
      <c r="N39" s="15">
        <f>Table11[[#This Row],[SeatsSold]]/Table11[[#This Row],[SeatsAvailable]]</f>
        <v>0.70873786407766992</v>
      </c>
      <c r="O39" s="10"/>
    </row>
    <row r="40" spans="1:16" x14ac:dyDescent="0.3">
      <c r="A40" t="s">
        <v>156</v>
      </c>
      <c r="B40" t="s">
        <v>106</v>
      </c>
      <c r="C40" t="s">
        <v>17</v>
      </c>
      <c r="D40" t="s">
        <v>15</v>
      </c>
      <c r="E40" s="16">
        <v>45667</v>
      </c>
      <c r="F40">
        <v>73</v>
      </c>
      <c r="G40" t="s">
        <v>122</v>
      </c>
      <c r="H40">
        <v>108</v>
      </c>
      <c r="I40">
        <v>44</v>
      </c>
      <c r="J40">
        <v>376156</v>
      </c>
      <c r="K40">
        <v>43505</v>
      </c>
      <c r="L40" t="e">
        <f>[1]!Table1[[#This Row],[Revenue]]-[1]!Table1[[#This Row],[OperationalCost]]</f>
        <v>#REF!</v>
      </c>
      <c r="M40" t="str">
        <f t="shared" si="0"/>
        <v>Jan</v>
      </c>
      <c r="N40" s="15">
        <f>Table11[[#This Row],[SeatsSold]]/Table11[[#This Row],[SeatsAvailable]]</f>
        <v>0.40740740740740738</v>
      </c>
      <c r="O40" s="10"/>
    </row>
    <row r="41" spans="1:16" x14ac:dyDescent="0.3">
      <c r="A41" t="s">
        <v>157</v>
      </c>
      <c r="B41" t="s">
        <v>55</v>
      </c>
      <c r="C41" t="s">
        <v>14</v>
      </c>
      <c r="D41" t="s">
        <v>6</v>
      </c>
      <c r="E41" s="16">
        <v>45788</v>
      </c>
      <c r="F41">
        <v>55</v>
      </c>
      <c r="G41" t="s">
        <v>118</v>
      </c>
      <c r="H41">
        <v>163</v>
      </c>
      <c r="I41">
        <v>155</v>
      </c>
      <c r="J41">
        <v>488715</v>
      </c>
      <c r="K41">
        <v>33284</v>
      </c>
      <c r="L41" t="e">
        <f>[1]!Table1[[#This Row],[Revenue]]-[1]!Table1[[#This Row],[OperationalCost]]</f>
        <v>#REF!</v>
      </c>
      <c r="M41" t="str">
        <f t="shared" si="0"/>
        <v>May</v>
      </c>
      <c r="N41" s="15">
        <f>Table11[[#This Row],[SeatsSold]]/Table11[[#This Row],[SeatsAvailable]]</f>
        <v>0.95092024539877296</v>
      </c>
      <c r="O41" s="10"/>
    </row>
    <row r="42" spans="1:16" x14ac:dyDescent="0.3">
      <c r="A42" t="s">
        <v>158</v>
      </c>
      <c r="B42" t="s">
        <v>7</v>
      </c>
      <c r="C42" t="s">
        <v>9</v>
      </c>
      <c r="D42" t="s">
        <v>3</v>
      </c>
      <c r="E42" s="16">
        <v>46020</v>
      </c>
      <c r="F42">
        <v>188</v>
      </c>
      <c r="G42" t="s">
        <v>120</v>
      </c>
      <c r="H42">
        <v>109</v>
      </c>
      <c r="I42">
        <v>70</v>
      </c>
      <c r="J42">
        <v>361340</v>
      </c>
      <c r="K42">
        <v>51185</v>
      </c>
      <c r="L42" t="e">
        <f>[1]!Table1[[#This Row],[Revenue]]-[1]!Table1[[#This Row],[OperationalCost]]</f>
        <v>#REF!</v>
      </c>
      <c r="M42" t="str">
        <f t="shared" si="0"/>
        <v>Dec</v>
      </c>
      <c r="N42" s="15">
        <f>Table11[[#This Row],[SeatsSold]]/Table11[[#This Row],[SeatsAvailable]]</f>
        <v>0.64220183486238536</v>
      </c>
      <c r="O42" s="10"/>
    </row>
    <row r="43" spans="1:16" x14ac:dyDescent="0.3">
      <c r="A43" t="s">
        <v>159</v>
      </c>
      <c r="B43" t="s">
        <v>74</v>
      </c>
      <c r="C43" t="s">
        <v>20</v>
      </c>
      <c r="D43" t="s">
        <v>9</v>
      </c>
      <c r="E43" s="16">
        <v>45998</v>
      </c>
      <c r="F43">
        <v>150</v>
      </c>
      <c r="G43" t="s">
        <v>113</v>
      </c>
      <c r="H43">
        <v>138</v>
      </c>
      <c r="I43">
        <v>60</v>
      </c>
      <c r="J43">
        <v>256260</v>
      </c>
      <c r="K43">
        <v>44832</v>
      </c>
      <c r="L43" t="e">
        <f>[1]!Table1[[#This Row],[Revenue]]-[1]!Table1[[#This Row],[OperationalCost]]</f>
        <v>#REF!</v>
      </c>
      <c r="M43" t="str">
        <f t="shared" si="0"/>
        <v>Dec</v>
      </c>
      <c r="N43" s="15">
        <f>Table11[[#This Row],[SeatsSold]]/Table11[[#This Row],[SeatsAvailable]]</f>
        <v>0.43478260869565216</v>
      </c>
      <c r="O43" s="10"/>
    </row>
    <row r="44" spans="1:16" x14ac:dyDescent="0.3">
      <c r="A44" t="s">
        <v>160</v>
      </c>
      <c r="B44" t="s">
        <v>62</v>
      </c>
      <c r="C44" t="s">
        <v>6</v>
      </c>
      <c r="D44" t="s">
        <v>9</v>
      </c>
      <c r="E44" s="16">
        <v>45862</v>
      </c>
      <c r="F44">
        <v>162</v>
      </c>
      <c r="G44" t="s">
        <v>118</v>
      </c>
      <c r="H44">
        <v>148</v>
      </c>
      <c r="I44">
        <v>145</v>
      </c>
      <c r="J44">
        <v>903060</v>
      </c>
      <c r="K44">
        <v>41402</v>
      </c>
      <c r="L44" t="e">
        <f>[1]!Table1[[#This Row],[Revenue]]-[1]!Table1[[#This Row],[OperationalCost]]</f>
        <v>#REF!</v>
      </c>
      <c r="M44" t="str">
        <f t="shared" si="0"/>
        <v>Jul</v>
      </c>
      <c r="N44" s="15">
        <f>Table11[[#This Row],[SeatsSold]]/Table11[[#This Row],[SeatsAvailable]]</f>
        <v>0.97972972972972971</v>
      </c>
      <c r="O44" s="10"/>
    </row>
    <row r="45" spans="1:16" x14ac:dyDescent="0.3">
      <c r="A45" t="s">
        <v>161</v>
      </c>
      <c r="B45" t="s">
        <v>49</v>
      </c>
      <c r="C45" t="s">
        <v>9</v>
      </c>
      <c r="D45" t="s">
        <v>6</v>
      </c>
      <c r="E45" s="16">
        <v>45994</v>
      </c>
      <c r="F45">
        <v>116</v>
      </c>
      <c r="G45" t="s">
        <v>122</v>
      </c>
      <c r="H45">
        <v>141</v>
      </c>
      <c r="I45">
        <v>84</v>
      </c>
      <c r="J45">
        <v>911064</v>
      </c>
      <c r="K45">
        <v>56349</v>
      </c>
      <c r="L45" t="e">
        <f>[1]!Table1[[#This Row],[Revenue]]-[1]!Table1[[#This Row],[OperationalCost]]</f>
        <v>#REF!</v>
      </c>
      <c r="M45" t="str">
        <f t="shared" si="0"/>
        <v>Dec</v>
      </c>
      <c r="N45" s="15">
        <f>Table11[[#This Row],[SeatsSold]]/Table11[[#This Row],[SeatsAvailable]]</f>
        <v>0.5957446808510638</v>
      </c>
      <c r="O45" s="10"/>
    </row>
    <row r="46" spans="1:16" x14ac:dyDescent="0.3">
      <c r="A46" t="s">
        <v>162</v>
      </c>
      <c r="B46" t="s">
        <v>69</v>
      </c>
      <c r="C46" t="s">
        <v>21</v>
      </c>
      <c r="D46" t="s">
        <v>20</v>
      </c>
      <c r="E46" s="16">
        <v>45776</v>
      </c>
      <c r="F46">
        <v>111</v>
      </c>
      <c r="G46" t="s">
        <v>113</v>
      </c>
      <c r="H46">
        <v>218</v>
      </c>
      <c r="I46">
        <v>107</v>
      </c>
      <c r="J46">
        <v>334482</v>
      </c>
      <c r="K46">
        <v>66893</v>
      </c>
      <c r="L46" t="e">
        <f>[1]!Table1[[#This Row],[Revenue]]-[1]!Table1[[#This Row],[OperationalCost]]</f>
        <v>#REF!</v>
      </c>
      <c r="M46" t="str">
        <f t="shared" si="0"/>
        <v>Apr</v>
      </c>
      <c r="N46" s="15">
        <f>Table11[[#This Row],[SeatsSold]]/Table11[[#This Row],[SeatsAvailable]]</f>
        <v>0.49082568807339449</v>
      </c>
      <c r="O46" s="10"/>
    </row>
    <row r="47" spans="1:16" x14ac:dyDescent="0.3">
      <c r="A47" t="s">
        <v>163</v>
      </c>
      <c r="B47" t="s">
        <v>104</v>
      </c>
      <c r="C47" t="s">
        <v>17</v>
      </c>
      <c r="D47" t="s">
        <v>21</v>
      </c>
      <c r="E47" s="16">
        <v>45979</v>
      </c>
      <c r="F47">
        <v>156</v>
      </c>
      <c r="G47" t="s">
        <v>116</v>
      </c>
      <c r="H47">
        <v>200</v>
      </c>
      <c r="I47">
        <v>69</v>
      </c>
      <c r="J47">
        <v>607959</v>
      </c>
      <c r="K47">
        <v>67252</v>
      </c>
      <c r="L47" t="e">
        <f>[1]!Table1[[#This Row],[Revenue]]-[1]!Table1[[#This Row],[OperationalCost]]</f>
        <v>#REF!</v>
      </c>
      <c r="M47" t="str">
        <f t="shared" si="0"/>
        <v>Nov</v>
      </c>
      <c r="N47" s="15">
        <f>Table11[[#This Row],[SeatsSold]]/Table11[[#This Row],[SeatsAvailable]]</f>
        <v>0.34499999999999997</v>
      </c>
      <c r="O47" s="10"/>
    </row>
    <row r="48" spans="1:16" x14ac:dyDescent="0.3">
      <c r="A48" t="s">
        <v>164</v>
      </c>
      <c r="B48" t="s">
        <v>100</v>
      </c>
      <c r="C48" t="s">
        <v>19</v>
      </c>
      <c r="D48" t="s">
        <v>20</v>
      </c>
      <c r="E48" s="16">
        <v>46383</v>
      </c>
      <c r="F48">
        <v>156</v>
      </c>
      <c r="G48" t="s">
        <v>122</v>
      </c>
      <c r="H48">
        <v>203</v>
      </c>
      <c r="I48">
        <v>177</v>
      </c>
      <c r="J48">
        <v>1013856</v>
      </c>
      <c r="K48">
        <v>71798</v>
      </c>
      <c r="L48" t="e">
        <f>[1]!Table1[[#This Row],[Revenue]]-[1]!Table1[[#This Row],[OperationalCost]]</f>
        <v>#REF!</v>
      </c>
      <c r="M48" t="str">
        <f t="shared" si="0"/>
        <v>Dec</v>
      </c>
      <c r="N48" s="15">
        <f>Table11[[#This Row],[SeatsSold]]/Table11[[#This Row],[SeatsAvailable]]</f>
        <v>0.8719211822660099</v>
      </c>
      <c r="O48" s="10"/>
    </row>
    <row r="49" spans="1:15" x14ac:dyDescent="0.3">
      <c r="A49" t="s">
        <v>165</v>
      </c>
      <c r="B49" t="s">
        <v>56</v>
      </c>
      <c r="C49" t="s">
        <v>3</v>
      </c>
      <c r="D49" t="s">
        <v>17</v>
      </c>
      <c r="E49" s="16">
        <v>46296</v>
      </c>
      <c r="F49">
        <v>125</v>
      </c>
      <c r="G49" t="s">
        <v>122</v>
      </c>
      <c r="H49">
        <v>146</v>
      </c>
      <c r="I49">
        <v>104</v>
      </c>
      <c r="J49">
        <v>786968</v>
      </c>
      <c r="K49">
        <v>63114</v>
      </c>
      <c r="L49" t="e">
        <f>[1]!Table1[[#This Row],[Revenue]]-[1]!Table1[[#This Row],[OperationalCost]]</f>
        <v>#REF!</v>
      </c>
      <c r="M49" t="str">
        <f t="shared" si="0"/>
        <v>Oct</v>
      </c>
      <c r="N49" s="15">
        <f>Table11[[#This Row],[SeatsSold]]/Table11[[#This Row],[SeatsAvailable]]</f>
        <v>0.71232876712328763</v>
      </c>
      <c r="O49" s="10"/>
    </row>
    <row r="50" spans="1:15" x14ac:dyDescent="0.3">
      <c r="A50" t="s">
        <v>166</v>
      </c>
      <c r="B50" t="s">
        <v>61</v>
      </c>
      <c r="C50" t="s">
        <v>21</v>
      </c>
      <c r="D50" t="s">
        <v>6</v>
      </c>
      <c r="E50" s="16">
        <v>46371</v>
      </c>
      <c r="F50">
        <v>120</v>
      </c>
      <c r="G50" t="s">
        <v>116</v>
      </c>
      <c r="H50">
        <v>102</v>
      </c>
      <c r="I50">
        <v>52</v>
      </c>
      <c r="J50">
        <v>488176</v>
      </c>
      <c r="K50">
        <v>52854</v>
      </c>
      <c r="L50" t="e">
        <f>[1]!Table1[[#This Row],[Revenue]]-[1]!Table1[[#This Row],[OperationalCost]]</f>
        <v>#REF!</v>
      </c>
      <c r="M50" t="str">
        <f t="shared" si="0"/>
        <v>Dec</v>
      </c>
      <c r="N50" s="15">
        <f>Table11[[#This Row],[SeatsSold]]/Table11[[#This Row],[SeatsAvailable]]</f>
        <v>0.50980392156862742</v>
      </c>
      <c r="O50" s="10"/>
    </row>
    <row r="51" spans="1:15" x14ac:dyDescent="0.3">
      <c r="A51" t="s">
        <v>167</v>
      </c>
      <c r="B51" t="s">
        <v>44</v>
      </c>
      <c r="C51" t="s">
        <v>14</v>
      </c>
      <c r="D51" t="s">
        <v>21</v>
      </c>
      <c r="E51" s="16">
        <v>46073</v>
      </c>
      <c r="F51">
        <v>185</v>
      </c>
      <c r="G51" t="s">
        <v>122</v>
      </c>
      <c r="H51">
        <v>147</v>
      </c>
      <c r="I51">
        <v>76</v>
      </c>
      <c r="J51">
        <v>451668</v>
      </c>
      <c r="K51">
        <v>76066</v>
      </c>
      <c r="L51" t="e">
        <f>[1]!Table1[[#This Row],[Revenue]]-[1]!Table1[[#This Row],[OperationalCost]]</f>
        <v>#REF!</v>
      </c>
      <c r="M51" t="str">
        <f t="shared" si="0"/>
        <v>Feb</v>
      </c>
      <c r="N51" s="15">
        <f>Table11[[#This Row],[SeatsSold]]/Table11[[#This Row],[SeatsAvailable]]</f>
        <v>0.51700680272108845</v>
      </c>
      <c r="O51" s="10"/>
    </row>
    <row r="52" spans="1:15" x14ac:dyDescent="0.3">
      <c r="A52" t="s">
        <v>168</v>
      </c>
      <c r="B52" t="s">
        <v>45</v>
      </c>
      <c r="C52" t="s">
        <v>15</v>
      </c>
      <c r="D52" t="s">
        <v>21</v>
      </c>
      <c r="E52" s="16">
        <v>46134</v>
      </c>
      <c r="F52">
        <v>158</v>
      </c>
      <c r="G52" t="s">
        <v>120</v>
      </c>
      <c r="H52">
        <v>124</v>
      </c>
      <c r="I52">
        <v>105</v>
      </c>
      <c r="J52">
        <v>1076460</v>
      </c>
      <c r="K52">
        <v>56506</v>
      </c>
      <c r="L52" t="e">
        <f>[1]!Table1[[#This Row],[Revenue]]-[1]!Table1[[#This Row],[OperationalCost]]</f>
        <v>#REF!</v>
      </c>
      <c r="M52" t="str">
        <f t="shared" si="0"/>
        <v>Apr</v>
      </c>
      <c r="N52" s="15">
        <f>Table11[[#This Row],[SeatsSold]]/Table11[[#This Row],[SeatsAvailable]]</f>
        <v>0.84677419354838712</v>
      </c>
      <c r="O52" s="10"/>
    </row>
    <row r="53" spans="1:15" x14ac:dyDescent="0.3">
      <c r="A53" t="s">
        <v>169</v>
      </c>
      <c r="B53" t="s">
        <v>96</v>
      </c>
      <c r="C53" t="s">
        <v>3</v>
      </c>
      <c r="D53" t="s">
        <v>21</v>
      </c>
      <c r="E53" s="16">
        <v>46185</v>
      </c>
      <c r="F53">
        <v>214</v>
      </c>
      <c r="G53" t="s">
        <v>116</v>
      </c>
      <c r="H53">
        <v>155</v>
      </c>
      <c r="I53">
        <v>51</v>
      </c>
      <c r="J53">
        <v>323748</v>
      </c>
      <c r="K53">
        <v>87133</v>
      </c>
      <c r="L53" t="e">
        <f>[1]!Table1[[#This Row],[Revenue]]-[1]!Table1[[#This Row],[OperationalCost]]</f>
        <v>#REF!</v>
      </c>
      <c r="M53" t="str">
        <f t="shared" si="0"/>
        <v>Jun</v>
      </c>
      <c r="N53" s="15">
        <f>Table11[[#This Row],[SeatsSold]]/Table11[[#This Row],[SeatsAvailable]]</f>
        <v>0.32903225806451614</v>
      </c>
      <c r="O53" s="10"/>
    </row>
    <row r="54" spans="1:15" x14ac:dyDescent="0.3">
      <c r="A54" t="s">
        <v>170</v>
      </c>
      <c r="B54" t="s">
        <v>58</v>
      </c>
      <c r="C54" t="s">
        <v>9</v>
      </c>
      <c r="D54" t="s">
        <v>19</v>
      </c>
      <c r="E54" s="16">
        <v>45808</v>
      </c>
      <c r="F54">
        <v>51</v>
      </c>
      <c r="G54" t="s">
        <v>122</v>
      </c>
      <c r="H54">
        <v>132</v>
      </c>
      <c r="I54">
        <v>100</v>
      </c>
      <c r="J54">
        <v>369300</v>
      </c>
      <c r="K54">
        <v>36588</v>
      </c>
      <c r="L54" t="e">
        <f>[1]!Table1[[#This Row],[Revenue]]-[1]!Table1[[#This Row],[OperationalCost]]</f>
        <v>#REF!</v>
      </c>
      <c r="M54" t="str">
        <f t="shared" si="0"/>
        <v>May</v>
      </c>
      <c r="N54" s="15">
        <f>Table11[[#This Row],[SeatsSold]]/Table11[[#This Row],[SeatsAvailable]]</f>
        <v>0.75757575757575757</v>
      </c>
      <c r="O54" s="10"/>
    </row>
    <row r="55" spans="1:15" x14ac:dyDescent="0.3">
      <c r="A55" t="s">
        <v>171</v>
      </c>
      <c r="B55" t="s">
        <v>81</v>
      </c>
      <c r="C55" t="s">
        <v>15</v>
      </c>
      <c r="D55" t="s">
        <v>9</v>
      </c>
      <c r="E55" s="16">
        <v>46371</v>
      </c>
      <c r="F55">
        <v>143</v>
      </c>
      <c r="G55" t="s">
        <v>120</v>
      </c>
      <c r="H55">
        <v>172</v>
      </c>
      <c r="I55">
        <v>102</v>
      </c>
      <c r="J55">
        <v>501534</v>
      </c>
      <c r="K55">
        <v>54973</v>
      </c>
      <c r="L55" t="e">
        <f>[1]!Table1[[#This Row],[Revenue]]-[1]!Table1[[#This Row],[OperationalCost]]</f>
        <v>#REF!</v>
      </c>
      <c r="M55" t="str">
        <f t="shared" si="0"/>
        <v>Dec</v>
      </c>
      <c r="N55" s="15">
        <f>Table11[[#This Row],[SeatsSold]]/Table11[[#This Row],[SeatsAvailable]]</f>
        <v>0.59302325581395354</v>
      </c>
      <c r="O55" s="10"/>
    </row>
    <row r="56" spans="1:15" x14ac:dyDescent="0.3">
      <c r="A56" t="s">
        <v>172</v>
      </c>
      <c r="B56" t="s">
        <v>48</v>
      </c>
      <c r="C56" t="s">
        <v>3</v>
      </c>
      <c r="D56" t="s">
        <v>6</v>
      </c>
      <c r="E56" s="16">
        <v>45882</v>
      </c>
      <c r="F56">
        <v>90</v>
      </c>
      <c r="G56" t="s">
        <v>116</v>
      </c>
      <c r="H56">
        <v>188</v>
      </c>
      <c r="I56">
        <v>52</v>
      </c>
      <c r="J56">
        <v>604864</v>
      </c>
      <c r="K56">
        <v>37338</v>
      </c>
      <c r="L56" t="e">
        <f>[1]!Table1[[#This Row],[Revenue]]-[1]!Table1[[#This Row],[OperationalCost]]</f>
        <v>#REF!</v>
      </c>
      <c r="M56" t="str">
        <f t="shared" si="0"/>
        <v>Aug</v>
      </c>
      <c r="N56" s="15">
        <f>Table11[[#This Row],[SeatsSold]]/Table11[[#This Row],[SeatsAvailable]]</f>
        <v>0.27659574468085107</v>
      </c>
      <c r="O56" s="10"/>
    </row>
    <row r="57" spans="1:15" x14ac:dyDescent="0.3">
      <c r="A57" t="s">
        <v>173</v>
      </c>
      <c r="B57" t="s">
        <v>18</v>
      </c>
      <c r="C57" t="s">
        <v>6</v>
      </c>
      <c r="D57" t="s">
        <v>14</v>
      </c>
      <c r="E57" s="16">
        <v>46133</v>
      </c>
      <c r="F57">
        <v>215</v>
      </c>
      <c r="G57" t="s">
        <v>116</v>
      </c>
      <c r="H57">
        <v>213</v>
      </c>
      <c r="I57">
        <v>192</v>
      </c>
      <c r="J57">
        <v>1478016</v>
      </c>
      <c r="K57">
        <v>100363</v>
      </c>
      <c r="L57" t="e">
        <f>[1]!Table1[[#This Row],[Revenue]]-[1]!Table1[[#This Row],[OperationalCost]]</f>
        <v>#REF!</v>
      </c>
      <c r="M57" t="str">
        <f t="shared" si="0"/>
        <v>Apr</v>
      </c>
      <c r="N57" s="15">
        <f>Table11[[#This Row],[SeatsSold]]/Table11[[#This Row],[SeatsAvailable]]</f>
        <v>0.90140845070422537</v>
      </c>
      <c r="O57" s="10"/>
    </row>
    <row r="58" spans="1:15" x14ac:dyDescent="0.3">
      <c r="A58" t="s">
        <v>174</v>
      </c>
      <c r="B58" t="s">
        <v>70</v>
      </c>
      <c r="C58" t="s">
        <v>11</v>
      </c>
      <c r="D58" t="s">
        <v>17</v>
      </c>
      <c r="E58" s="16">
        <v>46219</v>
      </c>
      <c r="F58">
        <v>159</v>
      </c>
      <c r="G58" t="s">
        <v>113</v>
      </c>
      <c r="H58">
        <v>191</v>
      </c>
      <c r="I58">
        <v>155</v>
      </c>
      <c r="J58">
        <v>1045630</v>
      </c>
      <c r="K58">
        <v>75510</v>
      </c>
      <c r="L58" t="e">
        <f>[1]!Table1[[#This Row],[Revenue]]-[1]!Table1[[#This Row],[OperationalCost]]</f>
        <v>#REF!</v>
      </c>
      <c r="M58" t="str">
        <f t="shared" si="0"/>
        <v>Jul</v>
      </c>
      <c r="N58" s="15">
        <f>Table11[[#This Row],[SeatsSold]]/Table11[[#This Row],[SeatsAvailable]]</f>
        <v>0.81151832460732987</v>
      </c>
      <c r="O58" s="10"/>
    </row>
    <row r="59" spans="1:15" x14ac:dyDescent="0.3">
      <c r="A59" t="s">
        <v>175</v>
      </c>
      <c r="B59" t="s">
        <v>94</v>
      </c>
      <c r="C59" t="s">
        <v>19</v>
      </c>
      <c r="D59" t="s">
        <v>15</v>
      </c>
      <c r="E59" s="16">
        <v>46154</v>
      </c>
      <c r="F59">
        <v>205</v>
      </c>
      <c r="G59" t="s">
        <v>113</v>
      </c>
      <c r="H59">
        <v>140</v>
      </c>
      <c r="I59">
        <v>96</v>
      </c>
      <c r="J59">
        <v>361824</v>
      </c>
      <c r="K59">
        <v>59165</v>
      </c>
      <c r="L59" t="e">
        <f>[1]!Table1[[#This Row],[Revenue]]-[1]!Table1[[#This Row],[OperationalCost]]</f>
        <v>#REF!</v>
      </c>
      <c r="M59" t="str">
        <f t="shared" si="0"/>
        <v>May</v>
      </c>
      <c r="N59" s="15">
        <f>Table11[[#This Row],[SeatsSold]]/Table11[[#This Row],[SeatsAvailable]]</f>
        <v>0.68571428571428572</v>
      </c>
      <c r="O59" s="10"/>
    </row>
    <row r="60" spans="1:15" x14ac:dyDescent="0.3">
      <c r="A60" t="s">
        <v>176</v>
      </c>
      <c r="B60" t="s">
        <v>73</v>
      </c>
      <c r="C60" t="s">
        <v>19</v>
      </c>
      <c r="D60" t="s">
        <v>17</v>
      </c>
      <c r="E60" s="16">
        <v>45985</v>
      </c>
      <c r="F60">
        <v>183</v>
      </c>
      <c r="G60" t="s">
        <v>122</v>
      </c>
      <c r="H60">
        <v>105</v>
      </c>
      <c r="I60">
        <v>59</v>
      </c>
      <c r="J60">
        <v>370992</v>
      </c>
      <c r="K60">
        <v>52389</v>
      </c>
      <c r="L60" t="e">
        <f>[1]!Table1[[#This Row],[Revenue]]-[1]!Table1[[#This Row],[OperationalCost]]</f>
        <v>#REF!</v>
      </c>
      <c r="M60" t="str">
        <f t="shared" si="0"/>
        <v>Nov</v>
      </c>
      <c r="N60" s="15">
        <f>Table11[[#This Row],[SeatsSold]]/Table11[[#This Row],[SeatsAvailable]]</f>
        <v>0.56190476190476191</v>
      </c>
      <c r="O60" s="10"/>
    </row>
    <row r="61" spans="1:15" x14ac:dyDescent="0.3">
      <c r="A61" t="s">
        <v>177</v>
      </c>
      <c r="B61" t="s">
        <v>7</v>
      </c>
      <c r="C61" t="s">
        <v>9</v>
      </c>
      <c r="D61" t="s">
        <v>3</v>
      </c>
      <c r="E61" s="16">
        <v>46082</v>
      </c>
      <c r="F61">
        <v>149</v>
      </c>
      <c r="G61" t="s">
        <v>118</v>
      </c>
      <c r="H61">
        <v>208</v>
      </c>
      <c r="I61">
        <v>159</v>
      </c>
      <c r="J61">
        <v>1480608</v>
      </c>
      <c r="K61">
        <v>47571</v>
      </c>
      <c r="L61" t="e">
        <f>[1]!Table1[[#This Row],[Revenue]]-[1]!Table1[[#This Row],[OperationalCost]]</f>
        <v>#REF!</v>
      </c>
      <c r="M61" t="str">
        <f t="shared" si="0"/>
        <v>Mar</v>
      </c>
      <c r="N61" s="15">
        <f>Table11[[#This Row],[SeatsSold]]/Table11[[#This Row],[SeatsAvailable]]</f>
        <v>0.76442307692307687</v>
      </c>
      <c r="O61" s="10"/>
    </row>
    <row r="62" spans="1:15" x14ac:dyDescent="0.3">
      <c r="A62" t="s">
        <v>178</v>
      </c>
      <c r="B62" t="s">
        <v>77</v>
      </c>
      <c r="C62" t="s">
        <v>17</v>
      </c>
      <c r="D62" t="s">
        <v>6</v>
      </c>
      <c r="E62" s="16">
        <v>46256</v>
      </c>
      <c r="F62">
        <v>223</v>
      </c>
      <c r="G62" t="s">
        <v>122</v>
      </c>
      <c r="H62">
        <v>217</v>
      </c>
      <c r="I62">
        <v>137</v>
      </c>
      <c r="J62">
        <v>1413018</v>
      </c>
      <c r="K62">
        <v>63873</v>
      </c>
      <c r="L62" t="e">
        <f>[1]!Table1[[#This Row],[Revenue]]-[1]!Table1[[#This Row],[OperationalCost]]</f>
        <v>#REF!</v>
      </c>
      <c r="M62" t="str">
        <f t="shared" si="0"/>
        <v>Aug</v>
      </c>
      <c r="N62" s="15">
        <f>Table11[[#This Row],[SeatsSold]]/Table11[[#This Row],[SeatsAvailable]]</f>
        <v>0.63133640552995396</v>
      </c>
      <c r="O62" s="10"/>
    </row>
    <row r="63" spans="1:15" x14ac:dyDescent="0.3">
      <c r="A63" t="s">
        <v>179</v>
      </c>
      <c r="B63" t="s">
        <v>92</v>
      </c>
      <c r="C63" t="s">
        <v>19</v>
      </c>
      <c r="D63" t="s">
        <v>6</v>
      </c>
      <c r="E63" s="16">
        <v>46087</v>
      </c>
      <c r="F63">
        <v>182</v>
      </c>
      <c r="G63" t="s">
        <v>116</v>
      </c>
      <c r="H63">
        <v>126</v>
      </c>
      <c r="I63">
        <v>102</v>
      </c>
      <c r="J63">
        <v>621690</v>
      </c>
      <c r="K63">
        <v>58464</v>
      </c>
      <c r="L63" t="e">
        <f>[1]!Table1[[#This Row],[Revenue]]-[1]!Table1[[#This Row],[OperationalCost]]</f>
        <v>#REF!</v>
      </c>
      <c r="M63" t="str">
        <f t="shared" si="0"/>
        <v>Mar</v>
      </c>
      <c r="N63" s="15">
        <f>Table11[[#This Row],[SeatsSold]]/Table11[[#This Row],[SeatsAvailable]]</f>
        <v>0.80952380952380953</v>
      </c>
      <c r="O63" s="10"/>
    </row>
    <row r="64" spans="1:15" x14ac:dyDescent="0.3">
      <c r="A64" t="s">
        <v>180</v>
      </c>
      <c r="B64" t="s">
        <v>65</v>
      </c>
      <c r="C64" t="s">
        <v>6</v>
      </c>
      <c r="D64" t="s">
        <v>20</v>
      </c>
      <c r="E64" s="16">
        <v>46056</v>
      </c>
      <c r="F64">
        <v>131</v>
      </c>
      <c r="G64" t="s">
        <v>120</v>
      </c>
      <c r="H64">
        <v>112</v>
      </c>
      <c r="I64">
        <v>99</v>
      </c>
      <c r="J64">
        <v>454509</v>
      </c>
      <c r="K64">
        <v>60741</v>
      </c>
      <c r="L64" t="e">
        <f>[1]!Table1[[#This Row],[Revenue]]-[1]!Table1[[#This Row],[OperationalCost]]</f>
        <v>#REF!</v>
      </c>
      <c r="M64" t="str">
        <f t="shared" si="0"/>
        <v>Feb</v>
      </c>
      <c r="N64" s="15">
        <f>Table11[[#This Row],[SeatsSold]]/Table11[[#This Row],[SeatsAvailable]]</f>
        <v>0.8839285714285714</v>
      </c>
      <c r="O64" s="10"/>
    </row>
    <row r="65" spans="1:16" x14ac:dyDescent="0.3">
      <c r="A65" t="s">
        <v>181</v>
      </c>
      <c r="B65" t="s">
        <v>85</v>
      </c>
      <c r="C65" t="s">
        <v>20</v>
      </c>
      <c r="D65" t="s">
        <v>6</v>
      </c>
      <c r="E65" s="16">
        <v>46264</v>
      </c>
      <c r="F65">
        <v>189</v>
      </c>
      <c r="G65" t="s">
        <v>122</v>
      </c>
      <c r="H65">
        <v>91</v>
      </c>
      <c r="I65">
        <v>81</v>
      </c>
      <c r="J65">
        <v>771282</v>
      </c>
      <c r="K65">
        <v>47124</v>
      </c>
      <c r="L65" t="e">
        <f>[1]!Table1[[#This Row],[Revenue]]-[1]!Table1[[#This Row],[OperationalCost]]</f>
        <v>#REF!</v>
      </c>
      <c r="M65" t="str">
        <f t="shared" ref="M65:M128" si="1">TEXT(E65,"MMM")</f>
        <v>Aug</v>
      </c>
      <c r="N65" s="15">
        <f>Table11[[#This Row],[SeatsSold]]/Table11[[#This Row],[SeatsAvailable]]</f>
        <v>0.89010989010989006</v>
      </c>
      <c r="O65" s="10"/>
    </row>
    <row r="66" spans="1:16" x14ac:dyDescent="0.3">
      <c r="A66" t="s">
        <v>182</v>
      </c>
      <c r="B66" t="s">
        <v>39</v>
      </c>
      <c r="C66" t="s">
        <v>14</v>
      </c>
      <c r="D66" t="s">
        <v>20</v>
      </c>
      <c r="E66" s="16">
        <v>45924</v>
      </c>
      <c r="F66">
        <v>142</v>
      </c>
      <c r="G66" t="s">
        <v>118</v>
      </c>
      <c r="H66">
        <v>124</v>
      </c>
      <c r="I66">
        <v>98</v>
      </c>
      <c r="J66">
        <v>769790</v>
      </c>
      <c r="K66">
        <v>51200</v>
      </c>
      <c r="L66" t="e">
        <f>[1]!Table1[[#This Row],[Revenue]]-[1]!Table1[[#This Row],[OperationalCost]]</f>
        <v>#REF!</v>
      </c>
      <c r="M66" t="str">
        <f t="shared" si="1"/>
        <v>Sep</v>
      </c>
      <c r="N66" s="15">
        <f>Table11[[#This Row],[SeatsSold]]/Table11[[#This Row],[SeatsAvailable]]</f>
        <v>0.79032258064516125</v>
      </c>
      <c r="O66" s="10"/>
    </row>
    <row r="67" spans="1:16" x14ac:dyDescent="0.3">
      <c r="A67" t="s">
        <v>183</v>
      </c>
      <c r="B67" t="s">
        <v>92</v>
      </c>
      <c r="C67" t="s">
        <v>19</v>
      </c>
      <c r="D67" t="s">
        <v>6</v>
      </c>
      <c r="E67" s="16">
        <v>45916</v>
      </c>
      <c r="F67">
        <v>65</v>
      </c>
      <c r="G67" t="s">
        <v>120</v>
      </c>
      <c r="H67">
        <v>74</v>
      </c>
      <c r="I67">
        <v>74</v>
      </c>
      <c r="J67">
        <v>248122</v>
      </c>
      <c r="K67">
        <v>23723</v>
      </c>
      <c r="L67" t="e">
        <f>[1]!Table1[[#This Row],[Revenue]]-[1]!Table1[[#This Row],[OperationalCost]]</f>
        <v>#REF!</v>
      </c>
      <c r="M67" t="str">
        <f t="shared" si="1"/>
        <v>Sep</v>
      </c>
      <c r="N67" s="15">
        <f>Table11[[#This Row],[SeatsSold]]/Table11[[#This Row],[SeatsAvailable]]</f>
        <v>1</v>
      </c>
      <c r="O67" s="10"/>
    </row>
    <row r="68" spans="1:16" x14ac:dyDescent="0.3">
      <c r="A68" t="s">
        <v>184</v>
      </c>
      <c r="B68" t="s">
        <v>5</v>
      </c>
      <c r="C68" t="s">
        <v>3</v>
      </c>
      <c r="D68" t="s">
        <v>20</v>
      </c>
      <c r="E68" s="16">
        <v>45689</v>
      </c>
      <c r="F68">
        <v>108</v>
      </c>
      <c r="G68" t="s">
        <v>113</v>
      </c>
      <c r="H68">
        <v>75</v>
      </c>
      <c r="I68">
        <v>49</v>
      </c>
      <c r="J68">
        <v>313992</v>
      </c>
      <c r="K68">
        <v>31491</v>
      </c>
      <c r="L68" t="e">
        <f>[1]!Table1[[#This Row],[Revenue]]-[1]!Table1[[#This Row],[OperationalCost]]</f>
        <v>#REF!</v>
      </c>
      <c r="M68" t="str">
        <f t="shared" si="1"/>
        <v>Feb</v>
      </c>
      <c r="N68" s="15">
        <f>Table11[[#This Row],[SeatsSold]]/Table11[[#This Row],[SeatsAvailable]]</f>
        <v>0.65333333333333332</v>
      </c>
      <c r="O68" s="10"/>
    </row>
    <row r="69" spans="1:16" x14ac:dyDescent="0.3">
      <c r="A69" t="s">
        <v>185</v>
      </c>
      <c r="B69" t="s">
        <v>98</v>
      </c>
      <c r="C69" t="s">
        <v>3</v>
      </c>
      <c r="D69" t="s">
        <v>19</v>
      </c>
      <c r="E69" s="16">
        <v>46134</v>
      </c>
      <c r="F69">
        <v>224</v>
      </c>
      <c r="G69" t="s">
        <v>118</v>
      </c>
      <c r="H69">
        <v>164</v>
      </c>
      <c r="I69">
        <v>61</v>
      </c>
      <c r="J69">
        <v>266936</v>
      </c>
      <c r="K69">
        <v>62140</v>
      </c>
      <c r="L69" t="e">
        <f>[1]!Table1[[#This Row],[Revenue]]-[1]!Table1[[#This Row],[OperationalCost]]</f>
        <v>#REF!</v>
      </c>
      <c r="M69" t="str">
        <f t="shared" si="1"/>
        <v>Apr</v>
      </c>
      <c r="N69" s="15">
        <f>Table11[[#This Row],[SeatsSold]]/Table11[[#This Row],[SeatsAvailable]]</f>
        <v>0.37195121951219512</v>
      </c>
      <c r="O69" s="10"/>
    </row>
    <row r="70" spans="1:16" x14ac:dyDescent="0.3">
      <c r="A70" t="s">
        <v>186</v>
      </c>
      <c r="B70" t="s">
        <v>5</v>
      </c>
      <c r="C70" t="s">
        <v>3</v>
      </c>
      <c r="D70" t="s">
        <v>20</v>
      </c>
      <c r="E70" s="16">
        <v>45977</v>
      </c>
      <c r="F70">
        <v>192</v>
      </c>
      <c r="G70" t="s">
        <v>120</v>
      </c>
      <c r="H70">
        <v>171</v>
      </c>
      <c r="I70">
        <v>90</v>
      </c>
      <c r="J70">
        <v>337050</v>
      </c>
      <c r="K70">
        <v>93072</v>
      </c>
      <c r="L70" t="e">
        <f>[1]!Table1[[#This Row],[Revenue]]-[1]!Table1[[#This Row],[OperationalCost]]</f>
        <v>#REF!</v>
      </c>
      <c r="M70" t="str">
        <f t="shared" si="1"/>
        <v>Nov</v>
      </c>
      <c r="N70" s="15">
        <f>Table11[[#This Row],[SeatsSold]]/Table11[[#This Row],[SeatsAvailable]]</f>
        <v>0.52631578947368418</v>
      </c>
      <c r="O70" s="10"/>
    </row>
    <row r="71" spans="1:16" x14ac:dyDescent="0.3">
      <c r="A71" t="s">
        <v>187</v>
      </c>
      <c r="B71" t="s">
        <v>7</v>
      </c>
      <c r="C71" t="s">
        <v>9</v>
      </c>
      <c r="D71" t="s">
        <v>3</v>
      </c>
      <c r="E71" s="16">
        <v>46371</v>
      </c>
      <c r="F71">
        <v>122</v>
      </c>
      <c r="G71" t="s">
        <v>116</v>
      </c>
      <c r="H71">
        <v>100</v>
      </c>
      <c r="I71">
        <v>90</v>
      </c>
      <c r="J71">
        <v>1059480</v>
      </c>
      <c r="K71">
        <v>32660</v>
      </c>
      <c r="L71" t="e">
        <f>[1]!Table1[[#This Row],[Revenue]]-[1]!Table1[[#This Row],[OperationalCost]]</f>
        <v>#REF!</v>
      </c>
      <c r="M71" t="str">
        <f t="shared" si="1"/>
        <v>Dec</v>
      </c>
      <c r="N71" s="15">
        <f>Table11[[#This Row],[SeatsSold]]/Table11[[#This Row],[SeatsAvailable]]</f>
        <v>0.9</v>
      </c>
      <c r="O71" s="10"/>
    </row>
    <row r="72" spans="1:16" x14ac:dyDescent="0.3">
      <c r="A72" t="s">
        <v>188</v>
      </c>
      <c r="B72" t="s">
        <v>70</v>
      </c>
      <c r="C72" t="s">
        <v>11</v>
      </c>
      <c r="D72" t="s">
        <v>17</v>
      </c>
      <c r="E72" s="16">
        <v>46335</v>
      </c>
      <c r="F72">
        <v>139</v>
      </c>
      <c r="G72" t="s">
        <v>122</v>
      </c>
      <c r="H72">
        <v>199</v>
      </c>
      <c r="I72">
        <v>127</v>
      </c>
      <c r="J72">
        <v>343789</v>
      </c>
      <c r="K72">
        <v>72348</v>
      </c>
      <c r="L72" t="e">
        <f>[1]!Table1[[#This Row],[Revenue]]-[1]!Table1[[#This Row],[OperationalCost]]</f>
        <v>#REF!</v>
      </c>
      <c r="M72" t="str">
        <f t="shared" si="1"/>
        <v>Nov</v>
      </c>
      <c r="N72" s="15">
        <f>Table11[[#This Row],[SeatsSold]]/Table11[[#This Row],[SeatsAvailable]]</f>
        <v>0.63819095477386933</v>
      </c>
      <c r="O72" s="10"/>
      <c r="P72" t="e" vm="1">
        <f>_xleta.TIME</f>
        <v>#VALUE!</v>
      </c>
    </row>
    <row r="73" spans="1:16" x14ac:dyDescent="0.3">
      <c r="A73" t="s">
        <v>189</v>
      </c>
      <c r="B73" t="s">
        <v>48</v>
      </c>
      <c r="C73" t="s">
        <v>3</v>
      </c>
      <c r="D73" t="s">
        <v>6</v>
      </c>
      <c r="E73" s="16">
        <v>46028</v>
      </c>
      <c r="F73">
        <v>207</v>
      </c>
      <c r="G73" t="s">
        <v>120</v>
      </c>
      <c r="H73">
        <v>109</v>
      </c>
      <c r="I73">
        <v>95</v>
      </c>
      <c r="J73">
        <v>511575</v>
      </c>
      <c r="K73">
        <v>79185</v>
      </c>
      <c r="L73" t="e">
        <f>[1]!Table1[[#This Row],[Revenue]]-[1]!Table1[[#This Row],[OperationalCost]]</f>
        <v>#REF!</v>
      </c>
      <c r="M73" t="str">
        <f t="shared" si="1"/>
        <v>Jan</v>
      </c>
      <c r="N73" s="15">
        <f>Table11[[#This Row],[SeatsSold]]/Table11[[#This Row],[SeatsAvailable]]</f>
        <v>0.87155963302752293</v>
      </c>
      <c r="O73" s="10"/>
    </row>
    <row r="74" spans="1:16" x14ac:dyDescent="0.3">
      <c r="A74" t="s">
        <v>190</v>
      </c>
      <c r="B74" t="s">
        <v>94</v>
      </c>
      <c r="C74" t="s">
        <v>19</v>
      </c>
      <c r="D74" t="s">
        <v>15</v>
      </c>
      <c r="E74" s="16">
        <v>46153</v>
      </c>
      <c r="F74">
        <v>164</v>
      </c>
      <c r="G74" t="s">
        <v>120</v>
      </c>
      <c r="H74">
        <v>138</v>
      </c>
      <c r="I74">
        <v>81</v>
      </c>
      <c r="J74">
        <v>528282</v>
      </c>
      <c r="K74">
        <v>44126</v>
      </c>
      <c r="L74" t="e">
        <f>[1]!Table1[[#This Row],[Revenue]]-[1]!Table1[[#This Row],[OperationalCost]]</f>
        <v>#REF!</v>
      </c>
      <c r="M74" t="str">
        <f t="shared" si="1"/>
        <v>May</v>
      </c>
      <c r="N74" s="15">
        <f>Table11[[#This Row],[SeatsSold]]/Table11[[#This Row],[SeatsAvailable]]</f>
        <v>0.58695652173913049</v>
      </c>
      <c r="O74" s="10"/>
    </row>
    <row r="75" spans="1:16" x14ac:dyDescent="0.3">
      <c r="A75" t="s">
        <v>191</v>
      </c>
      <c r="B75" t="s">
        <v>62</v>
      </c>
      <c r="C75" t="s">
        <v>6</v>
      </c>
      <c r="D75" t="s">
        <v>9</v>
      </c>
      <c r="E75" s="16">
        <v>46133</v>
      </c>
      <c r="F75">
        <v>190</v>
      </c>
      <c r="G75" t="s">
        <v>116</v>
      </c>
      <c r="H75">
        <v>167</v>
      </c>
      <c r="I75">
        <v>126</v>
      </c>
      <c r="J75">
        <v>374220</v>
      </c>
      <c r="K75">
        <v>73961</v>
      </c>
      <c r="L75" t="e">
        <f>[1]!Table1[[#This Row],[Revenue]]-[1]!Table1[[#This Row],[OperationalCost]]</f>
        <v>#REF!</v>
      </c>
      <c r="M75" t="str">
        <f t="shared" si="1"/>
        <v>Apr</v>
      </c>
      <c r="N75" s="15">
        <f>Table11[[#This Row],[SeatsSold]]/Table11[[#This Row],[SeatsAvailable]]</f>
        <v>0.75449101796407181</v>
      </c>
      <c r="O75" s="10"/>
    </row>
    <row r="76" spans="1:16" x14ac:dyDescent="0.3">
      <c r="A76" t="s">
        <v>192</v>
      </c>
      <c r="B76" t="s">
        <v>50</v>
      </c>
      <c r="C76" t="s">
        <v>14</v>
      </c>
      <c r="D76" t="s">
        <v>11</v>
      </c>
      <c r="E76" s="16">
        <v>45875</v>
      </c>
      <c r="F76">
        <v>135</v>
      </c>
      <c r="G76" t="s">
        <v>118</v>
      </c>
      <c r="H76">
        <v>157</v>
      </c>
      <c r="I76">
        <v>75</v>
      </c>
      <c r="J76">
        <v>526950</v>
      </c>
      <c r="K76">
        <v>48244</v>
      </c>
      <c r="L76" t="e">
        <f>[1]!Table1[[#This Row],[Revenue]]-[1]!Table1[[#This Row],[OperationalCost]]</f>
        <v>#REF!</v>
      </c>
      <c r="M76" t="str">
        <f t="shared" si="1"/>
        <v>Aug</v>
      </c>
      <c r="N76" s="15">
        <f>Table11[[#This Row],[SeatsSold]]/Table11[[#This Row],[SeatsAvailable]]</f>
        <v>0.47770700636942676</v>
      </c>
      <c r="O76" s="10"/>
    </row>
    <row r="77" spans="1:16" x14ac:dyDescent="0.3">
      <c r="A77" t="s">
        <v>193</v>
      </c>
      <c r="B77" t="s">
        <v>83</v>
      </c>
      <c r="C77" t="s">
        <v>11</v>
      </c>
      <c r="D77" t="s">
        <v>9</v>
      </c>
      <c r="E77" s="16">
        <v>45745</v>
      </c>
      <c r="F77">
        <v>106</v>
      </c>
      <c r="G77" t="s">
        <v>120</v>
      </c>
      <c r="H77">
        <v>195</v>
      </c>
      <c r="I77">
        <v>182</v>
      </c>
      <c r="J77">
        <v>1171534</v>
      </c>
      <c r="K77">
        <v>70571</v>
      </c>
      <c r="L77" t="e">
        <f>[1]!Table1[[#This Row],[Revenue]]-[1]!Table1[[#This Row],[OperationalCost]]</f>
        <v>#REF!</v>
      </c>
      <c r="M77" t="str">
        <f t="shared" si="1"/>
        <v>Mar</v>
      </c>
      <c r="N77" s="15">
        <f>Table11[[#This Row],[SeatsSold]]/Table11[[#This Row],[SeatsAvailable]]</f>
        <v>0.93333333333333335</v>
      </c>
      <c r="O77" s="10"/>
    </row>
    <row r="78" spans="1:16" x14ac:dyDescent="0.3">
      <c r="A78" t="s">
        <v>194</v>
      </c>
      <c r="B78" t="s">
        <v>36</v>
      </c>
      <c r="C78" t="s">
        <v>6</v>
      </c>
      <c r="D78" t="s">
        <v>11</v>
      </c>
      <c r="E78" s="16">
        <v>45675</v>
      </c>
      <c r="F78">
        <v>68</v>
      </c>
      <c r="G78" t="s">
        <v>118</v>
      </c>
      <c r="H78">
        <v>126</v>
      </c>
      <c r="I78">
        <v>91</v>
      </c>
      <c r="J78">
        <v>590226</v>
      </c>
      <c r="K78">
        <v>44838</v>
      </c>
      <c r="L78" t="e">
        <f>[1]!Table1[[#This Row],[Revenue]]-[1]!Table1[[#This Row],[OperationalCost]]</f>
        <v>#REF!</v>
      </c>
      <c r="M78" t="str">
        <f t="shared" si="1"/>
        <v>Jan</v>
      </c>
      <c r="N78" s="15">
        <f>Table11[[#This Row],[SeatsSold]]/Table11[[#This Row],[SeatsAvailable]]</f>
        <v>0.72222222222222221</v>
      </c>
      <c r="O78" s="10"/>
    </row>
    <row r="79" spans="1:16" x14ac:dyDescent="0.3">
      <c r="A79" t="s">
        <v>195</v>
      </c>
      <c r="B79" t="s">
        <v>45</v>
      </c>
      <c r="C79" t="s">
        <v>15</v>
      </c>
      <c r="D79" t="s">
        <v>21</v>
      </c>
      <c r="E79" s="16">
        <v>46142</v>
      </c>
      <c r="F79">
        <v>186</v>
      </c>
      <c r="G79" t="s">
        <v>116</v>
      </c>
      <c r="H79">
        <v>158</v>
      </c>
      <c r="I79">
        <v>94</v>
      </c>
      <c r="J79">
        <v>1082598</v>
      </c>
      <c r="K79">
        <v>64804</v>
      </c>
      <c r="L79" t="e">
        <f>[1]!Table1[[#This Row],[Revenue]]-[1]!Table1[[#This Row],[OperationalCost]]</f>
        <v>#REF!</v>
      </c>
      <c r="M79" t="str">
        <f t="shared" si="1"/>
        <v>Apr</v>
      </c>
      <c r="N79" s="15">
        <f>Table11[[#This Row],[SeatsSold]]/Table11[[#This Row],[SeatsAvailable]]</f>
        <v>0.59493670886075944</v>
      </c>
      <c r="O79" s="10"/>
      <c r="P79" t="e" vm="1">
        <f>_xleta.TIME</f>
        <v>#VALUE!</v>
      </c>
    </row>
    <row r="80" spans="1:16" x14ac:dyDescent="0.3">
      <c r="A80" t="s">
        <v>196</v>
      </c>
      <c r="B80" t="s">
        <v>102</v>
      </c>
      <c r="C80" t="s">
        <v>6</v>
      </c>
      <c r="D80" t="s">
        <v>19</v>
      </c>
      <c r="E80" s="16">
        <v>45971</v>
      </c>
      <c r="F80">
        <v>109</v>
      </c>
      <c r="G80" t="s">
        <v>113</v>
      </c>
      <c r="H80">
        <v>100</v>
      </c>
      <c r="I80">
        <v>86</v>
      </c>
      <c r="J80">
        <v>486330</v>
      </c>
      <c r="K80">
        <v>32800</v>
      </c>
      <c r="L80" t="e">
        <f>[1]!Table1[[#This Row],[Revenue]]-[1]!Table1[[#This Row],[OperationalCost]]</f>
        <v>#REF!</v>
      </c>
      <c r="M80" t="str">
        <f t="shared" si="1"/>
        <v>Nov</v>
      </c>
      <c r="N80" s="15">
        <f>Table11[[#This Row],[SeatsSold]]/Table11[[#This Row],[SeatsAvailable]]</f>
        <v>0.86</v>
      </c>
      <c r="O80" s="10"/>
    </row>
    <row r="81" spans="1:16" x14ac:dyDescent="0.3">
      <c r="A81" t="s">
        <v>197</v>
      </c>
      <c r="B81" t="s">
        <v>57</v>
      </c>
      <c r="C81" t="s">
        <v>11</v>
      </c>
      <c r="D81" t="s">
        <v>14</v>
      </c>
      <c r="E81" s="16">
        <v>45854</v>
      </c>
      <c r="F81">
        <v>100</v>
      </c>
      <c r="G81" t="s">
        <v>120</v>
      </c>
      <c r="H81">
        <v>140</v>
      </c>
      <c r="I81">
        <v>132</v>
      </c>
      <c r="J81">
        <v>1464540</v>
      </c>
      <c r="K81">
        <v>48480</v>
      </c>
      <c r="L81" t="e">
        <f>[1]!Table1[[#This Row],[Revenue]]-[1]!Table1[[#This Row],[OperationalCost]]</f>
        <v>#REF!</v>
      </c>
      <c r="M81" t="str">
        <f t="shared" si="1"/>
        <v>Jul</v>
      </c>
      <c r="N81" s="15">
        <f>Table11[[#This Row],[SeatsSold]]/Table11[[#This Row],[SeatsAvailable]]</f>
        <v>0.94285714285714284</v>
      </c>
      <c r="O81" s="10"/>
    </row>
    <row r="82" spans="1:16" x14ac:dyDescent="0.3">
      <c r="A82" t="s">
        <v>198</v>
      </c>
      <c r="B82" t="s">
        <v>98</v>
      </c>
      <c r="C82" t="s">
        <v>3</v>
      </c>
      <c r="D82" t="s">
        <v>19</v>
      </c>
      <c r="E82" s="16">
        <v>45961</v>
      </c>
      <c r="F82">
        <v>103</v>
      </c>
      <c r="G82" t="s">
        <v>118</v>
      </c>
      <c r="H82">
        <v>115</v>
      </c>
      <c r="I82">
        <v>78</v>
      </c>
      <c r="J82">
        <v>213018</v>
      </c>
      <c r="K82">
        <v>39248</v>
      </c>
      <c r="L82" t="e">
        <f>[1]!Table1[[#This Row],[Revenue]]-[1]!Table1[[#This Row],[OperationalCost]]</f>
        <v>#REF!</v>
      </c>
      <c r="M82" t="str">
        <f t="shared" si="1"/>
        <v>Oct</v>
      </c>
      <c r="N82" s="15">
        <f>Table11[[#This Row],[SeatsSold]]/Table11[[#This Row],[SeatsAvailable]]</f>
        <v>0.67826086956521736</v>
      </c>
      <c r="O82" s="10"/>
    </row>
    <row r="83" spans="1:16" x14ac:dyDescent="0.3">
      <c r="A83" t="s">
        <v>199</v>
      </c>
      <c r="B83" t="s">
        <v>100</v>
      </c>
      <c r="C83" t="s">
        <v>19</v>
      </c>
      <c r="D83" t="s">
        <v>20</v>
      </c>
      <c r="E83" s="16">
        <v>45713</v>
      </c>
      <c r="F83">
        <v>186</v>
      </c>
      <c r="G83" t="s">
        <v>118</v>
      </c>
      <c r="H83">
        <v>102</v>
      </c>
      <c r="I83">
        <v>80</v>
      </c>
      <c r="J83">
        <v>843360</v>
      </c>
      <c r="K83">
        <v>35622</v>
      </c>
      <c r="L83" t="e">
        <f>[1]!Table1[[#This Row],[Revenue]]-[1]!Table1[[#This Row],[OperationalCost]]</f>
        <v>#REF!</v>
      </c>
      <c r="M83" t="str">
        <f t="shared" si="1"/>
        <v>Feb</v>
      </c>
      <c r="N83" s="15">
        <f>Table11[[#This Row],[SeatsSold]]/Table11[[#This Row],[SeatsAvailable]]</f>
        <v>0.78431372549019607</v>
      </c>
      <c r="O83" s="10"/>
    </row>
    <row r="84" spans="1:16" x14ac:dyDescent="0.3">
      <c r="A84" t="s">
        <v>200</v>
      </c>
      <c r="B84" t="s">
        <v>91</v>
      </c>
      <c r="C84" t="s">
        <v>15</v>
      </c>
      <c r="D84" t="s">
        <v>19</v>
      </c>
      <c r="E84" s="16">
        <v>46138</v>
      </c>
      <c r="F84">
        <v>167</v>
      </c>
      <c r="G84" t="s">
        <v>120</v>
      </c>
      <c r="H84">
        <v>157</v>
      </c>
      <c r="I84">
        <v>63</v>
      </c>
      <c r="J84">
        <v>210483</v>
      </c>
      <c r="K84">
        <v>62442</v>
      </c>
      <c r="L84" t="e">
        <f>[1]!Table1[[#This Row],[Revenue]]-[1]!Table1[[#This Row],[OperationalCost]]</f>
        <v>#REF!</v>
      </c>
      <c r="M84" t="str">
        <f t="shared" si="1"/>
        <v>Apr</v>
      </c>
      <c r="N84" s="15">
        <f>Table11[[#This Row],[SeatsSold]]/Table11[[#This Row],[SeatsAvailable]]</f>
        <v>0.40127388535031849</v>
      </c>
      <c r="O84" s="10"/>
    </row>
    <row r="85" spans="1:16" x14ac:dyDescent="0.3">
      <c r="A85" t="s">
        <v>201</v>
      </c>
      <c r="B85" t="s">
        <v>95</v>
      </c>
      <c r="C85" t="s">
        <v>3</v>
      </c>
      <c r="D85" t="s">
        <v>14</v>
      </c>
      <c r="E85" s="16">
        <v>46068</v>
      </c>
      <c r="F85">
        <v>170</v>
      </c>
      <c r="G85" t="s">
        <v>122</v>
      </c>
      <c r="H85">
        <v>217</v>
      </c>
      <c r="I85">
        <v>201</v>
      </c>
      <c r="J85">
        <v>678978</v>
      </c>
      <c r="K85">
        <v>52466</v>
      </c>
      <c r="L85" t="e">
        <f>[1]!Table1[[#This Row],[Revenue]]-[1]!Table1[[#This Row],[OperationalCost]]</f>
        <v>#REF!</v>
      </c>
      <c r="M85" t="str">
        <f t="shared" si="1"/>
        <v>Feb</v>
      </c>
      <c r="N85" s="15">
        <f>Table11[[#This Row],[SeatsSold]]/Table11[[#This Row],[SeatsAvailable]]</f>
        <v>0.92626728110599077</v>
      </c>
      <c r="O85" s="10"/>
    </row>
    <row r="86" spans="1:16" x14ac:dyDescent="0.3">
      <c r="A86" t="s">
        <v>202</v>
      </c>
      <c r="B86" t="s">
        <v>91</v>
      </c>
      <c r="C86" t="s">
        <v>15</v>
      </c>
      <c r="D86" t="s">
        <v>19</v>
      </c>
      <c r="E86" s="16">
        <v>45745</v>
      </c>
      <c r="F86">
        <v>108</v>
      </c>
      <c r="G86" t="s">
        <v>122</v>
      </c>
      <c r="H86">
        <v>212</v>
      </c>
      <c r="I86">
        <v>146</v>
      </c>
      <c r="J86">
        <v>904762</v>
      </c>
      <c r="K86">
        <v>64848</v>
      </c>
      <c r="L86" t="e">
        <f>[1]!Table1[[#This Row],[Revenue]]-[1]!Table1[[#This Row],[OperationalCost]]</f>
        <v>#REF!</v>
      </c>
      <c r="M86" t="str">
        <f t="shared" si="1"/>
        <v>Mar</v>
      </c>
      <c r="N86" s="15">
        <f>Table11[[#This Row],[SeatsSold]]/Table11[[#This Row],[SeatsAvailable]]</f>
        <v>0.68867924528301883</v>
      </c>
      <c r="O86" s="10"/>
    </row>
    <row r="87" spans="1:16" x14ac:dyDescent="0.3">
      <c r="A87" t="s">
        <v>203</v>
      </c>
      <c r="B87" t="s">
        <v>36</v>
      </c>
      <c r="C87" t="s">
        <v>6</v>
      </c>
      <c r="D87" t="s">
        <v>11</v>
      </c>
      <c r="E87" s="16">
        <v>45962</v>
      </c>
      <c r="F87">
        <v>195</v>
      </c>
      <c r="G87" t="s">
        <v>120</v>
      </c>
      <c r="H87">
        <v>148</v>
      </c>
      <c r="I87">
        <v>112</v>
      </c>
      <c r="J87">
        <v>390432</v>
      </c>
      <c r="K87">
        <v>69360</v>
      </c>
      <c r="L87" t="e">
        <f>[1]!Table1[[#This Row],[Revenue]]-[1]!Table1[[#This Row],[OperationalCost]]</f>
        <v>#REF!</v>
      </c>
      <c r="M87" t="str">
        <f t="shared" si="1"/>
        <v>Nov</v>
      </c>
      <c r="N87" s="15">
        <f>Table11[[#This Row],[SeatsSold]]/Table11[[#This Row],[SeatsAvailable]]</f>
        <v>0.7567567567567568</v>
      </c>
      <c r="O87" s="10"/>
    </row>
    <row r="88" spans="1:16" x14ac:dyDescent="0.3">
      <c r="A88" t="s">
        <v>204</v>
      </c>
      <c r="B88" t="s">
        <v>58</v>
      </c>
      <c r="C88" t="s">
        <v>9</v>
      </c>
      <c r="D88" t="s">
        <v>19</v>
      </c>
      <c r="E88" s="16">
        <v>45928</v>
      </c>
      <c r="F88">
        <v>214</v>
      </c>
      <c r="G88" t="s">
        <v>122</v>
      </c>
      <c r="H88">
        <v>110</v>
      </c>
      <c r="I88">
        <v>70</v>
      </c>
      <c r="J88">
        <v>374290</v>
      </c>
      <c r="K88">
        <v>66744</v>
      </c>
      <c r="L88" t="e">
        <f>[1]!Table1[[#This Row],[Revenue]]-[1]!Table1[[#This Row],[OperationalCost]]</f>
        <v>#REF!</v>
      </c>
      <c r="M88" t="str">
        <f t="shared" si="1"/>
        <v>Sep</v>
      </c>
      <c r="N88" s="15">
        <f>Table11[[#This Row],[SeatsSold]]/Table11[[#This Row],[SeatsAvailable]]</f>
        <v>0.63636363636363635</v>
      </c>
      <c r="O88" s="10"/>
      <c r="P88" s="17">
        <f ca="1">NOW()</f>
        <v>46198.411392824077</v>
      </c>
    </row>
    <row r="89" spans="1:16" x14ac:dyDescent="0.3">
      <c r="A89" t="s">
        <v>205</v>
      </c>
      <c r="B89" t="s">
        <v>39</v>
      </c>
      <c r="C89" t="s">
        <v>14</v>
      </c>
      <c r="D89" t="s">
        <v>20</v>
      </c>
      <c r="E89" s="16">
        <v>46076</v>
      </c>
      <c r="F89">
        <v>160</v>
      </c>
      <c r="G89" t="s">
        <v>116</v>
      </c>
      <c r="H89">
        <v>190</v>
      </c>
      <c r="I89">
        <v>114</v>
      </c>
      <c r="J89">
        <v>345876</v>
      </c>
      <c r="K89">
        <v>57710</v>
      </c>
      <c r="L89" t="e">
        <f>[1]!Table1[[#This Row],[Revenue]]-[1]!Table1[[#This Row],[OperationalCost]]</f>
        <v>#REF!</v>
      </c>
      <c r="M89" t="str">
        <f t="shared" si="1"/>
        <v>Feb</v>
      </c>
      <c r="N89" s="15">
        <f>Table11[[#This Row],[SeatsSold]]/Table11[[#This Row],[SeatsAvailable]]</f>
        <v>0.6</v>
      </c>
      <c r="O89" s="10"/>
    </row>
    <row r="90" spans="1:16" x14ac:dyDescent="0.3">
      <c r="A90" t="s">
        <v>206</v>
      </c>
      <c r="B90" t="s">
        <v>101</v>
      </c>
      <c r="C90" t="s">
        <v>19</v>
      </c>
      <c r="D90" t="s">
        <v>11</v>
      </c>
      <c r="E90" s="16">
        <v>45730</v>
      </c>
      <c r="F90">
        <v>220</v>
      </c>
      <c r="G90" t="s">
        <v>113</v>
      </c>
      <c r="H90">
        <v>137</v>
      </c>
      <c r="I90">
        <v>120</v>
      </c>
      <c r="J90">
        <v>688920</v>
      </c>
      <c r="K90">
        <v>65093</v>
      </c>
      <c r="L90" t="e">
        <f>[1]!Table1[[#This Row],[Revenue]]-[1]!Table1[[#This Row],[OperationalCost]]</f>
        <v>#REF!</v>
      </c>
      <c r="M90" t="str">
        <f t="shared" si="1"/>
        <v>Mar</v>
      </c>
      <c r="N90" s="15">
        <f>Table11[[#This Row],[SeatsSold]]/Table11[[#This Row],[SeatsAvailable]]</f>
        <v>0.87591240875912413</v>
      </c>
      <c r="O90" s="10"/>
    </row>
    <row r="91" spans="1:16" x14ac:dyDescent="0.3">
      <c r="A91" t="s">
        <v>207</v>
      </c>
      <c r="B91" t="s">
        <v>83</v>
      </c>
      <c r="C91" t="s">
        <v>11</v>
      </c>
      <c r="D91" t="s">
        <v>9</v>
      </c>
      <c r="E91" s="16">
        <v>46321</v>
      </c>
      <c r="F91">
        <v>83</v>
      </c>
      <c r="G91" t="s">
        <v>118</v>
      </c>
      <c r="H91">
        <v>106</v>
      </c>
      <c r="I91">
        <v>49</v>
      </c>
      <c r="J91">
        <v>170373</v>
      </c>
      <c r="K91">
        <v>30194</v>
      </c>
      <c r="L91" t="e">
        <f>[1]!Table1[[#This Row],[Revenue]]-[1]!Table1[[#This Row],[OperationalCost]]</f>
        <v>#REF!</v>
      </c>
      <c r="M91" t="str">
        <f t="shared" si="1"/>
        <v>Oct</v>
      </c>
      <c r="N91" s="15">
        <f>Table11[[#This Row],[SeatsSold]]/Table11[[#This Row],[SeatsAvailable]]</f>
        <v>0.46226415094339623</v>
      </c>
      <c r="O91" s="10"/>
    </row>
    <row r="92" spans="1:16" x14ac:dyDescent="0.3">
      <c r="A92" t="s">
        <v>208</v>
      </c>
      <c r="B92" t="s">
        <v>91</v>
      </c>
      <c r="C92" t="s">
        <v>15</v>
      </c>
      <c r="D92" t="s">
        <v>19</v>
      </c>
      <c r="E92" s="16">
        <v>46107</v>
      </c>
      <c r="F92">
        <v>76</v>
      </c>
      <c r="G92" t="s">
        <v>120</v>
      </c>
      <c r="H92">
        <v>147</v>
      </c>
      <c r="I92">
        <v>129</v>
      </c>
      <c r="J92">
        <v>1173126</v>
      </c>
      <c r="K92">
        <v>44940</v>
      </c>
      <c r="L92" t="e">
        <f>[1]!Table1[[#This Row],[Revenue]]-[1]!Table1[[#This Row],[OperationalCost]]</f>
        <v>#REF!</v>
      </c>
      <c r="M92" t="str">
        <f t="shared" si="1"/>
        <v>Mar</v>
      </c>
      <c r="N92" s="15">
        <f>Table11[[#This Row],[SeatsSold]]/Table11[[#This Row],[SeatsAvailable]]</f>
        <v>0.87755102040816324</v>
      </c>
      <c r="O92" s="10"/>
      <c r="P92" t="str">
        <f>TEXT(E78,"")</f>
        <v/>
      </c>
    </row>
    <row r="93" spans="1:16" x14ac:dyDescent="0.3">
      <c r="A93" t="s">
        <v>209</v>
      </c>
      <c r="B93" t="s">
        <v>68</v>
      </c>
      <c r="C93" t="s">
        <v>11</v>
      </c>
      <c r="D93" t="s">
        <v>6</v>
      </c>
      <c r="E93" s="16">
        <v>46106</v>
      </c>
      <c r="F93">
        <v>65</v>
      </c>
      <c r="G93" t="s">
        <v>116</v>
      </c>
      <c r="H93">
        <v>80</v>
      </c>
      <c r="I93">
        <v>67</v>
      </c>
      <c r="J93">
        <v>521260</v>
      </c>
      <c r="K93">
        <v>29330</v>
      </c>
      <c r="L93" t="e">
        <f>[1]!Table1[[#This Row],[Revenue]]-[1]!Table1[[#This Row],[OperationalCost]]</f>
        <v>#REF!</v>
      </c>
      <c r="M93" t="str">
        <f t="shared" si="1"/>
        <v>Mar</v>
      </c>
      <c r="N93" s="15">
        <f>Table11[[#This Row],[SeatsSold]]/Table11[[#This Row],[SeatsAvailable]]</f>
        <v>0.83750000000000002</v>
      </c>
      <c r="O93" s="10"/>
    </row>
    <row r="94" spans="1:16" x14ac:dyDescent="0.3">
      <c r="A94" t="s">
        <v>210</v>
      </c>
      <c r="B94" t="s">
        <v>71</v>
      </c>
      <c r="C94" t="s">
        <v>20</v>
      </c>
      <c r="D94" t="s">
        <v>14</v>
      </c>
      <c r="E94" s="16">
        <v>45892</v>
      </c>
      <c r="F94">
        <v>217</v>
      </c>
      <c r="G94" t="s">
        <v>116</v>
      </c>
      <c r="H94">
        <v>220</v>
      </c>
      <c r="I94">
        <v>45</v>
      </c>
      <c r="J94">
        <v>311175</v>
      </c>
      <c r="K94">
        <v>77739</v>
      </c>
      <c r="L94" t="e">
        <f>[1]!Table1[[#This Row],[Revenue]]-[1]!Table1[[#This Row],[OperationalCost]]</f>
        <v>#REF!</v>
      </c>
      <c r="M94" t="str">
        <f t="shared" si="1"/>
        <v>Aug</v>
      </c>
      <c r="N94" s="15">
        <f>Table11[[#This Row],[SeatsSold]]/Table11[[#This Row],[SeatsAvailable]]</f>
        <v>0.20454545454545456</v>
      </c>
      <c r="O94" s="10"/>
    </row>
    <row r="95" spans="1:16" x14ac:dyDescent="0.3">
      <c r="A95" t="s">
        <v>211</v>
      </c>
      <c r="B95" t="s">
        <v>50</v>
      </c>
      <c r="C95" t="s">
        <v>14</v>
      </c>
      <c r="D95" t="s">
        <v>11</v>
      </c>
      <c r="E95" s="16">
        <v>46189</v>
      </c>
      <c r="F95">
        <v>211</v>
      </c>
      <c r="G95" t="s">
        <v>120</v>
      </c>
      <c r="H95">
        <v>141</v>
      </c>
      <c r="I95">
        <v>63</v>
      </c>
      <c r="J95">
        <v>607383</v>
      </c>
      <c r="K95">
        <v>88407</v>
      </c>
      <c r="L95" t="e">
        <f>[1]!Table1[[#This Row],[Revenue]]-[1]!Table1[[#This Row],[OperationalCost]]</f>
        <v>#REF!</v>
      </c>
      <c r="M95" t="str">
        <f t="shared" si="1"/>
        <v>Jun</v>
      </c>
      <c r="N95" s="15">
        <f>Table11[[#This Row],[SeatsSold]]/Table11[[#This Row],[SeatsAvailable]]</f>
        <v>0.44680851063829785</v>
      </c>
      <c r="O95" s="10"/>
    </row>
    <row r="96" spans="1:16" x14ac:dyDescent="0.3">
      <c r="A96" t="s">
        <v>212</v>
      </c>
      <c r="B96" t="s">
        <v>8</v>
      </c>
      <c r="C96" t="s">
        <v>3</v>
      </c>
      <c r="D96" t="s">
        <v>11</v>
      </c>
      <c r="E96" s="16">
        <v>46014</v>
      </c>
      <c r="F96">
        <v>149</v>
      </c>
      <c r="G96" t="s">
        <v>118</v>
      </c>
      <c r="H96">
        <v>152</v>
      </c>
      <c r="I96">
        <v>125</v>
      </c>
      <c r="J96">
        <v>526625</v>
      </c>
      <c r="K96">
        <v>48917</v>
      </c>
      <c r="L96" t="e">
        <f>[1]!Table1[[#This Row],[Revenue]]-[1]!Table1[[#This Row],[OperationalCost]]</f>
        <v>#REF!</v>
      </c>
      <c r="M96" t="str">
        <f t="shared" si="1"/>
        <v>Dec</v>
      </c>
      <c r="N96" s="15">
        <f>Table11[[#This Row],[SeatsSold]]/Table11[[#This Row],[SeatsAvailable]]</f>
        <v>0.82236842105263153</v>
      </c>
      <c r="O96" s="10"/>
    </row>
    <row r="97" spans="1:15" x14ac:dyDescent="0.3">
      <c r="A97" t="s">
        <v>213</v>
      </c>
      <c r="B97" t="s">
        <v>105</v>
      </c>
      <c r="C97" t="s">
        <v>17</v>
      </c>
      <c r="D97" t="s">
        <v>11</v>
      </c>
      <c r="E97" s="16">
        <v>45953</v>
      </c>
      <c r="F97">
        <v>214</v>
      </c>
      <c r="G97" t="s">
        <v>120</v>
      </c>
      <c r="H97">
        <v>210</v>
      </c>
      <c r="I97">
        <v>49</v>
      </c>
      <c r="J97">
        <v>487599</v>
      </c>
      <c r="K97">
        <v>63988</v>
      </c>
      <c r="L97" t="e">
        <f>[1]!Table1[[#This Row],[Revenue]]-[1]!Table1[[#This Row],[OperationalCost]]</f>
        <v>#REF!</v>
      </c>
      <c r="M97" t="str">
        <f t="shared" si="1"/>
        <v>Oct</v>
      </c>
      <c r="N97" s="15">
        <f>Table11[[#This Row],[SeatsSold]]/Table11[[#This Row],[SeatsAvailable]]</f>
        <v>0.23333333333333334</v>
      </c>
      <c r="O97" s="10"/>
    </row>
    <row r="98" spans="1:15" x14ac:dyDescent="0.3">
      <c r="A98" t="s">
        <v>214</v>
      </c>
      <c r="B98" t="s">
        <v>73</v>
      </c>
      <c r="C98" t="s">
        <v>19</v>
      </c>
      <c r="D98" t="s">
        <v>17</v>
      </c>
      <c r="E98" s="16">
        <v>45776</v>
      </c>
      <c r="F98">
        <v>148</v>
      </c>
      <c r="G98" t="s">
        <v>116</v>
      </c>
      <c r="H98">
        <v>70</v>
      </c>
      <c r="I98">
        <v>61</v>
      </c>
      <c r="J98">
        <v>694729</v>
      </c>
      <c r="K98">
        <v>48174</v>
      </c>
      <c r="L98" t="e">
        <f>[1]!Table1[[#This Row],[Revenue]]-[1]!Table1[[#This Row],[OperationalCost]]</f>
        <v>#REF!</v>
      </c>
      <c r="M98" t="str">
        <f t="shared" si="1"/>
        <v>Apr</v>
      </c>
      <c r="N98" s="15">
        <f>Table11[[#This Row],[SeatsSold]]/Table11[[#This Row],[SeatsAvailable]]</f>
        <v>0.87142857142857144</v>
      </c>
      <c r="O98" s="10"/>
    </row>
    <row r="99" spans="1:15" x14ac:dyDescent="0.3">
      <c r="A99" t="s">
        <v>215</v>
      </c>
      <c r="B99" t="s">
        <v>82</v>
      </c>
      <c r="C99" t="s">
        <v>20</v>
      </c>
      <c r="D99" t="s">
        <v>19</v>
      </c>
      <c r="E99" s="16">
        <v>46188</v>
      </c>
      <c r="F99">
        <v>137</v>
      </c>
      <c r="G99" t="s">
        <v>116</v>
      </c>
      <c r="H99">
        <v>197</v>
      </c>
      <c r="I99">
        <v>153</v>
      </c>
      <c r="J99">
        <v>511785</v>
      </c>
      <c r="K99">
        <v>52720</v>
      </c>
      <c r="L99" t="e">
        <f>[1]!Table1[[#This Row],[Revenue]]-[1]!Table1[[#This Row],[OperationalCost]]</f>
        <v>#REF!</v>
      </c>
      <c r="M99" t="str">
        <f t="shared" si="1"/>
        <v>Jun</v>
      </c>
      <c r="N99" s="15">
        <f>Table11[[#This Row],[SeatsSold]]/Table11[[#This Row],[SeatsAvailable]]</f>
        <v>0.7766497461928934</v>
      </c>
      <c r="O99" s="10"/>
    </row>
    <row r="100" spans="1:15" x14ac:dyDescent="0.3">
      <c r="A100" t="s">
        <v>216</v>
      </c>
      <c r="B100" t="s">
        <v>57</v>
      </c>
      <c r="C100" t="s">
        <v>11</v>
      </c>
      <c r="D100" t="s">
        <v>14</v>
      </c>
      <c r="E100" s="16">
        <v>45952</v>
      </c>
      <c r="F100">
        <v>157</v>
      </c>
      <c r="G100" t="s">
        <v>120</v>
      </c>
      <c r="H100">
        <v>101</v>
      </c>
      <c r="I100">
        <v>41</v>
      </c>
      <c r="J100">
        <v>263220</v>
      </c>
      <c r="K100">
        <v>41179</v>
      </c>
      <c r="L100" t="e">
        <f>[1]!Table1[[#This Row],[Revenue]]-[1]!Table1[[#This Row],[OperationalCost]]</f>
        <v>#REF!</v>
      </c>
      <c r="M100" t="str">
        <f t="shared" si="1"/>
        <v>Oct</v>
      </c>
      <c r="N100" s="15">
        <f>Table11[[#This Row],[SeatsSold]]/Table11[[#This Row],[SeatsAvailable]]</f>
        <v>0.40594059405940597</v>
      </c>
      <c r="O100" s="10"/>
    </row>
    <row r="101" spans="1:15" x14ac:dyDescent="0.3">
      <c r="A101" t="s">
        <v>217</v>
      </c>
      <c r="B101" t="s">
        <v>99</v>
      </c>
      <c r="C101" t="s">
        <v>11</v>
      </c>
      <c r="D101" t="s">
        <v>20</v>
      </c>
      <c r="E101" s="16">
        <v>46223</v>
      </c>
      <c r="F101">
        <v>149</v>
      </c>
      <c r="G101" t="s">
        <v>122</v>
      </c>
      <c r="H101">
        <v>127</v>
      </c>
      <c r="I101">
        <v>54</v>
      </c>
      <c r="J101">
        <v>543240</v>
      </c>
      <c r="K101">
        <v>53465</v>
      </c>
      <c r="L101" t="e">
        <f>[1]!Table1[[#This Row],[Revenue]]-[1]!Table1[[#This Row],[OperationalCost]]</f>
        <v>#REF!</v>
      </c>
      <c r="M101" t="str">
        <f t="shared" si="1"/>
        <v>Jul</v>
      </c>
      <c r="N101" s="15">
        <f>Table11[[#This Row],[SeatsSold]]/Table11[[#This Row],[SeatsAvailable]]</f>
        <v>0.42519685039370081</v>
      </c>
      <c r="O101" s="10"/>
    </row>
    <row r="102" spans="1:15" x14ac:dyDescent="0.3">
      <c r="A102" t="s">
        <v>218</v>
      </c>
      <c r="B102" t="s">
        <v>50</v>
      </c>
      <c r="C102" t="s">
        <v>14</v>
      </c>
      <c r="D102" t="s">
        <v>11</v>
      </c>
      <c r="E102" s="16">
        <v>45956</v>
      </c>
      <c r="F102">
        <v>175</v>
      </c>
      <c r="G102" t="s">
        <v>118</v>
      </c>
      <c r="H102">
        <v>176</v>
      </c>
      <c r="I102">
        <v>163</v>
      </c>
      <c r="J102">
        <v>1668468</v>
      </c>
      <c r="K102">
        <v>66346</v>
      </c>
      <c r="L102" t="e">
        <f>[1]!Table1[[#This Row],[Revenue]]-[1]!Table1[[#This Row],[OperationalCost]]</f>
        <v>#REF!</v>
      </c>
      <c r="M102" t="str">
        <f t="shared" si="1"/>
        <v>Oct</v>
      </c>
      <c r="N102" s="15">
        <f>Table11[[#This Row],[SeatsSold]]/Table11[[#This Row],[SeatsAvailable]]</f>
        <v>0.92613636363636365</v>
      </c>
      <c r="O102" s="10"/>
    </row>
    <row r="103" spans="1:15" x14ac:dyDescent="0.3">
      <c r="A103" t="s">
        <v>219</v>
      </c>
      <c r="B103" t="s">
        <v>57</v>
      </c>
      <c r="C103" t="s">
        <v>11</v>
      </c>
      <c r="D103" t="s">
        <v>14</v>
      </c>
      <c r="E103" s="16">
        <v>46050</v>
      </c>
      <c r="F103">
        <v>93</v>
      </c>
      <c r="G103" t="s">
        <v>116</v>
      </c>
      <c r="H103">
        <v>200</v>
      </c>
      <c r="I103">
        <v>74</v>
      </c>
      <c r="J103">
        <v>269582</v>
      </c>
      <c r="K103">
        <v>54870</v>
      </c>
      <c r="L103" t="e">
        <f>[1]!Table1[[#This Row],[Revenue]]-[1]!Table1[[#This Row],[OperationalCost]]</f>
        <v>#REF!</v>
      </c>
      <c r="M103" t="str">
        <f t="shared" si="1"/>
        <v>Jan</v>
      </c>
      <c r="N103" s="15">
        <f>Table11[[#This Row],[SeatsSold]]/Table11[[#This Row],[SeatsAvailable]]</f>
        <v>0.37</v>
      </c>
      <c r="O103" s="10"/>
    </row>
    <row r="104" spans="1:15" x14ac:dyDescent="0.3">
      <c r="A104" t="s">
        <v>220</v>
      </c>
      <c r="B104" t="s">
        <v>33</v>
      </c>
      <c r="C104" t="s">
        <v>21</v>
      </c>
      <c r="D104" t="s">
        <v>15</v>
      </c>
      <c r="E104" s="16">
        <v>45931</v>
      </c>
      <c r="F104">
        <v>45</v>
      </c>
      <c r="G104" t="s">
        <v>118</v>
      </c>
      <c r="H104">
        <v>146</v>
      </c>
      <c r="I104">
        <v>115</v>
      </c>
      <c r="J104">
        <v>1210030</v>
      </c>
      <c r="K104">
        <v>35434</v>
      </c>
      <c r="L104" t="e">
        <f>[1]!Table1[[#This Row],[Revenue]]-[1]!Table1[[#This Row],[OperationalCost]]</f>
        <v>#REF!</v>
      </c>
      <c r="M104" t="str">
        <f t="shared" si="1"/>
        <v>Oct</v>
      </c>
      <c r="N104" s="15">
        <f>Table11[[#This Row],[SeatsSold]]/Table11[[#This Row],[SeatsAvailable]]</f>
        <v>0.78767123287671237</v>
      </c>
      <c r="O104" s="10"/>
    </row>
    <row r="105" spans="1:15" x14ac:dyDescent="0.3">
      <c r="A105" t="s">
        <v>221</v>
      </c>
      <c r="B105" t="s">
        <v>68</v>
      </c>
      <c r="C105" t="s">
        <v>11</v>
      </c>
      <c r="D105" t="s">
        <v>6</v>
      </c>
      <c r="E105" s="16">
        <v>46011</v>
      </c>
      <c r="F105">
        <v>130</v>
      </c>
      <c r="G105" t="s">
        <v>116</v>
      </c>
      <c r="H105">
        <v>209</v>
      </c>
      <c r="I105">
        <v>136</v>
      </c>
      <c r="J105">
        <v>1354560</v>
      </c>
      <c r="K105">
        <v>53012</v>
      </c>
      <c r="L105" t="e">
        <f>[1]!Table1[[#This Row],[Revenue]]-[1]!Table1[[#This Row],[OperationalCost]]</f>
        <v>#REF!</v>
      </c>
      <c r="M105" t="str">
        <f t="shared" si="1"/>
        <v>Dec</v>
      </c>
      <c r="N105" s="15">
        <f>Table11[[#This Row],[SeatsSold]]/Table11[[#This Row],[SeatsAvailable]]</f>
        <v>0.65071770334928225</v>
      </c>
      <c r="O105" s="10"/>
    </row>
    <row r="106" spans="1:15" x14ac:dyDescent="0.3">
      <c r="A106" t="s">
        <v>222</v>
      </c>
      <c r="B106" t="s">
        <v>49</v>
      </c>
      <c r="C106" t="s">
        <v>9</v>
      </c>
      <c r="D106" t="s">
        <v>6</v>
      </c>
      <c r="E106" s="16">
        <v>45897</v>
      </c>
      <c r="F106">
        <v>150</v>
      </c>
      <c r="G106" t="s">
        <v>122</v>
      </c>
      <c r="H106">
        <v>151</v>
      </c>
      <c r="I106">
        <v>135</v>
      </c>
      <c r="J106">
        <v>1383615</v>
      </c>
      <c r="K106">
        <v>71727</v>
      </c>
      <c r="L106" t="e">
        <f>[1]!Table1[[#This Row],[Revenue]]-[1]!Table1[[#This Row],[OperationalCost]]</f>
        <v>#REF!</v>
      </c>
      <c r="M106" t="str">
        <f t="shared" si="1"/>
        <v>Aug</v>
      </c>
      <c r="N106" s="15">
        <f>Table11[[#This Row],[SeatsSold]]/Table11[[#This Row],[SeatsAvailable]]</f>
        <v>0.89403973509933776</v>
      </c>
      <c r="O106" s="10"/>
    </row>
    <row r="107" spans="1:15" x14ac:dyDescent="0.3">
      <c r="A107" t="s">
        <v>223</v>
      </c>
      <c r="B107" t="s">
        <v>10</v>
      </c>
      <c r="C107" t="s">
        <v>17</v>
      </c>
      <c r="D107" t="s">
        <v>14</v>
      </c>
      <c r="E107" s="16">
        <v>46165</v>
      </c>
      <c r="F107">
        <v>54</v>
      </c>
      <c r="G107" t="s">
        <v>113</v>
      </c>
      <c r="H107">
        <v>198</v>
      </c>
      <c r="I107">
        <v>191</v>
      </c>
      <c r="J107">
        <v>1516349</v>
      </c>
      <c r="K107">
        <v>45846</v>
      </c>
      <c r="L107" t="e">
        <f>[1]!Table1[[#This Row],[Revenue]]-[1]!Table1[[#This Row],[OperationalCost]]</f>
        <v>#REF!</v>
      </c>
      <c r="M107" t="str">
        <f t="shared" si="1"/>
        <v>May</v>
      </c>
      <c r="N107" s="15">
        <f>Table11[[#This Row],[SeatsSold]]/Table11[[#This Row],[SeatsAvailable]]</f>
        <v>0.96464646464646464</v>
      </c>
      <c r="O107" s="10"/>
    </row>
    <row r="108" spans="1:15" x14ac:dyDescent="0.3">
      <c r="A108" t="s">
        <v>224</v>
      </c>
      <c r="B108" t="s">
        <v>46</v>
      </c>
      <c r="C108" t="s">
        <v>3</v>
      </c>
      <c r="D108" t="s">
        <v>15</v>
      </c>
      <c r="E108" s="16">
        <v>46125</v>
      </c>
      <c r="F108">
        <v>48</v>
      </c>
      <c r="G108" t="s">
        <v>113</v>
      </c>
      <c r="H108">
        <v>174</v>
      </c>
      <c r="I108">
        <v>79</v>
      </c>
      <c r="J108">
        <v>294275</v>
      </c>
      <c r="K108">
        <v>37098</v>
      </c>
      <c r="L108" t="e">
        <f>[1]!Table1[[#This Row],[Revenue]]-[1]!Table1[[#This Row],[OperationalCost]]</f>
        <v>#REF!</v>
      </c>
      <c r="M108" t="str">
        <f t="shared" si="1"/>
        <v>Apr</v>
      </c>
      <c r="N108" s="15">
        <f>Table11[[#This Row],[SeatsSold]]/Table11[[#This Row],[SeatsAvailable]]</f>
        <v>0.45402298850574713</v>
      </c>
      <c r="O108" s="10"/>
    </row>
    <row r="109" spans="1:15" x14ac:dyDescent="0.3">
      <c r="A109" t="s">
        <v>225</v>
      </c>
      <c r="B109" t="s">
        <v>61</v>
      </c>
      <c r="C109" t="s">
        <v>21</v>
      </c>
      <c r="D109" t="s">
        <v>6</v>
      </c>
      <c r="E109" s="16">
        <v>46323</v>
      </c>
      <c r="F109">
        <v>65</v>
      </c>
      <c r="G109" t="s">
        <v>118</v>
      </c>
      <c r="H109">
        <v>206</v>
      </c>
      <c r="I109">
        <v>137</v>
      </c>
      <c r="J109">
        <v>1053256</v>
      </c>
      <c r="K109">
        <v>60224</v>
      </c>
      <c r="L109" t="e">
        <f>[1]!Table1[[#This Row],[Revenue]]-[1]!Table1[[#This Row],[OperationalCost]]</f>
        <v>#REF!</v>
      </c>
      <c r="M109" t="str">
        <f t="shared" si="1"/>
        <v>Oct</v>
      </c>
      <c r="N109" s="15">
        <f>Table11[[#This Row],[SeatsSold]]/Table11[[#This Row],[SeatsAvailable]]</f>
        <v>0.66504854368932043</v>
      </c>
      <c r="O109" s="10"/>
    </row>
    <row r="110" spans="1:15" x14ac:dyDescent="0.3">
      <c r="A110" t="s">
        <v>226</v>
      </c>
      <c r="B110" t="s">
        <v>99</v>
      </c>
      <c r="C110" t="s">
        <v>11</v>
      </c>
      <c r="D110" t="s">
        <v>20</v>
      </c>
      <c r="E110" s="16">
        <v>46290</v>
      </c>
      <c r="F110">
        <v>62</v>
      </c>
      <c r="G110" t="s">
        <v>113</v>
      </c>
      <c r="H110">
        <v>143</v>
      </c>
      <c r="I110">
        <v>69</v>
      </c>
      <c r="J110">
        <v>274620</v>
      </c>
      <c r="K110">
        <v>29337</v>
      </c>
      <c r="L110" t="e">
        <f>[1]!Table1[[#This Row],[Revenue]]-[1]!Table1[[#This Row],[OperationalCost]]</f>
        <v>#REF!</v>
      </c>
      <c r="M110" t="str">
        <f t="shared" si="1"/>
        <v>Sep</v>
      </c>
      <c r="N110" s="15">
        <f>Table11[[#This Row],[SeatsSold]]/Table11[[#This Row],[SeatsAvailable]]</f>
        <v>0.4825174825174825</v>
      </c>
      <c r="O110" s="10"/>
    </row>
    <row r="111" spans="1:15" x14ac:dyDescent="0.3">
      <c r="A111" t="s">
        <v>227</v>
      </c>
      <c r="B111" t="s">
        <v>8</v>
      </c>
      <c r="C111" t="s">
        <v>3</v>
      </c>
      <c r="D111" t="s">
        <v>11</v>
      </c>
      <c r="E111" s="16">
        <v>45828</v>
      </c>
      <c r="F111">
        <v>222</v>
      </c>
      <c r="G111" t="s">
        <v>118</v>
      </c>
      <c r="H111">
        <v>77</v>
      </c>
      <c r="I111">
        <v>42</v>
      </c>
      <c r="J111">
        <v>328188</v>
      </c>
      <c r="K111">
        <v>41683</v>
      </c>
      <c r="L111" t="e">
        <f>[1]!Table1[[#This Row],[Revenue]]-[1]!Table1[[#This Row],[OperationalCost]]</f>
        <v>#REF!</v>
      </c>
      <c r="M111" t="str">
        <f t="shared" si="1"/>
        <v>Jun</v>
      </c>
      <c r="N111" s="15">
        <f>Table11[[#This Row],[SeatsSold]]/Table11[[#This Row],[SeatsAvailable]]</f>
        <v>0.54545454545454541</v>
      </c>
      <c r="O111" s="10"/>
    </row>
    <row r="112" spans="1:15" x14ac:dyDescent="0.3">
      <c r="A112" t="s">
        <v>228</v>
      </c>
      <c r="B112" t="s">
        <v>52</v>
      </c>
      <c r="C112" t="s">
        <v>21</v>
      </c>
      <c r="D112" t="s">
        <v>17</v>
      </c>
      <c r="E112" s="16">
        <v>46099</v>
      </c>
      <c r="F112">
        <v>82</v>
      </c>
      <c r="G112" t="s">
        <v>113</v>
      </c>
      <c r="H112">
        <v>205</v>
      </c>
      <c r="I112">
        <v>145</v>
      </c>
      <c r="J112">
        <v>1706940</v>
      </c>
      <c r="K112">
        <v>49938</v>
      </c>
      <c r="L112" t="e">
        <f>[1]!Table1[[#This Row],[Revenue]]-[1]!Table1[[#This Row],[OperationalCost]]</f>
        <v>#REF!</v>
      </c>
      <c r="M112" t="str">
        <f t="shared" si="1"/>
        <v>Mar</v>
      </c>
      <c r="N112" s="15">
        <f>Table11[[#This Row],[SeatsSold]]/Table11[[#This Row],[SeatsAvailable]]</f>
        <v>0.70731707317073167</v>
      </c>
      <c r="O112" s="10"/>
    </row>
    <row r="113" spans="1:15" x14ac:dyDescent="0.3">
      <c r="A113" t="s">
        <v>229</v>
      </c>
      <c r="B113" t="s">
        <v>34</v>
      </c>
      <c r="C113" t="s">
        <v>14</v>
      </c>
      <c r="D113" t="s">
        <v>9</v>
      </c>
      <c r="E113" s="16">
        <v>45738</v>
      </c>
      <c r="F113">
        <v>201</v>
      </c>
      <c r="G113" t="s">
        <v>120</v>
      </c>
      <c r="H113">
        <v>131</v>
      </c>
      <c r="I113">
        <v>103</v>
      </c>
      <c r="J113">
        <v>498932</v>
      </c>
      <c r="K113">
        <v>61917</v>
      </c>
      <c r="L113" t="e">
        <f>[1]!Table1[[#This Row],[Revenue]]-[1]!Table1[[#This Row],[OperationalCost]]</f>
        <v>#REF!</v>
      </c>
      <c r="M113" t="str">
        <f t="shared" si="1"/>
        <v>Mar</v>
      </c>
      <c r="N113" s="15">
        <f>Table11[[#This Row],[SeatsSold]]/Table11[[#This Row],[SeatsAvailable]]</f>
        <v>0.7862595419847328</v>
      </c>
      <c r="O113" s="10"/>
    </row>
    <row r="114" spans="1:15" x14ac:dyDescent="0.3">
      <c r="A114" t="s">
        <v>230</v>
      </c>
      <c r="B114" t="s">
        <v>101</v>
      </c>
      <c r="C114" t="s">
        <v>19</v>
      </c>
      <c r="D114" t="s">
        <v>11</v>
      </c>
      <c r="E114" s="16">
        <v>45919</v>
      </c>
      <c r="F114">
        <v>215</v>
      </c>
      <c r="G114" t="s">
        <v>122</v>
      </c>
      <c r="H114">
        <v>189</v>
      </c>
      <c r="I114">
        <v>113</v>
      </c>
      <c r="J114">
        <v>1294415</v>
      </c>
      <c r="K114">
        <v>52922</v>
      </c>
      <c r="L114" t="e">
        <f>[1]!Table1[[#This Row],[Revenue]]-[1]!Table1[[#This Row],[OperationalCost]]</f>
        <v>#REF!</v>
      </c>
      <c r="M114" t="str">
        <f t="shared" si="1"/>
        <v>Sep</v>
      </c>
      <c r="N114" s="15">
        <f>Table11[[#This Row],[SeatsSold]]/Table11[[#This Row],[SeatsAvailable]]</f>
        <v>0.59788359788359791</v>
      </c>
      <c r="O114" s="10"/>
    </row>
    <row r="115" spans="1:15" x14ac:dyDescent="0.3">
      <c r="A115" t="s">
        <v>231</v>
      </c>
      <c r="B115" t="s">
        <v>16</v>
      </c>
      <c r="C115" t="s">
        <v>6</v>
      </c>
      <c r="D115" t="s">
        <v>21</v>
      </c>
      <c r="E115" s="16">
        <v>46259</v>
      </c>
      <c r="F115">
        <v>121</v>
      </c>
      <c r="G115" t="s">
        <v>120</v>
      </c>
      <c r="H115">
        <v>134</v>
      </c>
      <c r="I115">
        <v>98</v>
      </c>
      <c r="J115">
        <v>730002</v>
      </c>
      <c r="K115">
        <v>44422</v>
      </c>
      <c r="L115" t="e">
        <f>[1]!Table1[[#This Row],[Revenue]]-[1]!Table1[[#This Row],[OperationalCost]]</f>
        <v>#REF!</v>
      </c>
      <c r="M115" t="str">
        <f t="shared" si="1"/>
        <v>Aug</v>
      </c>
      <c r="N115" s="15">
        <f>Table11[[#This Row],[SeatsSold]]/Table11[[#This Row],[SeatsAvailable]]</f>
        <v>0.73134328358208955</v>
      </c>
      <c r="O115" s="10"/>
    </row>
    <row r="116" spans="1:15" x14ac:dyDescent="0.3">
      <c r="A116" t="s">
        <v>232</v>
      </c>
      <c r="B116" t="s">
        <v>84</v>
      </c>
      <c r="C116" t="s">
        <v>6</v>
      </c>
      <c r="D116" t="s">
        <v>3</v>
      </c>
      <c r="E116" s="16">
        <v>45900</v>
      </c>
      <c r="F116">
        <v>142</v>
      </c>
      <c r="G116" t="s">
        <v>116</v>
      </c>
      <c r="H116">
        <v>161</v>
      </c>
      <c r="I116">
        <v>113</v>
      </c>
      <c r="J116">
        <v>830211</v>
      </c>
      <c r="K116">
        <v>67413</v>
      </c>
      <c r="L116" t="e">
        <f>[1]!Table1[[#This Row],[Revenue]]-[1]!Table1[[#This Row],[OperationalCost]]</f>
        <v>#REF!</v>
      </c>
      <c r="M116" t="str">
        <f t="shared" si="1"/>
        <v>Aug</v>
      </c>
      <c r="N116" s="15">
        <f>Table11[[#This Row],[SeatsSold]]/Table11[[#This Row],[SeatsAvailable]]</f>
        <v>0.70186335403726707</v>
      </c>
      <c r="O116" s="10"/>
    </row>
    <row r="117" spans="1:15" x14ac:dyDescent="0.3">
      <c r="A117" t="s">
        <v>233</v>
      </c>
      <c r="B117" t="s">
        <v>85</v>
      </c>
      <c r="C117" t="s">
        <v>20</v>
      </c>
      <c r="D117" t="s">
        <v>6</v>
      </c>
      <c r="E117" s="16">
        <v>45939</v>
      </c>
      <c r="F117">
        <v>47</v>
      </c>
      <c r="G117" t="s">
        <v>116</v>
      </c>
      <c r="H117">
        <v>82</v>
      </c>
      <c r="I117">
        <v>78</v>
      </c>
      <c r="J117">
        <v>829764</v>
      </c>
      <c r="K117">
        <v>20387</v>
      </c>
      <c r="L117" t="e">
        <f>[1]!Table1[[#This Row],[Revenue]]-[1]!Table1[[#This Row],[OperationalCost]]</f>
        <v>#REF!</v>
      </c>
      <c r="M117" t="str">
        <f t="shared" si="1"/>
        <v>Oct</v>
      </c>
      <c r="N117" s="15">
        <f>Table11[[#This Row],[SeatsSold]]/Table11[[#This Row],[SeatsAvailable]]</f>
        <v>0.95121951219512191</v>
      </c>
      <c r="O117" s="10"/>
    </row>
    <row r="118" spans="1:15" x14ac:dyDescent="0.3">
      <c r="A118" t="s">
        <v>234</v>
      </c>
      <c r="B118" t="s">
        <v>45</v>
      </c>
      <c r="C118" t="s">
        <v>15</v>
      </c>
      <c r="D118" t="s">
        <v>21</v>
      </c>
      <c r="E118" s="16">
        <v>45882</v>
      </c>
      <c r="F118">
        <v>207</v>
      </c>
      <c r="G118" t="s">
        <v>113</v>
      </c>
      <c r="H118">
        <v>134</v>
      </c>
      <c r="I118">
        <v>126</v>
      </c>
      <c r="J118">
        <v>597240</v>
      </c>
      <c r="K118">
        <v>71896</v>
      </c>
      <c r="L118" t="e">
        <f>[1]!Table1[[#This Row],[Revenue]]-[1]!Table1[[#This Row],[OperationalCost]]</f>
        <v>#REF!</v>
      </c>
      <c r="M118" t="str">
        <f t="shared" si="1"/>
        <v>Aug</v>
      </c>
      <c r="N118" s="15">
        <f>Table11[[#This Row],[SeatsSold]]/Table11[[#This Row],[SeatsAvailable]]</f>
        <v>0.94029850746268662</v>
      </c>
      <c r="O118" s="10"/>
    </row>
    <row r="119" spans="1:15" x14ac:dyDescent="0.3">
      <c r="A119" t="s">
        <v>235</v>
      </c>
      <c r="B119" t="s">
        <v>76</v>
      </c>
      <c r="C119" t="s">
        <v>20</v>
      </c>
      <c r="D119" t="s">
        <v>21</v>
      </c>
      <c r="E119" s="16">
        <v>46109</v>
      </c>
      <c r="F119">
        <v>53</v>
      </c>
      <c r="G119" t="s">
        <v>116</v>
      </c>
      <c r="H119">
        <v>163</v>
      </c>
      <c r="I119">
        <v>133</v>
      </c>
      <c r="J119">
        <v>618849</v>
      </c>
      <c r="K119">
        <v>32844</v>
      </c>
      <c r="L119" t="e">
        <f>[1]!Table1[[#This Row],[Revenue]]-[1]!Table1[[#This Row],[OperationalCost]]</f>
        <v>#REF!</v>
      </c>
      <c r="M119" t="str">
        <f t="shared" si="1"/>
        <v>Mar</v>
      </c>
      <c r="N119" s="15">
        <f>Table11[[#This Row],[SeatsSold]]/Table11[[#This Row],[SeatsAvailable]]</f>
        <v>0.81595092024539873</v>
      </c>
      <c r="O119" s="10"/>
    </row>
    <row r="120" spans="1:15" x14ac:dyDescent="0.3">
      <c r="A120" t="s">
        <v>236</v>
      </c>
      <c r="B120" t="s">
        <v>61</v>
      </c>
      <c r="C120" t="s">
        <v>21</v>
      </c>
      <c r="D120" t="s">
        <v>6</v>
      </c>
      <c r="E120" s="16">
        <v>45837</v>
      </c>
      <c r="F120">
        <v>96</v>
      </c>
      <c r="G120" t="s">
        <v>113</v>
      </c>
      <c r="H120">
        <v>208</v>
      </c>
      <c r="I120">
        <v>133</v>
      </c>
      <c r="J120">
        <v>1489201</v>
      </c>
      <c r="K120">
        <v>54800</v>
      </c>
      <c r="L120" t="e">
        <f>[1]!Table1[[#This Row],[Revenue]]-[1]!Table1[[#This Row],[OperationalCost]]</f>
        <v>#REF!</v>
      </c>
      <c r="M120" t="str">
        <f t="shared" si="1"/>
        <v>Jun</v>
      </c>
      <c r="N120" s="15">
        <f>Table11[[#This Row],[SeatsSold]]/Table11[[#This Row],[SeatsAvailable]]</f>
        <v>0.63942307692307687</v>
      </c>
      <c r="O120" s="10"/>
    </row>
    <row r="121" spans="1:15" x14ac:dyDescent="0.3">
      <c r="A121" t="s">
        <v>237</v>
      </c>
      <c r="B121" t="s">
        <v>44</v>
      </c>
      <c r="C121" t="s">
        <v>14</v>
      </c>
      <c r="D121" t="s">
        <v>21</v>
      </c>
      <c r="E121" s="16">
        <v>46151</v>
      </c>
      <c r="F121">
        <v>120</v>
      </c>
      <c r="G121" t="s">
        <v>118</v>
      </c>
      <c r="H121">
        <v>99</v>
      </c>
      <c r="I121">
        <v>69</v>
      </c>
      <c r="J121">
        <v>257577</v>
      </c>
      <c r="K121">
        <v>32283</v>
      </c>
      <c r="L121" t="e">
        <f>[1]!Table1[[#This Row],[Revenue]]-[1]!Table1[[#This Row],[OperationalCost]]</f>
        <v>#REF!</v>
      </c>
      <c r="M121" t="str">
        <f t="shared" si="1"/>
        <v>May</v>
      </c>
      <c r="N121" s="15">
        <f>Table11[[#This Row],[SeatsSold]]/Table11[[#This Row],[SeatsAvailable]]</f>
        <v>0.69696969696969702</v>
      </c>
      <c r="O121" s="10"/>
    </row>
    <row r="122" spans="1:15" x14ac:dyDescent="0.3">
      <c r="A122" t="s">
        <v>238</v>
      </c>
      <c r="B122" t="s">
        <v>106</v>
      </c>
      <c r="C122" t="s">
        <v>17</v>
      </c>
      <c r="D122" t="s">
        <v>15</v>
      </c>
      <c r="E122" s="16">
        <v>46032</v>
      </c>
      <c r="F122">
        <v>68</v>
      </c>
      <c r="G122" t="s">
        <v>120</v>
      </c>
      <c r="H122">
        <v>73</v>
      </c>
      <c r="I122">
        <v>56</v>
      </c>
      <c r="J122">
        <v>632296</v>
      </c>
      <c r="K122">
        <v>24576</v>
      </c>
      <c r="L122" t="e">
        <f>[1]!Table1[[#This Row],[Revenue]]-[1]!Table1[[#This Row],[OperationalCost]]</f>
        <v>#REF!</v>
      </c>
      <c r="M122" t="str">
        <f t="shared" si="1"/>
        <v>Jan</v>
      </c>
      <c r="N122" s="15">
        <f>Table11[[#This Row],[SeatsSold]]/Table11[[#This Row],[SeatsAvailable]]</f>
        <v>0.76712328767123283</v>
      </c>
      <c r="O122" s="10"/>
    </row>
    <row r="123" spans="1:15" x14ac:dyDescent="0.3">
      <c r="A123" t="s">
        <v>239</v>
      </c>
      <c r="B123" t="s">
        <v>79</v>
      </c>
      <c r="C123" t="s">
        <v>21</v>
      </c>
      <c r="D123" t="s">
        <v>19</v>
      </c>
      <c r="E123" s="16">
        <v>46256</v>
      </c>
      <c r="F123">
        <v>142</v>
      </c>
      <c r="G123" t="s">
        <v>118</v>
      </c>
      <c r="H123">
        <v>97</v>
      </c>
      <c r="I123">
        <v>83</v>
      </c>
      <c r="J123">
        <v>525390</v>
      </c>
      <c r="K123">
        <v>42422</v>
      </c>
      <c r="L123" t="e">
        <f>[1]!Table1[[#This Row],[Revenue]]-[1]!Table1[[#This Row],[OperationalCost]]</f>
        <v>#REF!</v>
      </c>
      <c r="M123" t="str">
        <f t="shared" si="1"/>
        <v>Aug</v>
      </c>
      <c r="N123" s="15">
        <f>Table11[[#This Row],[SeatsSold]]/Table11[[#This Row],[SeatsAvailable]]</f>
        <v>0.85567010309278346</v>
      </c>
      <c r="O123" s="10"/>
    </row>
    <row r="124" spans="1:15" x14ac:dyDescent="0.3">
      <c r="A124" t="s">
        <v>240</v>
      </c>
      <c r="B124" t="s">
        <v>110</v>
      </c>
      <c r="C124" t="s">
        <v>15</v>
      </c>
      <c r="D124" t="s">
        <v>11</v>
      </c>
      <c r="E124" s="16">
        <v>45993</v>
      </c>
      <c r="F124">
        <v>201</v>
      </c>
      <c r="G124" t="s">
        <v>113</v>
      </c>
      <c r="H124">
        <v>86</v>
      </c>
      <c r="I124">
        <v>80</v>
      </c>
      <c r="J124">
        <v>808480</v>
      </c>
      <c r="K124">
        <v>73601</v>
      </c>
      <c r="L124" t="e">
        <f>[1]!Table1[[#This Row],[Revenue]]-[1]!Table1[[#This Row],[OperationalCost]]</f>
        <v>#REF!</v>
      </c>
      <c r="M124" t="str">
        <f t="shared" si="1"/>
        <v>Dec</v>
      </c>
      <c r="N124" s="15">
        <f>Table11[[#This Row],[SeatsSold]]/Table11[[#This Row],[SeatsAvailable]]</f>
        <v>0.93023255813953487</v>
      </c>
      <c r="O124" s="10"/>
    </row>
    <row r="125" spans="1:15" x14ac:dyDescent="0.3">
      <c r="A125" t="s">
        <v>241</v>
      </c>
      <c r="B125" t="s">
        <v>41</v>
      </c>
      <c r="C125" t="s">
        <v>17</v>
      </c>
      <c r="D125" t="s">
        <v>3</v>
      </c>
      <c r="E125" s="16">
        <v>45801</v>
      </c>
      <c r="F125">
        <v>56</v>
      </c>
      <c r="G125" t="s">
        <v>122</v>
      </c>
      <c r="H125">
        <v>147</v>
      </c>
      <c r="I125">
        <v>103</v>
      </c>
      <c r="J125">
        <v>453406</v>
      </c>
      <c r="K125">
        <v>28644</v>
      </c>
      <c r="L125" t="e">
        <f>[1]!Table1[[#This Row],[Revenue]]-[1]!Table1[[#This Row],[OperationalCost]]</f>
        <v>#REF!</v>
      </c>
      <c r="M125" t="str">
        <f t="shared" si="1"/>
        <v>May</v>
      </c>
      <c r="N125" s="15">
        <f>Table11[[#This Row],[SeatsSold]]/Table11[[#This Row],[SeatsAvailable]]</f>
        <v>0.70068027210884354</v>
      </c>
      <c r="O125" s="10"/>
    </row>
    <row r="126" spans="1:15" x14ac:dyDescent="0.3">
      <c r="A126" t="s">
        <v>242</v>
      </c>
      <c r="B126" t="s">
        <v>57</v>
      </c>
      <c r="C126" t="s">
        <v>11</v>
      </c>
      <c r="D126" t="s">
        <v>14</v>
      </c>
      <c r="E126" s="16">
        <v>46055</v>
      </c>
      <c r="F126">
        <v>161</v>
      </c>
      <c r="G126" t="s">
        <v>118</v>
      </c>
      <c r="H126">
        <v>208</v>
      </c>
      <c r="I126">
        <v>147</v>
      </c>
      <c r="J126">
        <v>739557</v>
      </c>
      <c r="K126">
        <v>87762</v>
      </c>
      <c r="L126" t="e">
        <f>[1]!Table1[[#This Row],[Revenue]]-[1]!Table1[[#This Row],[OperationalCost]]</f>
        <v>#REF!</v>
      </c>
      <c r="M126" t="str">
        <f t="shared" si="1"/>
        <v>Feb</v>
      </c>
      <c r="N126" s="15">
        <f>Table11[[#This Row],[SeatsSold]]/Table11[[#This Row],[SeatsAvailable]]</f>
        <v>0.70673076923076927</v>
      </c>
      <c r="O126" s="10"/>
    </row>
    <row r="127" spans="1:15" x14ac:dyDescent="0.3">
      <c r="A127" t="s">
        <v>243</v>
      </c>
      <c r="B127" t="s">
        <v>8</v>
      </c>
      <c r="C127" t="s">
        <v>3</v>
      </c>
      <c r="D127" t="s">
        <v>11</v>
      </c>
      <c r="E127" s="16">
        <v>46288</v>
      </c>
      <c r="F127">
        <v>149</v>
      </c>
      <c r="G127" t="s">
        <v>118</v>
      </c>
      <c r="H127">
        <v>78</v>
      </c>
      <c r="I127">
        <v>63</v>
      </c>
      <c r="J127">
        <v>381717</v>
      </c>
      <c r="K127">
        <v>49771</v>
      </c>
      <c r="L127" t="e">
        <f>[1]!Table1[[#This Row],[Revenue]]-[1]!Table1[[#This Row],[OperationalCost]]</f>
        <v>#REF!</v>
      </c>
      <c r="M127" t="str">
        <f t="shared" si="1"/>
        <v>Sep</v>
      </c>
      <c r="N127" s="15">
        <f>Table11[[#This Row],[SeatsSold]]/Table11[[#This Row],[SeatsAvailable]]</f>
        <v>0.80769230769230771</v>
      </c>
      <c r="O127" s="10"/>
    </row>
    <row r="128" spans="1:15" x14ac:dyDescent="0.3">
      <c r="A128" t="s">
        <v>244</v>
      </c>
      <c r="B128" t="s">
        <v>43</v>
      </c>
      <c r="C128" t="s">
        <v>9</v>
      </c>
      <c r="D128" t="s">
        <v>17</v>
      </c>
      <c r="E128" s="16">
        <v>45759</v>
      </c>
      <c r="F128">
        <v>220</v>
      </c>
      <c r="G128" t="s">
        <v>118</v>
      </c>
      <c r="H128">
        <v>209</v>
      </c>
      <c r="I128">
        <v>205</v>
      </c>
      <c r="J128">
        <v>1717080</v>
      </c>
      <c r="K128">
        <v>67529</v>
      </c>
      <c r="L128" t="e">
        <f>[1]!Table1[[#This Row],[Revenue]]-[1]!Table1[[#This Row],[OperationalCost]]</f>
        <v>#REF!</v>
      </c>
      <c r="M128" t="str">
        <f t="shared" si="1"/>
        <v>Apr</v>
      </c>
      <c r="N128" s="15">
        <f>Table11[[#This Row],[SeatsSold]]/Table11[[#This Row],[SeatsAvailable]]</f>
        <v>0.98086124401913877</v>
      </c>
      <c r="O128" s="10"/>
    </row>
    <row r="129" spans="1:15" x14ac:dyDescent="0.3">
      <c r="A129" t="s">
        <v>245</v>
      </c>
      <c r="B129" t="s">
        <v>87</v>
      </c>
      <c r="C129" t="s">
        <v>19</v>
      </c>
      <c r="D129" t="s">
        <v>9</v>
      </c>
      <c r="E129" s="16">
        <v>45783</v>
      </c>
      <c r="F129">
        <v>161</v>
      </c>
      <c r="G129" t="s">
        <v>122</v>
      </c>
      <c r="H129">
        <v>124</v>
      </c>
      <c r="I129">
        <v>122</v>
      </c>
      <c r="J129">
        <v>347578</v>
      </c>
      <c r="K129">
        <v>41712</v>
      </c>
      <c r="L129" t="e">
        <f>[1]!Table1[[#This Row],[Revenue]]-[1]!Table1[[#This Row],[OperationalCost]]</f>
        <v>#REF!</v>
      </c>
      <c r="M129" t="str">
        <f t="shared" ref="M129:M192" si="2">TEXT(E129,"MMM")</f>
        <v>May</v>
      </c>
      <c r="N129" s="15">
        <f>Table11[[#This Row],[SeatsSold]]/Table11[[#This Row],[SeatsAvailable]]</f>
        <v>0.9838709677419355</v>
      </c>
      <c r="O129" s="10"/>
    </row>
    <row r="130" spans="1:15" x14ac:dyDescent="0.3">
      <c r="A130" t="s">
        <v>246</v>
      </c>
      <c r="B130" t="s">
        <v>59</v>
      </c>
      <c r="C130" t="s">
        <v>9</v>
      </c>
      <c r="D130" t="s">
        <v>14</v>
      </c>
      <c r="E130" s="16">
        <v>46236</v>
      </c>
      <c r="F130">
        <v>97</v>
      </c>
      <c r="G130" t="s">
        <v>122</v>
      </c>
      <c r="H130">
        <v>211</v>
      </c>
      <c r="I130">
        <v>93</v>
      </c>
      <c r="J130">
        <v>561534</v>
      </c>
      <c r="K130">
        <v>51967</v>
      </c>
      <c r="L130" t="e">
        <f>[1]!Table1[[#This Row],[Revenue]]-[1]!Table1[[#This Row],[OperationalCost]]</f>
        <v>#REF!</v>
      </c>
      <c r="M130" t="str">
        <f t="shared" si="2"/>
        <v>Aug</v>
      </c>
      <c r="N130" s="15">
        <f>Table11[[#This Row],[SeatsSold]]/Table11[[#This Row],[SeatsAvailable]]</f>
        <v>0.44075829383886256</v>
      </c>
      <c r="O130" s="10"/>
    </row>
    <row r="131" spans="1:15" x14ac:dyDescent="0.3">
      <c r="A131" t="s">
        <v>247</v>
      </c>
      <c r="B131" t="s">
        <v>39</v>
      </c>
      <c r="C131" t="s">
        <v>14</v>
      </c>
      <c r="D131" t="s">
        <v>20</v>
      </c>
      <c r="E131" s="16">
        <v>45941</v>
      </c>
      <c r="F131">
        <v>82</v>
      </c>
      <c r="G131" t="s">
        <v>113</v>
      </c>
      <c r="H131">
        <v>208</v>
      </c>
      <c r="I131">
        <v>104</v>
      </c>
      <c r="J131">
        <v>557232</v>
      </c>
      <c r="K131">
        <v>63928</v>
      </c>
      <c r="L131" t="e">
        <f>[1]!Table1[[#This Row],[Revenue]]-[1]!Table1[[#This Row],[OperationalCost]]</f>
        <v>#REF!</v>
      </c>
      <c r="M131" t="str">
        <f t="shared" si="2"/>
        <v>Oct</v>
      </c>
      <c r="N131" s="15">
        <f>Table11[[#This Row],[SeatsSold]]/Table11[[#This Row],[SeatsAvailable]]</f>
        <v>0.5</v>
      </c>
      <c r="O131" s="10"/>
    </row>
    <row r="132" spans="1:15" x14ac:dyDescent="0.3">
      <c r="A132" t="s">
        <v>248</v>
      </c>
      <c r="B132" t="s">
        <v>74</v>
      </c>
      <c r="C132" t="s">
        <v>20</v>
      </c>
      <c r="D132" t="s">
        <v>9</v>
      </c>
      <c r="E132" s="16">
        <v>45673</v>
      </c>
      <c r="F132">
        <v>136</v>
      </c>
      <c r="G132" t="s">
        <v>113</v>
      </c>
      <c r="H132">
        <v>220</v>
      </c>
      <c r="I132">
        <v>122</v>
      </c>
      <c r="J132">
        <v>336476</v>
      </c>
      <c r="K132">
        <v>54644</v>
      </c>
      <c r="L132" t="e">
        <f>[1]!Table1[[#This Row],[Revenue]]-[1]!Table1[[#This Row],[OperationalCost]]</f>
        <v>#REF!</v>
      </c>
      <c r="M132" t="str">
        <f t="shared" si="2"/>
        <v>Jan</v>
      </c>
      <c r="N132" s="15">
        <f>Table11[[#This Row],[SeatsSold]]/Table11[[#This Row],[SeatsAvailable]]</f>
        <v>0.55454545454545456</v>
      </c>
      <c r="O132" s="10"/>
    </row>
    <row r="133" spans="1:15" x14ac:dyDescent="0.3">
      <c r="A133" t="s">
        <v>249</v>
      </c>
      <c r="B133" t="s">
        <v>74</v>
      </c>
      <c r="C133" t="s">
        <v>20</v>
      </c>
      <c r="D133" t="s">
        <v>9</v>
      </c>
      <c r="E133" s="16">
        <v>46089</v>
      </c>
      <c r="F133">
        <v>179</v>
      </c>
      <c r="G133" t="s">
        <v>122</v>
      </c>
      <c r="H133">
        <v>86</v>
      </c>
      <c r="I133">
        <v>70</v>
      </c>
      <c r="J133">
        <v>689080</v>
      </c>
      <c r="K133">
        <v>56094</v>
      </c>
      <c r="L133" t="e">
        <f>[1]!Table1[[#This Row],[Revenue]]-[1]!Table1[[#This Row],[OperationalCost]]</f>
        <v>#REF!</v>
      </c>
      <c r="M133" t="str">
        <f t="shared" si="2"/>
        <v>Mar</v>
      </c>
      <c r="N133" s="15">
        <f>Table11[[#This Row],[SeatsSold]]/Table11[[#This Row],[SeatsAvailable]]</f>
        <v>0.81395348837209303</v>
      </c>
      <c r="O133" s="10"/>
    </row>
    <row r="134" spans="1:15" x14ac:dyDescent="0.3">
      <c r="A134" t="s">
        <v>250</v>
      </c>
      <c r="B134" t="s">
        <v>111</v>
      </c>
      <c r="C134" t="s">
        <v>15</v>
      </c>
      <c r="D134" t="s">
        <v>3</v>
      </c>
      <c r="E134" s="16">
        <v>46120</v>
      </c>
      <c r="F134">
        <v>173</v>
      </c>
      <c r="G134" t="s">
        <v>113</v>
      </c>
      <c r="H134">
        <v>81</v>
      </c>
      <c r="I134">
        <v>73</v>
      </c>
      <c r="J134">
        <v>543193</v>
      </c>
      <c r="K134">
        <v>60765</v>
      </c>
      <c r="L134" t="e">
        <f>[1]!Table1[[#This Row],[Revenue]]-[1]!Table1[[#This Row],[OperationalCost]]</f>
        <v>#REF!</v>
      </c>
      <c r="M134" t="str">
        <f t="shared" si="2"/>
        <v>Apr</v>
      </c>
      <c r="N134" s="15">
        <f>Table11[[#This Row],[SeatsSold]]/Table11[[#This Row],[SeatsAvailable]]</f>
        <v>0.90123456790123457</v>
      </c>
      <c r="O134" s="10"/>
    </row>
    <row r="135" spans="1:15" x14ac:dyDescent="0.3">
      <c r="A135" t="s">
        <v>251</v>
      </c>
      <c r="B135" t="s">
        <v>31</v>
      </c>
      <c r="C135" t="s">
        <v>20</v>
      </c>
      <c r="D135" t="s">
        <v>3</v>
      </c>
      <c r="E135" s="16">
        <v>46148</v>
      </c>
      <c r="F135">
        <v>147</v>
      </c>
      <c r="G135" t="s">
        <v>120</v>
      </c>
      <c r="H135">
        <v>97</v>
      </c>
      <c r="I135">
        <v>71</v>
      </c>
      <c r="J135">
        <v>693457</v>
      </c>
      <c r="K135">
        <v>29986</v>
      </c>
      <c r="L135" t="e">
        <f>[1]!Table1[[#This Row],[Revenue]]-[1]!Table1[[#This Row],[OperationalCost]]</f>
        <v>#REF!</v>
      </c>
      <c r="M135" t="str">
        <f t="shared" si="2"/>
        <v>May</v>
      </c>
      <c r="N135" s="15">
        <f>Table11[[#This Row],[SeatsSold]]/Table11[[#This Row],[SeatsAvailable]]</f>
        <v>0.73195876288659789</v>
      </c>
      <c r="O135" s="10"/>
    </row>
    <row r="136" spans="1:15" x14ac:dyDescent="0.3">
      <c r="A136" t="s">
        <v>252</v>
      </c>
      <c r="B136" t="s">
        <v>37</v>
      </c>
      <c r="C136" t="s">
        <v>21</v>
      </c>
      <c r="D136" t="s">
        <v>14</v>
      </c>
      <c r="E136" s="16">
        <v>45725</v>
      </c>
      <c r="F136">
        <v>77</v>
      </c>
      <c r="G136" t="s">
        <v>118</v>
      </c>
      <c r="H136">
        <v>219</v>
      </c>
      <c r="I136">
        <v>180</v>
      </c>
      <c r="J136">
        <v>1408860</v>
      </c>
      <c r="K136">
        <v>67517</v>
      </c>
      <c r="L136" t="e">
        <f>[1]!Table1[[#This Row],[Revenue]]-[1]!Table1[[#This Row],[OperationalCost]]</f>
        <v>#REF!</v>
      </c>
      <c r="M136" t="str">
        <f t="shared" si="2"/>
        <v>Mar</v>
      </c>
      <c r="N136" s="15">
        <f>Table11[[#This Row],[SeatsSold]]/Table11[[#This Row],[SeatsAvailable]]</f>
        <v>0.82191780821917804</v>
      </c>
      <c r="O136" s="10"/>
    </row>
    <row r="137" spans="1:15" x14ac:dyDescent="0.3">
      <c r="A137" t="s">
        <v>253</v>
      </c>
      <c r="B137" t="s">
        <v>88</v>
      </c>
      <c r="C137" t="s">
        <v>11</v>
      </c>
      <c r="D137" t="s">
        <v>19</v>
      </c>
      <c r="E137" s="16">
        <v>46122</v>
      </c>
      <c r="F137">
        <v>174</v>
      </c>
      <c r="G137" t="s">
        <v>116</v>
      </c>
      <c r="H137">
        <v>180</v>
      </c>
      <c r="I137">
        <v>65</v>
      </c>
      <c r="J137">
        <v>284310</v>
      </c>
      <c r="K137">
        <v>94218</v>
      </c>
      <c r="L137" t="e">
        <f>[1]!Table1[[#This Row],[Revenue]]-[1]!Table1[[#This Row],[OperationalCost]]</f>
        <v>#REF!</v>
      </c>
      <c r="M137" t="str">
        <f t="shared" si="2"/>
        <v>Apr</v>
      </c>
      <c r="N137" s="15">
        <f>Table11[[#This Row],[SeatsSold]]/Table11[[#This Row],[SeatsAvailable]]</f>
        <v>0.3611111111111111</v>
      </c>
      <c r="O137" s="10"/>
    </row>
    <row r="138" spans="1:15" x14ac:dyDescent="0.3">
      <c r="A138" t="s">
        <v>254</v>
      </c>
      <c r="B138" t="s">
        <v>83</v>
      </c>
      <c r="C138" t="s">
        <v>11</v>
      </c>
      <c r="D138" t="s">
        <v>9</v>
      </c>
      <c r="E138" s="16">
        <v>46098</v>
      </c>
      <c r="F138">
        <v>160</v>
      </c>
      <c r="G138" t="s">
        <v>113</v>
      </c>
      <c r="H138">
        <v>175</v>
      </c>
      <c r="I138">
        <v>126</v>
      </c>
      <c r="J138">
        <v>1251180</v>
      </c>
      <c r="K138">
        <v>68070</v>
      </c>
      <c r="L138" t="e">
        <f>[1]!Table1[[#This Row],[Revenue]]-[1]!Table1[[#This Row],[OperationalCost]]</f>
        <v>#REF!</v>
      </c>
      <c r="M138" t="str">
        <f t="shared" si="2"/>
        <v>Mar</v>
      </c>
      <c r="N138" s="15">
        <f>Table11[[#This Row],[SeatsSold]]/Table11[[#This Row],[SeatsAvailable]]</f>
        <v>0.72</v>
      </c>
      <c r="O138" s="10"/>
    </row>
    <row r="139" spans="1:15" x14ac:dyDescent="0.3">
      <c r="A139" t="s">
        <v>255</v>
      </c>
      <c r="B139" t="s">
        <v>56</v>
      </c>
      <c r="C139" t="s">
        <v>3</v>
      </c>
      <c r="D139" t="s">
        <v>17</v>
      </c>
      <c r="E139" s="16">
        <v>46095</v>
      </c>
      <c r="F139">
        <v>125</v>
      </c>
      <c r="G139" t="s">
        <v>118</v>
      </c>
      <c r="H139">
        <v>165</v>
      </c>
      <c r="I139">
        <v>162</v>
      </c>
      <c r="J139">
        <v>810000</v>
      </c>
      <c r="K139">
        <v>70040</v>
      </c>
      <c r="L139" t="e">
        <f>[1]!Table1[[#This Row],[Revenue]]-[1]!Table1[[#This Row],[OperationalCost]]</f>
        <v>#REF!</v>
      </c>
      <c r="M139" t="str">
        <f t="shared" si="2"/>
        <v>Mar</v>
      </c>
      <c r="N139" s="15">
        <f>Table11[[#This Row],[SeatsSold]]/Table11[[#This Row],[SeatsAvailable]]</f>
        <v>0.98181818181818181</v>
      </c>
      <c r="O139" s="10"/>
    </row>
    <row r="140" spans="1:15" x14ac:dyDescent="0.3">
      <c r="A140" t="s">
        <v>256</v>
      </c>
      <c r="B140" t="s">
        <v>95</v>
      </c>
      <c r="C140" t="s">
        <v>3</v>
      </c>
      <c r="D140" t="s">
        <v>14</v>
      </c>
      <c r="E140" s="16">
        <v>45745</v>
      </c>
      <c r="F140">
        <v>68</v>
      </c>
      <c r="G140" t="s">
        <v>120</v>
      </c>
      <c r="H140">
        <v>94</v>
      </c>
      <c r="I140">
        <v>87</v>
      </c>
      <c r="J140">
        <v>748635</v>
      </c>
      <c r="K140">
        <v>31272</v>
      </c>
      <c r="L140" t="e">
        <f>[1]!Table1[[#This Row],[Revenue]]-[1]!Table1[[#This Row],[OperationalCost]]</f>
        <v>#REF!</v>
      </c>
      <c r="M140" t="str">
        <f t="shared" si="2"/>
        <v>Mar</v>
      </c>
      <c r="N140" s="15">
        <f>Table11[[#This Row],[SeatsSold]]/Table11[[#This Row],[SeatsAvailable]]</f>
        <v>0.92553191489361697</v>
      </c>
      <c r="O140" s="10"/>
    </row>
    <row r="141" spans="1:15" x14ac:dyDescent="0.3">
      <c r="A141" t="s">
        <v>257</v>
      </c>
      <c r="B141" t="s">
        <v>80</v>
      </c>
      <c r="C141" t="s">
        <v>20</v>
      </c>
      <c r="D141" t="s">
        <v>15</v>
      </c>
      <c r="E141" s="16">
        <v>46233</v>
      </c>
      <c r="F141">
        <v>129</v>
      </c>
      <c r="G141" t="s">
        <v>122</v>
      </c>
      <c r="H141">
        <v>175</v>
      </c>
      <c r="I141">
        <v>130</v>
      </c>
      <c r="J141">
        <v>1225770</v>
      </c>
      <c r="K141">
        <v>43932</v>
      </c>
      <c r="L141" t="e">
        <f>[1]!Table1[[#This Row],[Revenue]]-[1]!Table1[[#This Row],[OperationalCost]]</f>
        <v>#REF!</v>
      </c>
      <c r="M141" t="str">
        <f t="shared" si="2"/>
        <v>Jul</v>
      </c>
      <c r="N141" s="15">
        <f>Table11[[#This Row],[SeatsSold]]/Table11[[#This Row],[SeatsAvailable]]</f>
        <v>0.74285714285714288</v>
      </c>
      <c r="O141" s="10"/>
    </row>
    <row r="142" spans="1:15" x14ac:dyDescent="0.3">
      <c r="A142" t="s">
        <v>258</v>
      </c>
      <c r="B142" t="s">
        <v>91</v>
      </c>
      <c r="C142" t="s">
        <v>15</v>
      </c>
      <c r="D142" t="s">
        <v>19</v>
      </c>
      <c r="E142" s="16">
        <v>46018</v>
      </c>
      <c r="F142">
        <v>71</v>
      </c>
      <c r="G142" t="s">
        <v>116</v>
      </c>
      <c r="H142">
        <v>199</v>
      </c>
      <c r="I142">
        <v>94</v>
      </c>
      <c r="J142">
        <v>473290</v>
      </c>
      <c r="K142">
        <v>60845</v>
      </c>
      <c r="L142" t="e">
        <f>[1]!Table1[[#This Row],[Revenue]]-[1]!Table1[[#This Row],[OperationalCost]]</f>
        <v>#REF!</v>
      </c>
      <c r="M142" t="str">
        <f t="shared" si="2"/>
        <v>Dec</v>
      </c>
      <c r="N142" s="15">
        <f>Table11[[#This Row],[SeatsSold]]/Table11[[#This Row],[SeatsAvailable]]</f>
        <v>0.47236180904522612</v>
      </c>
      <c r="O142" s="10"/>
    </row>
    <row r="143" spans="1:15" x14ac:dyDescent="0.3">
      <c r="A143" t="s">
        <v>259</v>
      </c>
      <c r="B143" t="s">
        <v>7</v>
      </c>
      <c r="C143" t="s">
        <v>9</v>
      </c>
      <c r="D143" t="s">
        <v>3</v>
      </c>
      <c r="E143" s="16">
        <v>46016</v>
      </c>
      <c r="F143">
        <v>187</v>
      </c>
      <c r="G143" t="s">
        <v>118</v>
      </c>
      <c r="H143">
        <v>99</v>
      </c>
      <c r="I143">
        <v>88</v>
      </c>
      <c r="J143">
        <v>621632</v>
      </c>
      <c r="K143">
        <v>63305</v>
      </c>
      <c r="L143" t="e">
        <f>[1]!Table1[[#This Row],[Revenue]]-[1]!Table1[[#This Row],[OperationalCost]]</f>
        <v>#REF!</v>
      </c>
      <c r="M143" t="str">
        <f t="shared" si="2"/>
        <v>Dec</v>
      </c>
      <c r="N143" s="15">
        <f>Table11[[#This Row],[SeatsSold]]/Table11[[#This Row],[SeatsAvailable]]</f>
        <v>0.88888888888888884</v>
      </c>
      <c r="O143" s="10"/>
    </row>
    <row r="144" spans="1:15" x14ac:dyDescent="0.3">
      <c r="A144" t="s">
        <v>260</v>
      </c>
      <c r="B144" t="s">
        <v>106</v>
      </c>
      <c r="C144" t="s">
        <v>17</v>
      </c>
      <c r="D144" t="s">
        <v>15</v>
      </c>
      <c r="E144" s="16">
        <v>46294</v>
      </c>
      <c r="F144">
        <v>202</v>
      </c>
      <c r="G144" t="s">
        <v>116</v>
      </c>
      <c r="H144">
        <v>76</v>
      </c>
      <c r="I144">
        <v>57</v>
      </c>
      <c r="J144">
        <v>169518</v>
      </c>
      <c r="K144">
        <v>44856</v>
      </c>
      <c r="L144" t="e">
        <f>[1]!Table1[[#This Row],[Revenue]]-[1]!Table1[[#This Row],[OperationalCost]]</f>
        <v>#REF!</v>
      </c>
      <c r="M144" t="str">
        <f t="shared" si="2"/>
        <v>Sep</v>
      </c>
      <c r="N144" s="15">
        <f>Table11[[#This Row],[SeatsSold]]/Table11[[#This Row],[SeatsAvailable]]</f>
        <v>0.75</v>
      </c>
      <c r="O144" s="10"/>
    </row>
    <row r="145" spans="1:15" x14ac:dyDescent="0.3">
      <c r="A145" t="s">
        <v>261</v>
      </c>
      <c r="B145" t="s">
        <v>73</v>
      </c>
      <c r="C145" t="s">
        <v>19</v>
      </c>
      <c r="D145" t="s">
        <v>17</v>
      </c>
      <c r="E145" s="16">
        <v>46017</v>
      </c>
      <c r="F145">
        <v>46</v>
      </c>
      <c r="G145" t="s">
        <v>113</v>
      </c>
      <c r="H145">
        <v>106</v>
      </c>
      <c r="I145">
        <v>91</v>
      </c>
      <c r="J145">
        <v>331240</v>
      </c>
      <c r="K145">
        <v>32828</v>
      </c>
      <c r="L145" t="e">
        <f>[1]!Table1[[#This Row],[Revenue]]-[1]!Table1[[#This Row],[OperationalCost]]</f>
        <v>#REF!</v>
      </c>
      <c r="M145" t="str">
        <f t="shared" si="2"/>
        <v>Dec</v>
      </c>
      <c r="N145" s="15">
        <f>Table11[[#This Row],[SeatsSold]]/Table11[[#This Row],[SeatsAvailable]]</f>
        <v>0.85849056603773588</v>
      </c>
      <c r="O145" s="10"/>
    </row>
    <row r="146" spans="1:15" x14ac:dyDescent="0.3">
      <c r="A146" t="s">
        <v>262</v>
      </c>
      <c r="B146" t="s">
        <v>71</v>
      </c>
      <c r="C146" t="s">
        <v>20</v>
      </c>
      <c r="D146" t="s">
        <v>14</v>
      </c>
      <c r="E146" s="16">
        <v>46201</v>
      </c>
      <c r="F146">
        <v>100</v>
      </c>
      <c r="G146" t="s">
        <v>120</v>
      </c>
      <c r="H146">
        <v>177</v>
      </c>
      <c r="I146">
        <v>156</v>
      </c>
      <c r="J146">
        <v>1261260</v>
      </c>
      <c r="K146">
        <v>46798</v>
      </c>
      <c r="L146" t="e">
        <f>[1]!Table1[[#This Row],[Revenue]]-[1]!Table1[[#This Row],[OperationalCost]]</f>
        <v>#REF!</v>
      </c>
      <c r="M146" t="str">
        <f t="shared" si="2"/>
        <v>Jun</v>
      </c>
      <c r="N146" s="15">
        <f>Table11[[#This Row],[SeatsSold]]/Table11[[#This Row],[SeatsAvailable]]</f>
        <v>0.88135593220338981</v>
      </c>
      <c r="O146" s="10"/>
    </row>
    <row r="147" spans="1:15" x14ac:dyDescent="0.3">
      <c r="A147" t="s">
        <v>263</v>
      </c>
      <c r="B147" t="s">
        <v>73</v>
      </c>
      <c r="C147" t="s">
        <v>19</v>
      </c>
      <c r="D147" t="s">
        <v>17</v>
      </c>
      <c r="E147" s="16">
        <v>46239</v>
      </c>
      <c r="F147">
        <v>197</v>
      </c>
      <c r="G147" t="s">
        <v>122</v>
      </c>
      <c r="H147">
        <v>83</v>
      </c>
      <c r="I147">
        <v>49</v>
      </c>
      <c r="J147">
        <v>248871</v>
      </c>
      <c r="K147">
        <v>62402</v>
      </c>
      <c r="L147" t="e">
        <f>[1]!Table1[[#This Row],[Revenue]]-[1]!Table1[[#This Row],[OperationalCost]]</f>
        <v>#REF!</v>
      </c>
      <c r="M147" t="str">
        <f t="shared" si="2"/>
        <v>Aug</v>
      </c>
      <c r="N147" s="15">
        <f>Table11[[#This Row],[SeatsSold]]/Table11[[#This Row],[SeatsAvailable]]</f>
        <v>0.59036144578313254</v>
      </c>
      <c r="O147" s="10"/>
    </row>
    <row r="148" spans="1:15" x14ac:dyDescent="0.3">
      <c r="A148" t="s">
        <v>264</v>
      </c>
      <c r="B148" t="s">
        <v>96</v>
      </c>
      <c r="C148" t="s">
        <v>3</v>
      </c>
      <c r="D148" t="s">
        <v>21</v>
      </c>
      <c r="E148" s="16">
        <v>46111</v>
      </c>
      <c r="F148">
        <v>214</v>
      </c>
      <c r="G148" t="s">
        <v>120</v>
      </c>
      <c r="H148">
        <v>194</v>
      </c>
      <c r="I148">
        <v>153</v>
      </c>
      <c r="J148">
        <v>1420605</v>
      </c>
      <c r="K148">
        <v>66636</v>
      </c>
      <c r="L148" t="e">
        <f>[1]!Table1[[#This Row],[Revenue]]-[1]!Table1[[#This Row],[OperationalCost]]</f>
        <v>#REF!</v>
      </c>
      <c r="M148" t="str">
        <f t="shared" si="2"/>
        <v>Mar</v>
      </c>
      <c r="N148" s="15">
        <f>Table11[[#This Row],[SeatsSold]]/Table11[[#This Row],[SeatsAvailable]]</f>
        <v>0.78865979381443296</v>
      </c>
      <c r="O148" s="10"/>
    </row>
    <row r="149" spans="1:15" x14ac:dyDescent="0.3">
      <c r="A149" t="s">
        <v>265</v>
      </c>
      <c r="B149" t="s">
        <v>75</v>
      </c>
      <c r="C149" t="s">
        <v>11</v>
      </c>
      <c r="D149" t="s">
        <v>3</v>
      </c>
      <c r="E149" s="16">
        <v>46011</v>
      </c>
      <c r="F149">
        <v>155</v>
      </c>
      <c r="G149" t="s">
        <v>122</v>
      </c>
      <c r="H149">
        <v>142</v>
      </c>
      <c r="I149">
        <v>126</v>
      </c>
      <c r="J149">
        <v>1319472</v>
      </c>
      <c r="K149">
        <v>74870</v>
      </c>
      <c r="L149" t="e">
        <f>[1]!Table1[[#This Row],[Revenue]]-[1]!Table1[[#This Row],[OperationalCost]]</f>
        <v>#REF!</v>
      </c>
      <c r="M149" t="str">
        <f t="shared" si="2"/>
        <v>Dec</v>
      </c>
      <c r="N149" s="15">
        <f>Table11[[#This Row],[SeatsSold]]/Table11[[#This Row],[SeatsAvailable]]</f>
        <v>0.88732394366197187</v>
      </c>
      <c r="O149" s="10"/>
    </row>
    <row r="150" spans="1:15" x14ac:dyDescent="0.3">
      <c r="A150" t="s">
        <v>266</v>
      </c>
      <c r="B150" t="s">
        <v>100</v>
      </c>
      <c r="C150" t="s">
        <v>19</v>
      </c>
      <c r="D150" t="s">
        <v>20</v>
      </c>
      <c r="E150" s="16">
        <v>45883</v>
      </c>
      <c r="F150">
        <v>146</v>
      </c>
      <c r="G150" t="s">
        <v>116</v>
      </c>
      <c r="H150">
        <v>84</v>
      </c>
      <c r="I150">
        <v>40</v>
      </c>
      <c r="J150">
        <v>233960</v>
      </c>
      <c r="K150">
        <v>40018</v>
      </c>
      <c r="L150" t="e">
        <f>[1]!Table1[[#This Row],[Revenue]]-[1]!Table1[[#This Row],[OperationalCost]]</f>
        <v>#REF!</v>
      </c>
      <c r="M150" t="str">
        <f t="shared" si="2"/>
        <v>Aug</v>
      </c>
      <c r="N150" s="15">
        <f>Table11[[#This Row],[SeatsSold]]/Table11[[#This Row],[SeatsAvailable]]</f>
        <v>0.47619047619047616</v>
      </c>
      <c r="O150" s="10"/>
    </row>
    <row r="151" spans="1:15" x14ac:dyDescent="0.3">
      <c r="A151" t="s">
        <v>267</v>
      </c>
      <c r="B151" t="s">
        <v>44</v>
      </c>
      <c r="C151" t="s">
        <v>14</v>
      </c>
      <c r="D151" t="s">
        <v>21</v>
      </c>
      <c r="E151" s="16">
        <v>45954</v>
      </c>
      <c r="F151">
        <v>128</v>
      </c>
      <c r="G151" t="s">
        <v>122</v>
      </c>
      <c r="H151">
        <v>71</v>
      </c>
      <c r="I151">
        <v>71</v>
      </c>
      <c r="J151">
        <v>678405</v>
      </c>
      <c r="K151">
        <v>29015</v>
      </c>
      <c r="L151" t="e">
        <f>[1]!Table1[[#This Row],[Revenue]]-[1]!Table1[[#This Row],[OperationalCost]]</f>
        <v>#REF!</v>
      </c>
      <c r="M151" t="str">
        <f t="shared" si="2"/>
        <v>Oct</v>
      </c>
      <c r="N151" s="15">
        <f>Table11[[#This Row],[SeatsSold]]/Table11[[#This Row],[SeatsAvailable]]</f>
        <v>1</v>
      </c>
      <c r="O151" s="10"/>
    </row>
    <row r="152" spans="1:15" x14ac:dyDescent="0.3">
      <c r="A152" t="s">
        <v>268</v>
      </c>
      <c r="B152" t="s">
        <v>106</v>
      </c>
      <c r="C152" t="s">
        <v>17</v>
      </c>
      <c r="D152" t="s">
        <v>15</v>
      </c>
      <c r="E152" s="16">
        <v>46378</v>
      </c>
      <c r="F152">
        <v>103</v>
      </c>
      <c r="G152" t="s">
        <v>116</v>
      </c>
      <c r="H152">
        <v>213</v>
      </c>
      <c r="I152">
        <v>211</v>
      </c>
      <c r="J152">
        <v>1751722</v>
      </c>
      <c r="K152">
        <v>52767</v>
      </c>
      <c r="L152" t="e">
        <f>[1]!Table1[[#This Row],[Revenue]]-[1]!Table1[[#This Row],[OperationalCost]]</f>
        <v>#REF!</v>
      </c>
      <c r="M152" t="str">
        <f t="shared" si="2"/>
        <v>Dec</v>
      </c>
      <c r="N152" s="15">
        <f>Table11[[#This Row],[SeatsSold]]/Table11[[#This Row],[SeatsAvailable]]</f>
        <v>0.99061032863849763</v>
      </c>
      <c r="O152" s="10"/>
    </row>
    <row r="153" spans="1:15" x14ac:dyDescent="0.3">
      <c r="A153" t="s">
        <v>269</v>
      </c>
      <c r="B153" t="s">
        <v>85</v>
      </c>
      <c r="C153" t="s">
        <v>20</v>
      </c>
      <c r="D153" t="s">
        <v>6</v>
      </c>
      <c r="E153" s="16">
        <v>45677</v>
      </c>
      <c r="F153">
        <v>162</v>
      </c>
      <c r="G153" t="s">
        <v>122</v>
      </c>
      <c r="H153">
        <v>150</v>
      </c>
      <c r="I153">
        <v>113</v>
      </c>
      <c r="J153">
        <v>1077229</v>
      </c>
      <c r="K153">
        <v>70542</v>
      </c>
      <c r="L153" t="e">
        <f>[1]!Table1[[#This Row],[Revenue]]-[1]!Table1[[#This Row],[OperationalCost]]</f>
        <v>#REF!</v>
      </c>
      <c r="M153" t="str">
        <f t="shared" si="2"/>
        <v>Jan</v>
      </c>
      <c r="N153" s="15">
        <f>Table11[[#This Row],[SeatsSold]]/Table11[[#This Row],[SeatsAvailable]]</f>
        <v>0.7533333333333333</v>
      </c>
      <c r="O153" s="10"/>
    </row>
    <row r="154" spans="1:15" x14ac:dyDescent="0.3">
      <c r="A154" t="s">
        <v>270</v>
      </c>
      <c r="B154" t="s">
        <v>107</v>
      </c>
      <c r="C154" t="s">
        <v>17</v>
      </c>
      <c r="D154" t="s">
        <v>19</v>
      </c>
      <c r="E154" s="16">
        <v>45775</v>
      </c>
      <c r="F154">
        <v>148</v>
      </c>
      <c r="G154" t="s">
        <v>122</v>
      </c>
      <c r="H154">
        <v>153</v>
      </c>
      <c r="I154">
        <v>61</v>
      </c>
      <c r="J154">
        <v>612318</v>
      </c>
      <c r="K154">
        <v>70124</v>
      </c>
      <c r="L154" t="e">
        <f>[1]!Table1[[#This Row],[Revenue]]-[1]!Table1[[#This Row],[OperationalCost]]</f>
        <v>#REF!</v>
      </c>
      <c r="M154" t="str">
        <f t="shared" si="2"/>
        <v>Apr</v>
      </c>
      <c r="N154" s="15">
        <f>Table11[[#This Row],[SeatsSold]]/Table11[[#This Row],[SeatsAvailable]]</f>
        <v>0.39869281045751637</v>
      </c>
      <c r="O154" s="10"/>
    </row>
    <row r="155" spans="1:15" x14ac:dyDescent="0.3">
      <c r="A155" t="s">
        <v>271</v>
      </c>
      <c r="B155" t="s">
        <v>48</v>
      </c>
      <c r="C155" t="s">
        <v>3</v>
      </c>
      <c r="D155" t="s">
        <v>6</v>
      </c>
      <c r="E155" s="16">
        <v>45766</v>
      </c>
      <c r="F155">
        <v>107</v>
      </c>
      <c r="G155" t="s">
        <v>120</v>
      </c>
      <c r="H155">
        <v>220</v>
      </c>
      <c r="I155">
        <v>142</v>
      </c>
      <c r="J155">
        <v>1573928</v>
      </c>
      <c r="K155">
        <v>54800</v>
      </c>
      <c r="L155" t="e">
        <f>[1]!Table1[[#This Row],[Revenue]]-[1]!Table1[[#This Row],[OperationalCost]]</f>
        <v>#REF!</v>
      </c>
      <c r="M155" t="str">
        <f t="shared" si="2"/>
        <v>Apr</v>
      </c>
      <c r="N155" s="15">
        <f>Table11[[#This Row],[SeatsSold]]/Table11[[#This Row],[SeatsAvailable]]</f>
        <v>0.6454545454545455</v>
      </c>
      <c r="O155" s="10"/>
    </row>
    <row r="156" spans="1:15" x14ac:dyDescent="0.3">
      <c r="A156" t="s">
        <v>272</v>
      </c>
      <c r="B156" t="s">
        <v>73</v>
      </c>
      <c r="C156" t="s">
        <v>19</v>
      </c>
      <c r="D156" t="s">
        <v>17</v>
      </c>
      <c r="E156" s="16">
        <v>45884</v>
      </c>
      <c r="F156">
        <v>130</v>
      </c>
      <c r="G156" t="s">
        <v>113</v>
      </c>
      <c r="H156">
        <v>89</v>
      </c>
      <c r="I156">
        <v>72</v>
      </c>
      <c r="J156">
        <v>314496</v>
      </c>
      <c r="K156">
        <v>51840</v>
      </c>
      <c r="L156" t="e">
        <f>[1]!Table1[[#This Row],[Revenue]]-[1]!Table1[[#This Row],[OperationalCost]]</f>
        <v>#REF!</v>
      </c>
      <c r="M156" t="str">
        <f t="shared" si="2"/>
        <v>Aug</v>
      </c>
      <c r="N156" s="15">
        <f>Table11[[#This Row],[SeatsSold]]/Table11[[#This Row],[SeatsAvailable]]</f>
        <v>0.8089887640449438</v>
      </c>
      <c r="O156" s="10"/>
    </row>
    <row r="157" spans="1:15" x14ac:dyDescent="0.3">
      <c r="A157" t="s">
        <v>273</v>
      </c>
      <c r="B157" t="s">
        <v>43</v>
      </c>
      <c r="C157" t="s">
        <v>9</v>
      </c>
      <c r="D157" t="s">
        <v>17</v>
      </c>
      <c r="E157" s="16">
        <v>46017</v>
      </c>
      <c r="F157">
        <v>231</v>
      </c>
      <c r="G157" t="s">
        <v>113</v>
      </c>
      <c r="H157">
        <v>130</v>
      </c>
      <c r="I157">
        <v>53</v>
      </c>
      <c r="J157">
        <v>259647</v>
      </c>
      <c r="K157">
        <v>59635</v>
      </c>
      <c r="L157" t="e">
        <f>[1]!Table1[[#This Row],[Revenue]]-[1]!Table1[[#This Row],[OperationalCost]]</f>
        <v>#REF!</v>
      </c>
      <c r="M157" t="str">
        <f t="shared" si="2"/>
        <v>Dec</v>
      </c>
      <c r="N157" s="15">
        <f>Table11[[#This Row],[SeatsSold]]/Table11[[#This Row],[SeatsAvailable]]</f>
        <v>0.40769230769230769</v>
      </c>
      <c r="O157" s="10"/>
    </row>
    <row r="158" spans="1:15" x14ac:dyDescent="0.3">
      <c r="A158" t="s">
        <v>274</v>
      </c>
      <c r="B158" t="s">
        <v>34</v>
      </c>
      <c r="C158" t="s">
        <v>14</v>
      </c>
      <c r="D158" t="s">
        <v>9</v>
      </c>
      <c r="E158" s="16">
        <v>46329</v>
      </c>
      <c r="F158">
        <v>64</v>
      </c>
      <c r="G158" t="s">
        <v>113</v>
      </c>
      <c r="H158">
        <v>196</v>
      </c>
      <c r="I158">
        <v>158</v>
      </c>
      <c r="J158">
        <v>1854288</v>
      </c>
      <c r="K158">
        <v>55176</v>
      </c>
      <c r="L158" t="e">
        <f>[1]!Table1[[#This Row],[Revenue]]-[1]!Table1[[#This Row],[OperationalCost]]</f>
        <v>#REF!</v>
      </c>
      <c r="M158" t="str">
        <f t="shared" si="2"/>
        <v>Nov</v>
      </c>
      <c r="N158" s="15">
        <f>Table11[[#This Row],[SeatsSold]]/Table11[[#This Row],[SeatsAvailable]]</f>
        <v>0.80612244897959184</v>
      </c>
      <c r="O158" s="10"/>
    </row>
    <row r="159" spans="1:15" x14ac:dyDescent="0.3">
      <c r="A159" t="s">
        <v>275</v>
      </c>
      <c r="B159" t="s">
        <v>45</v>
      </c>
      <c r="C159" t="s">
        <v>15</v>
      </c>
      <c r="D159" t="s">
        <v>21</v>
      </c>
      <c r="E159" s="16">
        <v>46300</v>
      </c>
      <c r="F159">
        <v>125</v>
      </c>
      <c r="G159" t="s">
        <v>113</v>
      </c>
      <c r="H159">
        <v>182</v>
      </c>
      <c r="I159">
        <v>57</v>
      </c>
      <c r="J159">
        <v>580374</v>
      </c>
      <c r="K159">
        <v>72987</v>
      </c>
      <c r="L159" t="e">
        <f>[1]!Table1[[#This Row],[Revenue]]-[1]!Table1[[#This Row],[OperationalCost]]</f>
        <v>#REF!</v>
      </c>
      <c r="M159" t="str">
        <f t="shared" si="2"/>
        <v>Oct</v>
      </c>
      <c r="N159" s="15">
        <f>Table11[[#This Row],[SeatsSold]]/Table11[[#This Row],[SeatsAvailable]]</f>
        <v>0.31318681318681318</v>
      </c>
      <c r="O159" s="10"/>
    </row>
    <row r="160" spans="1:15" x14ac:dyDescent="0.3">
      <c r="A160" t="s">
        <v>276</v>
      </c>
      <c r="B160" t="s">
        <v>109</v>
      </c>
      <c r="C160" t="s">
        <v>19</v>
      </c>
      <c r="D160" t="s">
        <v>21</v>
      </c>
      <c r="E160" s="16">
        <v>46263</v>
      </c>
      <c r="F160">
        <v>59</v>
      </c>
      <c r="G160" t="s">
        <v>118</v>
      </c>
      <c r="H160">
        <v>199</v>
      </c>
      <c r="I160">
        <v>58</v>
      </c>
      <c r="J160">
        <v>439930</v>
      </c>
      <c r="K160">
        <v>52847</v>
      </c>
      <c r="L160" t="e">
        <f>[1]!Table1[[#This Row],[Revenue]]-[1]!Table1[[#This Row],[OperationalCost]]</f>
        <v>#REF!</v>
      </c>
      <c r="M160" t="str">
        <f t="shared" si="2"/>
        <v>Aug</v>
      </c>
      <c r="N160" s="15">
        <f>Table11[[#This Row],[SeatsSold]]/Table11[[#This Row],[SeatsAvailable]]</f>
        <v>0.29145728643216079</v>
      </c>
      <c r="O160" s="10"/>
    </row>
    <row r="161" spans="1:15" x14ac:dyDescent="0.3">
      <c r="A161" t="s">
        <v>277</v>
      </c>
      <c r="B161" t="s">
        <v>31</v>
      </c>
      <c r="C161" t="s">
        <v>20</v>
      </c>
      <c r="D161" t="s">
        <v>3</v>
      </c>
      <c r="E161" s="16">
        <v>46035</v>
      </c>
      <c r="F161">
        <v>118</v>
      </c>
      <c r="G161" t="s">
        <v>122</v>
      </c>
      <c r="H161">
        <v>93</v>
      </c>
      <c r="I161">
        <v>79</v>
      </c>
      <c r="J161">
        <v>853753</v>
      </c>
      <c r="K161">
        <v>44138</v>
      </c>
      <c r="L161" t="e">
        <f>[1]!Table1[[#This Row],[Revenue]]-[1]!Table1[[#This Row],[OperationalCost]]</f>
        <v>#REF!</v>
      </c>
      <c r="M161" t="str">
        <f t="shared" si="2"/>
        <v>Jan</v>
      </c>
      <c r="N161" s="15">
        <f>Table11[[#This Row],[SeatsSold]]/Table11[[#This Row],[SeatsAvailable]]</f>
        <v>0.84946236559139787</v>
      </c>
      <c r="O161" s="10"/>
    </row>
    <row r="162" spans="1:15" x14ac:dyDescent="0.3">
      <c r="A162" t="s">
        <v>278</v>
      </c>
      <c r="B162" t="s">
        <v>110</v>
      </c>
      <c r="C162" t="s">
        <v>15</v>
      </c>
      <c r="D162" t="s">
        <v>11</v>
      </c>
      <c r="E162" s="16">
        <v>45700</v>
      </c>
      <c r="F162">
        <v>160</v>
      </c>
      <c r="G162" t="s">
        <v>116</v>
      </c>
      <c r="H162">
        <v>118</v>
      </c>
      <c r="I162">
        <v>81</v>
      </c>
      <c r="J162">
        <v>833652</v>
      </c>
      <c r="K162">
        <v>53604</v>
      </c>
      <c r="L162" t="e">
        <f>[1]!Table1[[#This Row],[Revenue]]-[1]!Table1[[#This Row],[OperationalCost]]</f>
        <v>#REF!</v>
      </c>
      <c r="M162" t="str">
        <f t="shared" si="2"/>
        <v>Feb</v>
      </c>
      <c r="N162" s="15">
        <f>Table11[[#This Row],[SeatsSold]]/Table11[[#This Row],[SeatsAvailable]]</f>
        <v>0.68644067796610164</v>
      </c>
      <c r="O162" s="10"/>
    </row>
    <row r="163" spans="1:15" x14ac:dyDescent="0.3">
      <c r="A163" t="s">
        <v>279</v>
      </c>
      <c r="B163" t="s">
        <v>78</v>
      </c>
      <c r="C163" t="s">
        <v>20</v>
      </c>
      <c r="D163" t="s">
        <v>11</v>
      </c>
      <c r="E163" s="16">
        <v>45763</v>
      </c>
      <c r="F163">
        <v>132</v>
      </c>
      <c r="G163" t="s">
        <v>122</v>
      </c>
      <c r="H163">
        <v>199</v>
      </c>
      <c r="I163">
        <v>84</v>
      </c>
      <c r="J163">
        <v>263844</v>
      </c>
      <c r="K163">
        <v>62364</v>
      </c>
      <c r="L163" t="e">
        <f>[1]!Table1[[#This Row],[Revenue]]-[1]!Table1[[#This Row],[OperationalCost]]</f>
        <v>#REF!</v>
      </c>
      <c r="M163" t="str">
        <f t="shared" si="2"/>
        <v>Apr</v>
      </c>
      <c r="N163" s="15">
        <f>Table11[[#This Row],[SeatsSold]]/Table11[[#This Row],[SeatsAvailable]]</f>
        <v>0.42211055276381909</v>
      </c>
      <c r="O163" s="10"/>
    </row>
    <row r="164" spans="1:15" x14ac:dyDescent="0.3">
      <c r="A164" t="s">
        <v>280</v>
      </c>
      <c r="B164" t="s">
        <v>97</v>
      </c>
      <c r="C164" t="s">
        <v>6</v>
      </c>
      <c r="D164" t="s">
        <v>15</v>
      </c>
      <c r="E164" s="16">
        <v>46193</v>
      </c>
      <c r="F164">
        <v>201</v>
      </c>
      <c r="G164" t="s">
        <v>113</v>
      </c>
      <c r="H164">
        <v>163</v>
      </c>
      <c r="I164">
        <v>87</v>
      </c>
      <c r="J164">
        <v>620658</v>
      </c>
      <c r="K164">
        <v>74011</v>
      </c>
      <c r="L164" t="e">
        <f>[1]!Table1[[#This Row],[Revenue]]-[1]!Table1[[#This Row],[OperationalCost]]</f>
        <v>#REF!</v>
      </c>
      <c r="M164" t="str">
        <f t="shared" si="2"/>
        <v>Jun</v>
      </c>
      <c r="N164" s="15">
        <f>Table11[[#This Row],[SeatsSold]]/Table11[[#This Row],[SeatsAvailable]]</f>
        <v>0.53374233128834359</v>
      </c>
      <c r="O164" s="10"/>
    </row>
    <row r="165" spans="1:15" x14ac:dyDescent="0.3">
      <c r="A165" t="s">
        <v>281</v>
      </c>
      <c r="B165" t="s">
        <v>69</v>
      </c>
      <c r="C165" t="s">
        <v>21</v>
      </c>
      <c r="D165" t="s">
        <v>20</v>
      </c>
      <c r="E165" s="16">
        <v>46304</v>
      </c>
      <c r="F165">
        <v>210</v>
      </c>
      <c r="G165" t="s">
        <v>118</v>
      </c>
      <c r="H165">
        <v>86</v>
      </c>
      <c r="I165">
        <v>61</v>
      </c>
      <c r="J165">
        <v>246928</v>
      </c>
      <c r="K165">
        <v>70328</v>
      </c>
      <c r="L165" t="e">
        <f>[1]!Table1[[#This Row],[Revenue]]-[1]!Table1[[#This Row],[OperationalCost]]</f>
        <v>#REF!</v>
      </c>
      <c r="M165" t="str">
        <f t="shared" si="2"/>
        <v>Oct</v>
      </c>
      <c r="N165" s="15">
        <f>Table11[[#This Row],[SeatsSold]]/Table11[[#This Row],[SeatsAvailable]]</f>
        <v>0.70930232558139539</v>
      </c>
      <c r="O165" s="10"/>
    </row>
    <row r="166" spans="1:15" x14ac:dyDescent="0.3">
      <c r="A166" t="s">
        <v>282</v>
      </c>
      <c r="B166" t="s">
        <v>109</v>
      </c>
      <c r="C166" t="s">
        <v>19</v>
      </c>
      <c r="D166" t="s">
        <v>21</v>
      </c>
      <c r="E166" s="16">
        <v>46330</v>
      </c>
      <c r="F166">
        <v>199</v>
      </c>
      <c r="G166" t="s">
        <v>113</v>
      </c>
      <c r="H166">
        <v>155</v>
      </c>
      <c r="I166">
        <v>50</v>
      </c>
      <c r="J166">
        <v>240850</v>
      </c>
      <c r="K166">
        <v>66236</v>
      </c>
      <c r="L166" t="e">
        <f>[1]!Table1[[#This Row],[Revenue]]-[1]!Table1[[#This Row],[OperationalCost]]</f>
        <v>#REF!</v>
      </c>
      <c r="M166" t="str">
        <f t="shared" si="2"/>
        <v>Nov</v>
      </c>
      <c r="N166" s="15">
        <f>Table11[[#This Row],[SeatsSold]]/Table11[[#This Row],[SeatsAvailable]]</f>
        <v>0.32258064516129031</v>
      </c>
      <c r="O166" s="10"/>
    </row>
    <row r="167" spans="1:15" x14ac:dyDescent="0.3">
      <c r="A167" t="s">
        <v>283</v>
      </c>
      <c r="B167" t="s">
        <v>10</v>
      </c>
      <c r="C167" t="s">
        <v>17</v>
      </c>
      <c r="D167" t="s">
        <v>14</v>
      </c>
      <c r="E167" s="16">
        <v>46267</v>
      </c>
      <c r="F167">
        <v>226</v>
      </c>
      <c r="G167" t="s">
        <v>122</v>
      </c>
      <c r="H167">
        <v>149</v>
      </c>
      <c r="I167">
        <v>111</v>
      </c>
      <c r="J167">
        <v>962481</v>
      </c>
      <c r="K167">
        <v>88620</v>
      </c>
      <c r="L167" t="e">
        <f>[1]!Table1[[#This Row],[Revenue]]-[1]!Table1[[#This Row],[OperationalCost]]</f>
        <v>#REF!</v>
      </c>
      <c r="M167" t="str">
        <f t="shared" si="2"/>
        <v>Sep</v>
      </c>
      <c r="N167" s="15">
        <f>Table11[[#This Row],[SeatsSold]]/Table11[[#This Row],[SeatsAvailable]]</f>
        <v>0.74496644295302017</v>
      </c>
      <c r="O167" s="10"/>
    </row>
    <row r="168" spans="1:15" x14ac:dyDescent="0.3">
      <c r="A168" t="s">
        <v>284</v>
      </c>
      <c r="B168" t="s">
        <v>42</v>
      </c>
      <c r="C168" t="s">
        <v>14</v>
      </c>
      <c r="D168" t="s">
        <v>15</v>
      </c>
      <c r="E168" s="16">
        <v>45753</v>
      </c>
      <c r="F168">
        <v>210</v>
      </c>
      <c r="G168" t="s">
        <v>120</v>
      </c>
      <c r="H168">
        <v>200</v>
      </c>
      <c r="I168">
        <v>132</v>
      </c>
      <c r="J168">
        <v>369336</v>
      </c>
      <c r="K168">
        <v>76320</v>
      </c>
      <c r="L168" t="e">
        <f>[1]!Table1[[#This Row],[Revenue]]-[1]!Table1[[#This Row],[OperationalCost]]</f>
        <v>#REF!</v>
      </c>
      <c r="M168" t="str">
        <f t="shared" si="2"/>
        <v>Apr</v>
      </c>
      <c r="N168" s="15">
        <f>Table11[[#This Row],[SeatsSold]]/Table11[[#This Row],[SeatsAvailable]]</f>
        <v>0.66</v>
      </c>
      <c r="O168" s="10"/>
    </row>
    <row r="169" spans="1:15" x14ac:dyDescent="0.3">
      <c r="A169" t="s">
        <v>285</v>
      </c>
      <c r="B169" t="s">
        <v>53</v>
      </c>
      <c r="C169" t="s">
        <v>14</v>
      </c>
      <c r="D169" t="s">
        <v>19</v>
      </c>
      <c r="E169" s="16">
        <v>46007</v>
      </c>
      <c r="F169">
        <v>169</v>
      </c>
      <c r="G169" t="s">
        <v>113</v>
      </c>
      <c r="H169">
        <v>127</v>
      </c>
      <c r="I169">
        <v>57</v>
      </c>
      <c r="J169">
        <v>287166</v>
      </c>
      <c r="K169">
        <v>43176</v>
      </c>
      <c r="L169" t="e">
        <f>[1]!Table1[[#This Row],[Revenue]]-[1]!Table1[[#This Row],[OperationalCost]]</f>
        <v>#REF!</v>
      </c>
      <c r="M169" t="str">
        <f t="shared" si="2"/>
        <v>Dec</v>
      </c>
      <c r="N169" s="15">
        <f>Table11[[#This Row],[SeatsSold]]/Table11[[#This Row],[SeatsAvailable]]</f>
        <v>0.44881889763779526</v>
      </c>
      <c r="O169" s="10"/>
    </row>
    <row r="170" spans="1:15" x14ac:dyDescent="0.3">
      <c r="A170" t="s">
        <v>286</v>
      </c>
      <c r="B170" t="s">
        <v>46</v>
      </c>
      <c r="C170" t="s">
        <v>3</v>
      </c>
      <c r="D170" t="s">
        <v>15</v>
      </c>
      <c r="E170" s="16">
        <v>46210</v>
      </c>
      <c r="F170">
        <v>234</v>
      </c>
      <c r="G170" t="s">
        <v>116</v>
      </c>
      <c r="H170">
        <v>79</v>
      </c>
      <c r="I170">
        <v>61</v>
      </c>
      <c r="J170">
        <v>283467</v>
      </c>
      <c r="K170">
        <v>77552</v>
      </c>
      <c r="L170" t="e">
        <f>[1]!Table1[[#This Row],[Revenue]]-[1]!Table1[[#This Row],[OperationalCost]]</f>
        <v>#REF!</v>
      </c>
      <c r="M170" t="str">
        <f t="shared" si="2"/>
        <v>Jul</v>
      </c>
      <c r="N170" s="15">
        <f>Table11[[#This Row],[SeatsSold]]/Table11[[#This Row],[SeatsAvailable]]</f>
        <v>0.77215189873417722</v>
      </c>
      <c r="O170" s="10"/>
    </row>
    <row r="171" spans="1:15" x14ac:dyDescent="0.3">
      <c r="A171" t="s">
        <v>287</v>
      </c>
      <c r="B171" t="s">
        <v>34</v>
      </c>
      <c r="C171" t="s">
        <v>14</v>
      </c>
      <c r="D171" t="s">
        <v>9</v>
      </c>
      <c r="E171" s="16">
        <v>45843</v>
      </c>
      <c r="F171">
        <v>222</v>
      </c>
      <c r="G171" t="s">
        <v>116</v>
      </c>
      <c r="H171">
        <v>112</v>
      </c>
      <c r="I171">
        <v>96</v>
      </c>
      <c r="J171">
        <v>308640</v>
      </c>
      <c r="K171">
        <v>69326</v>
      </c>
      <c r="L171" t="e">
        <f>[1]!Table1[[#This Row],[Revenue]]-[1]!Table1[[#This Row],[OperationalCost]]</f>
        <v>#REF!</v>
      </c>
      <c r="M171" t="str">
        <f t="shared" si="2"/>
        <v>Jul</v>
      </c>
      <c r="N171" s="15">
        <f>Table11[[#This Row],[SeatsSold]]/Table11[[#This Row],[SeatsAvailable]]</f>
        <v>0.8571428571428571</v>
      </c>
      <c r="O171" s="10"/>
    </row>
    <row r="172" spans="1:15" x14ac:dyDescent="0.3">
      <c r="A172" t="s">
        <v>288</v>
      </c>
      <c r="B172" t="s">
        <v>2</v>
      </c>
      <c r="C172" t="s">
        <v>9</v>
      </c>
      <c r="D172" t="s">
        <v>11</v>
      </c>
      <c r="E172" s="16">
        <v>46283</v>
      </c>
      <c r="F172">
        <v>117</v>
      </c>
      <c r="G172" t="s">
        <v>120</v>
      </c>
      <c r="H172">
        <v>129</v>
      </c>
      <c r="I172">
        <v>108</v>
      </c>
      <c r="J172">
        <v>693144</v>
      </c>
      <c r="K172">
        <v>49083</v>
      </c>
      <c r="L172" t="e">
        <f>[1]!Table1[[#This Row],[Revenue]]-[1]!Table1[[#This Row],[OperationalCost]]</f>
        <v>#REF!</v>
      </c>
      <c r="M172" t="str">
        <f t="shared" si="2"/>
        <v>Sep</v>
      </c>
      <c r="N172" s="15">
        <f>Table11[[#This Row],[SeatsSold]]/Table11[[#This Row],[SeatsAvailable]]</f>
        <v>0.83720930232558144</v>
      </c>
      <c r="O172" s="10"/>
    </row>
    <row r="173" spans="1:15" x14ac:dyDescent="0.3">
      <c r="A173" t="s">
        <v>289</v>
      </c>
      <c r="B173" t="s">
        <v>43</v>
      </c>
      <c r="C173" t="s">
        <v>9</v>
      </c>
      <c r="D173" t="s">
        <v>17</v>
      </c>
      <c r="E173" s="16">
        <v>46352</v>
      </c>
      <c r="F173">
        <v>191</v>
      </c>
      <c r="G173" t="s">
        <v>120</v>
      </c>
      <c r="H173">
        <v>188</v>
      </c>
      <c r="I173">
        <v>112</v>
      </c>
      <c r="J173">
        <v>980672</v>
      </c>
      <c r="K173">
        <v>87788</v>
      </c>
      <c r="L173" t="e">
        <f>[1]!Table1[[#This Row],[Revenue]]-[1]!Table1[[#This Row],[OperationalCost]]</f>
        <v>#REF!</v>
      </c>
      <c r="M173" t="str">
        <f t="shared" si="2"/>
        <v>Nov</v>
      </c>
      <c r="N173" s="15">
        <f>Table11[[#This Row],[SeatsSold]]/Table11[[#This Row],[SeatsAvailable]]</f>
        <v>0.5957446808510638</v>
      </c>
      <c r="O173" s="10"/>
    </row>
    <row r="174" spans="1:15" x14ac:dyDescent="0.3">
      <c r="A174" t="s">
        <v>290</v>
      </c>
      <c r="B174" t="s">
        <v>10</v>
      </c>
      <c r="C174" t="s">
        <v>17</v>
      </c>
      <c r="D174" t="s">
        <v>14</v>
      </c>
      <c r="E174" s="16">
        <v>45862</v>
      </c>
      <c r="F174">
        <v>199</v>
      </c>
      <c r="G174" t="s">
        <v>113</v>
      </c>
      <c r="H174">
        <v>134</v>
      </c>
      <c r="I174">
        <v>46</v>
      </c>
      <c r="J174">
        <v>477158</v>
      </c>
      <c r="K174">
        <v>72399</v>
      </c>
      <c r="L174" t="e">
        <f>[1]!Table1[[#This Row],[Revenue]]-[1]!Table1[[#This Row],[OperationalCost]]</f>
        <v>#REF!</v>
      </c>
      <c r="M174" t="str">
        <f t="shared" si="2"/>
        <v>Jul</v>
      </c>
      <c r="N174" s="15">
        <f>Table11[[#This Row],[SeatsSold]]/Table11[[#This Row],[SeatsAvailable]]</f>
        <v>0.34328358208955223</v>
      </c>
      <c r="O174" s="10"/>
    </row>
    <row r="175" spans="1:15" x14ac:dyDescent="0.3">
      <c r="A175" t="s">
        <v>291</v>
      </c>
      <c r="B175" t="s">
        <v>46</v>
      </c>
      <c r="C175" t="s">
        <v>3</v>
      </c>
      <c r="D175" t="s">
        <v>15</v>
      </c>
      <c r="E175" s="16">
        <v>45785</v>
      </c>
      <c r="F175">
        <v>117</v>
      </c>
      <c r="G175" t="s">
        <v>122</v>
      </c>
      <c r="H175">
        <v>111</v>
      </c>
      <c r="I175">
        <v>74</v>
      </c>
      <c r="J175">
        <v>729714</v>
      </c>
      <c r="K175">
        <v>42354</v>
      </c>
      <c r="L175" t="e">
        <f>[1]!Table1[[#This Row],[Revenue]]-[1]!Table1[[#This Row],[OperationalCost]]</f>
        <v>#REF!</v>
      </c>
      <c r="M175" t="str">
        <f t="shared" si="2"/>
        <v>May</v>
      </c>
      <c r="N175" s="15">
        <f>Table11[[#This Row],[SeatsSold]]/Table11[[#This Row],[SeatsAvailable]]</f>
        <v>0.66666666666666663</v>
      </c>
      <c r="O175" s="10"/>
    </row>
    <row r="176" spans="1:15" x14ac:dyDescent="0.3">
      <c r="A176" t="s">
        <v>292</v>
      </c>
      <c r="B176" t="s">
        <v>41</v>
      </c>
      <c r="C176" t="s">
        <v>17</v>
      </c>
      <c r="D176" t="s">
        <v>3</v>
      </c>
      <c r="E176" s="16">
        <v>45885</v>
      </c>
      <c r="F176">
        <v>160</v>
      </c>
      <c r="G176" t="s">
        <v>118</v>
      </c>
      <c r="H176">
        <v>76</v>
      </c>
      <c r="I176">
        <v>66</v>
      </c>
      <c r="J176">
        <v>222552</v>
      </c>
      <c r="K176">
        <v>51168</v>
      </c>
      <c r="L176" t="e">
        <f>[1]!Table1[[#This Row],[Revenue]]-[1]!Table1[[#This Row],[OperationalCost]]</f>
        <v>#REF!</v>
      </c>
      <c r="M176" t="str">
        <f t="shared" si="2"/>
        <v>Aug</v>
      </c>
      <c r="N176" s="15">
        <f>Table11[[#This Row],[SeatsSold]]/Table11[[#This Row],[SeatsAvailable]]</f>
        <v>0.86842105263157898</v>
      </c>
      <c r="O176" s="10"/>
    </row>
    <row r="177" spans="1:15" x14ac:dyDescent="0.3">
      <c r="A177" t="s">
        <v>293</v>
      </c>
      <c r="B177" t="s">
        <v>86</v>
      </c>
      <c r="C177" t="s">
        <v>21</v>
      </c>
      <c r="D177" t="s">
        <v>9</v>
      </c>
      <c r="E177" s="16">
        <v>46053</v>
      </c>
      <c r="F177">
        <v>65</v>
      </c>
      <c r="G177" t="s">
        <v>118</v>
      </c>
      <c r="H177">
        <v>127</v>
      </c>
      <c r="I177">
        <v>43</v>
      </c>
      <c r="J177">
        <v>332003</v>
      </c>
      <c r="K177">
        <v>40667</v>
      </c>
      <c r="L177" t="e">
        <f>[1]!Table1[[#This Row],[Revenue]]-[1]!Table1[[#This Row],[OperationalCost]]</f>
        <v>#REF!</v>
      </c>
      <c r="M177" t="str">
        <f t="shared" si="2"/>
        <v>Jan</v>
      </c>
      <c r="N177" s="15">
        <f>Table11[[#This Row],[SeatsSold]]/Table11[[#This Row],[SeatsAvailable]]</f>
        <v>0.33858267716535434</v>
      </c>
      <c r="O177" s="10"/>
    </row>
    <row r="178" spans="1:15" x14ac:dyDescent="0.3">
      <c r="A178" t="s">
        <v>294</v>
      </c>
      <c r="B178" t="s">
        <v>37</v>
      </c>
      <c r="C178" t="s">
        <v>21</v>
      </c>
      <c r="D178" t="s">
        <v>14</v>
      </c>
      <c r="E178" s="16">
        <v>45798</v>
      </c>
      <c r="F178">
        <v>54</v>
      </c>
      <c r="G178" t="s">
        <v>118</v>
      </c>
      <c r="H178">
        <v>190</v>
      </c>
      <c r="I178">
        <v>75</v>
      </c>
      <c r="J178">
        <v>763875</v>
      </c>
      <c r="K178">
        <v>57666</v>
      </c>
      <c r="L178" t="e">
        <f>[1]!Table1[[#This Row],[Revenue]]-[1]!Table1[[#This Row],[OperationalCost]]</f>
        <v>#REF!</v>
      </c>
      <c r="M178" t="str">
        <f t="shared" si="2"/>
        <v>May</v>
      </c>
      <c r="N178" s="15">
        <f>Table11[[#This Row],[SeatsSold]]/Table11[[#This Row],[SeatsAvailable]]</f>
        <v>0.39473684210526316</v>
      </c>
      <c r="O178" s="10"/>
    </row>
    <row r="179" spans="1:15" x14ac:dyDescent="0.3">
      <c r="A179" t="s">
        <v>295</v>
      </c>
      <c r="B179" t="s">
        <v>71</v>
      </c>
      <c r="C179" t="s">
        <v>20</v>
      </c>
      <c r="D179" t="s">
        <v>14</v>
      </c>
      <c r="E179" s="16">
        <v>45677</v>
      </c>
      <c r="F179">
        <v>110</v>
      </c>
      <c r="G179" t="s">
        <v>113</v>
      </c>
      <c r="H179">
        <v>108</v>
      </c>
      <c r="I179">
        <v>107</v>
      </c>
      <c r="J179">
        <v>1009438</v>
      </c>
      <c r="K179">
        <v>32804</v>
      </c>
      <c r="L179" t="e">
        <f>[1]!Table1[[#This Row],[Revenue]]-[1]!Table1[[#This Row],[OperationalCost]]</f>
        <v>#REF!</v>
      </c>
      <c r="M179" t="str">
        <f t="shared" si="2"/>
        <v>Jan</v>
      </c>
      <c r="N179" s="15">
        <f>Table11[[#This Row],[SeatsSold]]/Table11[[#This Row],[SeatsAvailable]]</f>
        <v>0.9907407407407407</v>
      </c>
      <c r="O179" s="10"/>
    </row>
    <row r="180" spans="1:15" x14ac:dyDescent="0.3">
      <c r="A180" t="s">
        <v>296</v>
      </c>
      <c r="B180" t="s">
        <v>4</v>
      </c>
      <c r="C180" t="s">
        <v>9</v>
      </c>
      <c r="D180" t="s">
        <v>21</v>
      </c>
      <c r="E180" s="16">
        <v>45782</v>
      </c>
      <c r="F180">
        <v>57</v>
      </c>
      <c r="G180" t="s">
        <v>113</v>
      </c>
      <c r="H180">
        <v>177</v>
      </c>
      <c r="I180">
        <v>157</v>
      </c>
      <c r="J180">
        <v>554053</v>
      </c>
      <c r="K180">
        <v>45075</v>
      </c>
      <c r="L180" t="e">
        <f>[1]!Table1[[#This Row],[Revenue]]-[1]!Table1[[#This Row],[OperationalCost]]</f>
        <v>#REF!</v>
      </c>
      <c r="M180" t="str">
        <f t="shared" si="2"/>
        <v>May</v>
      </c>
      <c r="N180" s="15">
        <f>Table11[[#This Row],[SeatsSold]]/Table11[[#This Row],[SeatsAvailable]]</f>
        <v>0.88700564971751417</v>
      </c>
      <c r="O180" s="10"/>
    </row>
    <row r="181" spans="1:15" x14ac:dyDescent="0.3">
      <c r="A181" t="s">
        <v>297</v>
      </c>
      <c r="B181" t="s">
        <v>110</v>
      </c>
      <c r="C181" t="s">
        <v>15</v>
      </c>
      <c r="D181" t="s">
        <v>11</v>
      </c>
      <c r="E181" s="16">
        <v>45674</v>
      </c>
      <c r="F181">
        <v>206</v>
      </c>
      <c r="G181" t="s">
        <v>116</v>
      </c>
      <c r="H181">
        <v>217</v>
      </c>
      <c r="I181">
        <v>101</v>
      </c>
      <c r="J181">
        <v>490052</v>
      </c>
      <c r="K181">
        <v>80977</v>
      </c>
      <c r="L181" t="e">
        <f>[1]!Table1[[#This Row],[Revenue]]-[1]!Table1[[#This Row],[OperationalCost]]</f>
        <v>#REF!</v>
      </c>
      <c r="M181" t="str">
        <f t="shared" si="2"/>
        <v>Jan</v>
      </c>
      <c r="N181" s="15">
        <f>Table11[[#This Row],[SeatsSold]]/Table11[[#This Row],[SeatsAvailable]]</f>
        <v>0.46543778801843316</v>
      </c>
      <c r="O181" s="10"/>
    </row>
    <row r="182" spans="1:15" x14ac:dyDescent="0.3">
      <c r="A182" t="s">
        <v>298</v>
      </c>
      <c r="B182" t="s">
        <v>54</v>
      </c>
      <c r="C182" t="s">
        <v>20</v>
      </c>
      <c r="D182" t="s">
        <v>17</v>
      </c>
      <c r="E182" s="16">
        <v>45904</v>
      </c>
      <c r="F182">
        <v>191</v>
      </c>
      <c r="G182" t="s">
        <v>120</v>
      </c>
      <c r="H182">
        <v>117</v>
      </c>
      <c r="I182">
        <v>50</v>
      </c>
      <c r="J182">
        <v>553800</v>
      </c>
      <c r="K182">
        <v>51841</v>
      </c>
      <c r="L182" t="e">
        <f>[1]!Table1[[#This Row],[Revenue]]-[1]!Table1[[#This Row],[OperationalCost]]</f>
        <v>#REF!</v>
      </c>
      <c r="M182" t="str">
        <f t="shared" si="2"/>
        <v>Sep</v>
      </c>
      <c r="N182" s="15">
        <f>Table11[[#This Row],[SeatsSold]]/Table11[[#This Row],[SeatsAvailable]]</f>
        <v>0.42735042735042733</v>
      </c>
      <c r="O182" s="10"/>
    </row>
    <row r="183" spans="1:15" x14ac:dyDescent="0.3">
      <c r="A183" t="s">
        <v>299</v>
      </c>
      <c r="B183" t="s">
        <v>38</v>
      </c>
      <c r="C183" t="s">
        <v>11</v>
      </c>
      <c r="D183" t="s">
        <v>15</v>
      </c>
      <c r="E183" s="16">
        <v>46177</v>
      </c>
      <c r="F183">
        <v>174</v>
      </c>
      <c r="G183" t="s">
        <v>116</v>
      </c>
      <c r="H183">
        <v>75</v>
      </c>
      <c r="I183">
        <v>64</v>
      </c>
      <c r="J183">
        <v>652928</v>
      </c>
      <c r="K183">
        <v>40944</v>
      </c>
      <c r="L183" t="e">
        <f>[1]!Table1[[#This Row],[Revenue]]-[1]!Table1[[#This Row],[OperationalCost]]</f>
        <v>#REF!</v>
      </c>
      <c r="M183" t="str">
        <f t="shared" si="2"/>
        <v>Jun</v>
      </c>
      <c r="N183" s="15">
        <f>Table11[[#This Row],[SeatsSold]]/Table11[[#This Row],[SeatsAvailable]]</f>
        <v>0.85333333333333339</v>
      </c>
      <c r="O183" s="10"/>
    </row>
    <row r="184" spans="1:15" x14ac:dyDescent="0.3">
      <c r="A184" t="s">
        <v>300</v>
      </c>
      <c r="B184" t="s">
        <v>104</v>
      </c>
      <c r="C184" t="s">
        <v>17</v>
      </c>
      <c r="D184" t="s">
        <v>21</v>
      </c>
      <c r="E184" s="16">
        <v>45917</v>
      </c>
      <c r="F184">
        <v>236</v>
      </c>
      <c r="G184" t="s">
        <v>122</v>
      </c>
      <c r="H184">
        <v>161</v>
      </c>
      <c r="I184">
        <v>140</v>
      </c>
      <c r="J184">
        <v>504840</v>
      </c>
      <c r="K184">
        <v>71789</v>
      </c>
      <c r="L184" t="e">
        <f>[1]!Table1[[#This Row],[Revenue]]-[1]!Table1[[#This Row],[OperationalCost]]</f>
        <v>#REF!</v>
      </c>
      <c r="M184" t="str">
        <f t="shared" si="2"/>
        <v>Sep</v>
      </c>
      <c r="N184" s="15">
        <f>Table11[[#This Row],[SeatsSold]]/Table11[[#This Row],[SeatsAvailable]]</f>
        <v>0.86956521739130432</v>
      </c>
      <c r="O184" s="10"/>
    </row>
    <row r="185" spans="1:15" x14ac:dyDescent="0.3">
      <c r="A185" t="s">
        <v>301</v>
      </c>
      <c r="B185" t="s">
        <v>56</v>
      </c>
      <c r="C185" t="s">
        <v>3</v>
      </c>
      <c r="D185" t="s">
        <v>17</v>
      </c>
      <c r="E185" s="16">
        <v>45794</v>
      </c>
      <c r="F185">
        <v>56</v>
      </c>
      <c r="G185" t="s">
        <v>118</v>
      </c>
      <c r="H185">
        <v>209</v>
      </c>
      <c r="I185">
        <v>126</v>
      </c>
      <c r="J185">
        <v>676368</v>
      </c>
      <c r="K185">
        <v>57902</v>
      </c>
      <c r="L185" t="e">
        <f>[1]!Table1[[#This Row],[Revenue]]-[1]!Table1[[#This Row],[OperationalCost]]</f>
        <v>#REF!</v>
      </c>
      <c r="M185" t="str">
        <f t="shared" si="2"/>
        <v>May</v>
      </c>
      <c r="N185" s="15">
        <f>Table11[[#This Row],[SeatsSold]]/Table11[[#This Row],[SeatsAvailable]]</f>
        <v>0.60287081339712922</v>
      </c>
      <c r="O185" s="10"/>
    </row>
    <row r="186" spans="1:15" x14ac:dyDescent="0.3">
      <c r="A186" t="s">
        <v>302</v>
      </c>
      <c r="B186" t="s">
        <v>18</v>
      </c>
      <c r="C186" t="s">
        <v>6</v>
      </c>
      <c r="D186" t="s">
        <v>14</v>
      </c>
      <c r="E186" s="16">
        <v>45796</v>
      </c>
      <c r="F186">
        <v>61</v>
      </c>
      <c r="G186" t="s">
        <v>120</v>
      </c>
      <c r="H186">
        <v>79</v>
      </c>
      <c r="I186">
        <v>58</v>
      </c>
      <c r="J186">
        <v>336516</v>
      </c>
      <c r="K186">
        <v>18340</v>
      </c>
      <c r="L186" t="e">
        <f>[1]!Table1[[#This Row],[Revenue]]-[1]!Table1[[#This Row],[OperationalCost]]</f>
        <v>#REF!</v>
      </c>
      <c r="M186" t="str">
        <f t="shared" si="2"/>
        <v>May</v>
      </c>
      <c r="N186" s="15">
        <f>Table11[[#This Row],[SeatsSold]]/Table11[[#This Row],[SeatsAvailable]]</f>
        <v>0.73417721518987344</v>
      </c>
      <c r="O186" s="10"/>
    </row>
    <row r="187" spans="1:15" x14ac:dyDescent="0.3">
      <c r="A187" t="s">
        <v>303</v>
      </c>
      <c r="B187" t="s">
        <v>54</v>
      </c>
      <c r="C187" t="s">
        <v>20</v>
      </c>
      <c r="D187" t="s">
        <v>17</v>
      </c>
      <c r="E187" s="16">
        <v>45975</v>
      </c>
      <c r="F187">
        <v>176</v>
      </c>
      <c r="G187" t="s">
        <v>120</v>
      </c>
      <c r="H187">
        <v>209</v>
      </c>
      <c r="I187">
        <v>161</v>
      </c>
      <c r="J187">
        <v>1070650</v>
      </c>
      <c r="K187">
        <v>73909</v>
      </c>
      <c r="L187" t="e">
        <f>[1]!Table1[[#This Row],[Revenue]]-[1]!Table1[[#This Row],[OperationalCost]]</f>
        <v>#REF!</v>
      </c>
      <c r="M187" t="str">
        <f t="shared" si="2"/>
        <v>Nov</v>
      </c>
      <c r="N187" s="15">
        <f>Table11[[#This Row],[SeatsSold]]/Table11[[#This Row],[SeatsAvailable]]</f>
        <v>0.77033492822966509</v>
      </c>
      <c r="O187" s="10"/>
    </row>
    <row r="188" spans="1:15" x14ac:dyDescent="0.3">
      <c r="A188" t="s">
        <v>304</v>
      </c>
      <c r="B188" t="s">
        <v>4</v>
      </c>
      <c r="C188" t="s">
        <v>9</v>
      </c>
      <c r="D188" t="s">
        <v>21</v>
      </c>
      <c r="E188" s="16">
        <v>46023</v>
      </c>
      <c r="F188">
        <v>57</v>
      </c>
      <c r="G188" t="s">
        <v>118</v>
      </c>
      <c r="H188">
        <v>139</v>
      </c>
      <c r="I188">
        <v>55</v>
      </c>
      <c r="J188">
        <v>469095</v>
      </c>
      <c r="K188">
        <v>38465</v>
      </c>
      <c r="L188" t="e">
        <f>[1]!Table1[[#This Row],[Revenue]]-[1]!Table1[[#This Row],[OperationalCost]]</f>
        <v>#REF!</v>
      </c>
      <c r="M188" t="str">
        <f t="shared" si="2"/>
        <v>Jan</v>
      </c>
      <c r="N188" s="15">
        <f>Table11[[#This Row],[SeatsSold]]/Table11[[#This Row],[SeatsAvailable]]</f>
        <v>0.39568345323741005</v>
      </c>
      <c r="O188" s="10"/>
    </row>
    <row r="189" spans="1:15" x14ac:dyDescent="0.3">
      <c r="A189" t="s">
        <v>305</v>
      </c>
      <c r="B189" t="s">
        <v>66</v>
      </c>
      <c r="C189" t="s">
        <v>6</v>
      </c>
      <c r="D189" t="s">
        <v>17</v>
      </c>
      <c r="E189" s="16">
        <v>46005</v>
      </c>
      <c r="F189">
        <v>92</v>
      </c>
      <c r="G189" t="s">
        <v>120</v>
      </c>
      <c r="H189">
        <v>197</v>
      </c>
      <c r="I189">
        <v>134</v>
      </c>
      <c r="J189">
        <v>1474938</v>
      </c>
      <c r="K189">
        <v>37193</v>
      </c>
      <c r="L189" t="e">
        <f>[1]!Table1[[#This Row],[Revenue]]-[1]!Table1[[#This Row],[OperationalCost]]</f>
        <v>#REF!</v>
      </c>
      <c r="M189" t="str">
        <f t="shared" si="2"/>
        <v>Dec</v>
      </c>
      <c r="N189" s="15">
        <f>Table11[[#This Row],[SeatsSold]]/Table11[[#This Row],[SeatsAvailable]]</f>
        <v>0.68020304568527923</v>
      </c>
      <c r="O189" s="10"/>
    </row>
    <row r="190" spans="1:15" x14ac:dyDescent="0.3">
      <c r="A190" t="s">
        <v>306</v>
      </c>
      <c r="B190" t="s">
        <v>41</v>
      </c>
      <c r="C190" t="s">
        <v>17</v>
      </c>
      <c r="D190" t="s">
        <v>3</v>
      </c>
      <c r="E190" s="16">
        <v>46098</v>
      </c>
      <c r="F190">
        <v>199</v>
      </c>
      <c r="G190" t="s">
        <v>113</v>
      </c>
      <c r="H190">
        <v>209</v>
      </c>
      <c r="I190">
        <v>115</v>
      </c>
      <c r="J190">
        <v>892630</v>
      </c>
      <c r="K190">
        <v>49954</v>
      </c>
      <c r="L190" t="e">
        <f>[1]!Table1[[#This Row],[Revenue]]-[1]!Table1[[#This Row],[OperationalCost]]</f>
        <v>#REF!</v>
      </c>
      <c r="M190" t="str">
        <f t="shared" si="2"/>
        <v>Mar</v>
      </c>
      <c r="N190" s="15">
        <f>Table11[[#This Row],[SeatsSold]]/Table11[[#This Row],[SeatsAvailable]]</f>
        <v>0.55023923444976075</v>
      </c>
      <c r="O190" s="10"/>
    </row>
    <row r="191" spans="1:15" x14ac:dyDescent="0.3">
      <c r="A191" t="s">
        <v>307</v>
      </c>
      <c r="B191" t="s">
        <v>79</v>
      </c>
      <c r="C191" t="s">
        <v>21</v>
      </c>
      <c r="D191" t="s">
        <v>19</v>
      </c>
      <c r="E191" s="16">
        <v>45971</v>
      </c>
      <c r="F191">
        <v>159</v>
      </c>
      <c r="G191" t="s">
        <v>116</v>
      </c>
      <c r="H191">
        <v>179</v>
      </c>
      <c r="I191">
        <v>82</v>
      </c>
      <c r="J191">
        <v>801304</v>
      </c>
      <c r="K191">
        <v>67957</v>
      </c>
      <c r="L191" t="e">
        <f>[1]!Table1[[#This Row],[Revenue]]-[1]!Table1[[#This Row],[OperationalCost]]</f>
        <v>#REF!</v>
      </c>
      <c r="M191" t="str">
        <f t="shared" si="2"/>
        <v>Nov</v>
      </c>
      <c r="N191" s="15">
        <f>Table11[[#This Row],[SeatsSold]]/Table11[[#This Row],[SeatsAvailable]]</f>
        <v>0.45810055865921789</v>
      </c>
      <c r="O191" s="10"/>
    </row>
    <row r="192" spans="1:15" x14ac:dyDescent="0.3">
      <c r="A192" t="s">
        <v>308</v>
      </c>
      <c r="B192" t="s">
        <v>54</v>
      </c>
      <c r="C192" t="s">
        <v>20</v>
      </c>
      <c r="D192" t="s">
        <v>17</v>
      </c>
      <c r="E192" s="16">
        <v>46287</v>
      </c>
      <c r="F192">
        <v>156</v>
      </c>
      <c r="G192" t="s">
        <v>118</v>
      </c>
      <c r="H192">
        <v>84</v>
      </c>
      <c r="I192">
        <v>44</v>
      </c>
      <c r="J192">
        <v>402820</v>
      </c>
      <c r="K192">
        <v>50952</v>
      </c>
      <c r="L192" t="e">
        <f>[1]!Table1[[#This Row],[Revenue]]-[1]!Table1[[#This Row],[OperationalCost]]</f>
        <v>#REF!</v>
      </c>
      <c r="M192" t="str">
        <f t="shared" si="2"/>
        <v>Sep</v>
      </c>
      <c r="N192" s="15">
        <f>Table11[[#This Row],[SeatsSold]]/Table11[[#This Row],[SeatsAvailable]]</f>
        <v>0.52380952380952384</v>
      </c>
      <c r="O192" s="10"/>
    </row>
    <row r="193" spans="1:15" x14ac:dyDescent="0.3">
      <c r="A193" t="s">
        <v>309</v>
      </c>
      <c r="B193" t="s">
        <v>39</v>
      </c>
      <c r="C193" t="s">
        <v>14</v>
      </c>
      <c r="D193" t="s">
        <v>20</v>
      </c>
      <c r="E193" s="16">
        <v>45804</v>
      </c>
      <c r="F193">
        <v>200</v>
      </c>
      <c r="G193" t="s">
        <v>120</v>
      </c>
      <c r="H193">
        <v>78</v>
      </c>
      <c r="I193">
        <v>48</v>
      </c>
      <c r="J193">
        <v>172848</v>
      </c>
      <c r="K193">
        <v>55110</v>
      </c>
      <c r="L193" t="e">
        <f>[1]!Table1[[#This Row],[Revenue]]-[1]!Table1[[#This Row],[OperationalCost]]</f>
        <v>#REF!</v>
      </c>
      <c r="M193" t="str">
        <f t="shared" ref="M193:M256" si="3">TEXT(E193,"MMM")</f>
        <v>May</v>
      </c>
      <c r="N193" s="15">
        <f>Table11[[#This Row],[SeatsSold]]/Table11[[#This Row],[SeatsAvailable]]</f>
        <v>0.61538461538461542</v>
      </c>
      <c r="O193" s="10"/>
    </row>
    <row r="194" spans="1:15" x14ac:dyDescent="0.3">
      <c r="A194" t="s">
        <v>310</v>
      </c>
      <c r="B194" t="s">
        <v>52</v>
      </c>
      <c r="C194" t="s">
        <v>21</v>
      </c>
      <c r="D194" t="s">
        <v>17</v>
      </c>
      <c r="E194" s="16">
        <v>46050</v>
      </c>
      <c r="F194">
        <v>190</v>
      </c>
      <c r="G194" t="s">
        <v>122</v>
      </c>
      <c r="H194">
        <v>109</v>
      </c>
      <c r="I194">
        <v>97</v>
      </c>
      <c r="J194">
        <v>831969</v>
      </c>
      <c r="K194">
        <v>61887</v>
      </c>
      <c r="L194" t="e">
        <f>[1]!Table1[[#This Row],[Revenue]]-[1]!Table1[[#This Row],[OperationalCost]]</f>
        <v>#REF!</v>
      </c>
      <c r="M194" t="str">
        <f t="shared" si="3"/>
        <v>Jan</v>
      </c>
      <c r="N194" s="15">
        <f>Table11[[#This Row],[SeatsSold]]/Table11[[#This Row],[SeatsAvailable]]</f>
        <v>0.88990825688073394</v>
      </c>
      <c r="O194" s="10"/>
    </row>
    <row r="195" spans="1:15" x14ac:dyDescent="0.3">
      <c r="A195" t="s">
        <v>311</v>
      </c>
      <c r="B195" t="s">
        <v>93</v>
      </c>
      <c r="C195" t="s">
        <v>3</v>
      </c>
      <c r="D195" t="s">
        <v>9</v>
      </c>
      <c r="E195" s="16">
        <v>46200</v>
      </c>
      <c r="F195">
        <v>138</v>
      </c>
      <c r="G195" t="s">
        <v>120</v>
      </c>
      <c r="H195">
        <v>150</v>
      </c>
      <c r="I195">
        <v>123</v>
      </c>
      <c r="J195">
        <v>869118</v>
      </c>
      <c r="K195">
        <v>41604</v>
      </c>
      <c r="L195" t="e">
        <f>[1]!Table1[[#This Row],[Revenue]]-[1]!Table1[[#This Row],[OperationalCost]]</f>
        <v>#REF!</v>
      </c>
      <c r="M195" t="str">
        <f t="shared" si="3"/>
        <v>Jun</v>
      </c>
      <c r="N195" s="15">
        <f>Table11[[#This Row],[SeatsSold]]/Table11[[#This Row],[SeatsAvailable]]</f>
        <v>0.82</v>
      </c>
      <c r="O195" s="10"/>
    </row>
    <row r="196" spans="1:15" x14ac:dyDescent="0.3">
      <c r="A196" t="s">
        <v>312</v>
      </c>
      <c r="B196" t="s">
        <v>74</v>
      </c>
      <c r="C196" t="s">
        <v>20</v>
      </c>
      <c r="D196" t="s">
        <v>9</v>
      </c>
      <c r="E196" s="16">
        <v>46169</v>
      </c>
      <c r="F196">
        <v>177</v>
      </c>
      <c r="G196" t="s">
        <v>120</v>
      </c>
      <c r="H196">
        <v>213</v>
      </c>
      <c r="I196">
        <v>70</v>
      </c>
      <c r="J196">
        <v>475160</v>
      </c>
      <c r="K196">
        <v>74244</v>
      </c>
      <c r="L196" t="e">
        <f>[1]!Table1[[#This Row],[Revenue]]-[1]!Table1[[#This Row],[OperationalCost]]</f>
        <v>#REF!</v>
      </c>
      <c r="M196" t="str">
        <f t="shared" si="3"/>
        <v>May</v>
      </c>
      <c r="N196" s="15">
        <f>Table11[[#This Row],[SeatsSold]]/Table11[[#This Row],[SeatsAvailable]]</f>
        <v>0.32863849765258218</v>
      </c>
      <c r="O196" s="10"/>
    </row>
    <row r="197" spans="1:15" x14ac:dyDescent="0.3">
      <c r="A197" t="s">
        <v>313</v>
      </c>
      <c r="B197" t="s">
        <v>4</v>
      </c>
      <c r="C197" t="s">
        <v>9</v>
      </c>
      <c r="D197" t="s">
        <v>21</v>
      </c>
      <c r="E197" s="16">
        <v>46368</v>
      </c>
      <c r="F197">
        <v>170</v>
      </c>
      <c r="G197" t="s">
        <v>113</v>
      </c>
      <c r="H197">
        <v>101</v>
      </c>
      <c r="I197">
        <v>48</v>
      </c>
      <c r="J197">
        <v>178224</v>
      </c>
      <c r="K197">
        <v>52474</v>
      </c>
      <c r="L197" t="e">
        <f>[1]!Table1[[#This Row],[Revenue]]-[1]!Table1[[#This Row],[OperationalCost]]</f>
        <v>#REF!</v>
      </c>
      <c r="M197" t="str">
        <f t="shared" si="3"/>
        <v>Dec</v>
      </c>
      <c r="N197" s="15">
        <f>Table11[[#This Row],[SeatsSold]]/Table11[[#This Row],[SeatsAvailable]]</f>
        <v>0.47524752475247523</v>
      </c>
      <c r="O197" s="10"/>
    </row>
    <row r="198" spans="1:15" x14ac:dyDescent="0.3">
      <c r="A198" t="s">
        <v>314</v>
      </c>
      <c r="B198" t="s">
        <v>84</v>
      </c>
      <c r="C198" t="s">
        <v>6</v>
      </c>
      <c r="D198" t="s">
        <v>3</v>
      </c>
      <c r="E198" s="16">
        <v>46356</v>
      </c>
      <c r="F198">
        <v>126</v>
      </c>
      <c r="G198" t="s">
        <v>118</v>
      </c>
      <c r="H198">
        <v>86</v>
      </c>
      <c r="I198">
        <v>75</v>
      </c>
      <c r="J198">
        <v>853650</v>
      </c>
      <c r="K198">
        <v>37860</v>
      </c>
      <c r="L198" t="e">
        <f>[1]!Table1[[#This Row],[Revenue]]-[1]!Table1[[#This Row],[OperationalCost]]</f>
        <v>#REF!</v>
      </c>
      <c r="M198" t="str">
        <f t="shared" si="3"/>
        <v>Nov</v>
      </c>
      <c r="N198" s="15">
        <f>Table11[[#This Row],[SeatsSold]]/Table11[[#This Row],[SeatsAvailable]]</f>
        <v>0.87209302325581395</v>
      </c>
      <c r="O198" s="10"/>
    </row>
    <row r="199" spans="1:15" x14ac:dyDescent="0.3">
      <c r="A199" t="s">
        <v>315</v>
      </c>
      <c r="B199" t="s">
        <v>34</v>
      </c>
      <c r="C199" t="s">
        <v>14</v>
      </c>
      <c r="D199" t="s">
        <v>9</v>
      </c>
      <c r="E199" s="16">
        <v>46028</v>
      </c>
      <c r="F199">
        <v>175</v>
      </c>
      <c r="G199" t="s">
        <v>113</v>
      </c>
      <c r="H199">
        <v>101</v>
      </c>
      <c r="I199">
        <v>52</v>
      </c>
      <c r="J199">
        <v>248300</v>
      </c>
      <c r="K199">
        <v>52306</v>
      </c>
      <c r="L199" t="e">
        <f>[1]!Table1[[#This Row],[Revenue]]-[1]!Table1[[#This Row],[OperationalCost]]</f>
        <v>#REF!</v>
      </c>
      <c r="M199" t="str">
        <f t="shared" si="3"/>
        <v>Jan</v>
      </c>
      <c r="N199" s="15">
        <f>Table11[[#This Row],[SeatsSold]]/Table11[[#This Row],[SeatsAvailable]]</f>
        <v>0.51485148514851486</v>
      </c>
      <c r="O199" s="10"/>
    </row>
    <row r="200" spans="1:15" x14ac:dyDescent="0.3">
      <c r="A200" t="s">
        <v>316</v>
      </c>
      <c r="B200" t="s">
        <v>54</v>
      </c>
      <c r="C200" t="s">
        <v>20</v>
      </c>
      <c r="D200" t="s">
        <v>17</v>
      </c>
      <c r="E200" s="16">
        <v>46225</v>
      </c>
      <c r="F200">
        <v>191</v>
      </c>
      <c r="G200" t="s">
        <v>118</v>
      </c>
      <c r="H200">
        <v>189</v>
      </c>
      <c r="I200">
        <v>181</v>
      </c>
      <c r="J200">
        <v>837306</v>
      </c>
      <c r="K200">
        <v>71994</v>
      </c>
      <c r="L200" t="e">
        <f>[1]!Table1[[#This Row],[Revenue]]-[1]!Table1[[#This Row],[OperationalCost]]</f>
        <v>#REF!</v>
      </c>
      <c r="M200" t="str">
        <f t="shared" si="3"/>
        <v>Jul</v>
      </c>
      <c r="N200" s="15">
        <f>Table11[[#This Row],[SeatsSold]]/Table11[[#This Row],[SeatsAvailable]]</f>
        <v>0.95767195767195767</v>
      </c>
      <c r="O200" s="10"/>
    </row>
    <row r="201" spans="1:15" x14ac:dyDescent="0.3">
      <c r="A201" t="s">
        <v>317</v>
      </c>
      <c r="B201" t="s">
        <v>96</v>
      </c>
      <c r="C201" t="s">
        <v>3</v>
      </c>
      <c r="D201" t="s">
        <v>21</v>
      </c>
      <c r="E201" s="16">
        <v>46065</v>
      </c>
      <c r="F201">
        <v>228</v>
      </c>
      <c r="G201" t="s">
        <v>120</v>
      </c>
      <c r="H201">
        <v>204</v>
      </c>
      <c r="I201">
        <v>145</v>
      </c>
      <c r="J201">
        <v>1335160</v>
      </c>
      <c r="K201">
        <v>80868</v>
      </c>
      <c r="L201" t="e">
        <f>[1]!Table1[[#This Row],[Revenue]]-[1]!Table1[[#This Row],[OperationalCost]]</f>
        <v>#REF!</v>
      </c>
      <c r="M201" t="str">
        <f t="shared" si="3"/>
        <v>Feb</v>
      </c>
      <c r="N201" s="15">
        <f>Table11[[#This Row],[SeatsSold]]/Table11[[#This Row],[SeatsAvailable]]</f>
        <v>0.71078431372549022</v>
      </c>
      <c r="O201" s="10"/>
    </row>
    <row r="202" spans="1:15" x14ac:dyDescent="0.3">
      <c r="A202" t="s">
        <v>318</v>
      </c>
      <c r="B202" t="s">
        <v>40</v>
      </c>
      <c r="C202" t="s">
        <v>14</v>
      </c>
      <c r="D202" t="s">
        <v>17</v>
      </c>
      <c r="E202" s="16">
        <v>46315</v>
      </c>
      <c r="F202">
        <v>63</v>
      </c>
      <c r="G202" t="s">
        <v>120</v>
      </c>
      <c r="H202">
        <v>189</v>
      </c>
      <c r="I202">
        <v>172</v>
      </c>
      <c r="J202">
        <v>1400768</v>
      </c>
      <c r="K202">
        <v>51345</v>
      </c>
      <c r="L202" t="e">
        <f>[1]!Table1[[#This Row],[Revenue]]-[1]!Table1[[#This Row],[OperationalCost]]</f>
        <v>#REF!</v>
      </c>
      <c r="M202" t="str">
        <f t="shared" si="3"/>
        <v>Oct</v>
      </c>
      <c r="N202" s="15">
        <f>Table11[[#This Row],[SeatsSold]]/Table11[[#This Row],[SeatsAvailable]]</f>
        <v>0.91005291005291</v>
      </c>
      <c r="O202" s="10"/>
    </row>
    <row r="203" spans="1:15" x14ac:dyDescent="0.3">
      <c r="A203" t="s">
        <v>319</v>
      </c>
      <c r="B203" t="s">
        <v>63</v>
      </c>
      <c r="C203" t="s">
        <v>15</v>
      </c>
      <c r="D203" t="s">
        <v>14</v>
      </c>
      <c r="E203" s="16">
        <v>45790</v>
      </c>
      <c r="F203">
        <v>155</v>
      </c>
      <c r="G203" t="s">
        <v>116</v>
      </c>
      <c r="H203">
        <v>84</v>
      </c>
      <c r="I203">
        <v>47</v>
      </c>
      <c r="J203">
        <v>516436</v>
      </c>
      <c r="K203">
        <v>37833</v>
      </c>
      <c r="L203" t="e">
        <f>[1]!Table1[[#This Row],[Revenue]]-[1]!Table1[[#This Row],[OperationalCost]]</f>
        <v>#REF!</v>
      </c>
      <c r="M203" t="str">
        <f t="shared" si="3"/>
        <v>May</v>
      </c>
      <c r="N203" s="15">
        <f>Table11[[#This Row],[SeatsSold]]/Table11[[#This Row],[SeatsAvailable]]</f>
        <v>0.55952380952380953</v>
      </c>
      <c r="O203" s="10"/>
    </row>
    <row r="204" spans="1:15" x14ac:dyDescent="0.3">
      <c r="A204" t="s">
        <v>320</v>
      </c>
      <c r="B204" t="s">
        <v>34</v>
      </c>
      <c r="C204" t="s">
        <v>14</v>
      </c>
      <c r="D204" t="s">
        <v>9</v>
      </c>
      <c r="E204" s="16">
        <v>45988</v>
      </c>
      <c r="F204">
        <v>226</v>
      </c>
      <c r="G204" t="s">
        <v>113</v>
      </c>
      <c r="H204">
        <v>158</v>
      </c>
      <c r="I204">
        <v>106</v>
      </c>
      <c r="J204">
        <v>758218</v>
      </c>
      <c r="K204">
        <v>54392</v>
      </c>
      <c r="L204" t="e">
        <f>[1]!Table1[[#This Row],[Revenue]]-[1]!Table1[[#This Row],[OperationalCost]]</f>
        <v>#REF!</v>
      </c>
      <c r="M204" t="str">
        <f t="shared" si="3"/>
        <v>Nov</v>
      </c>
      <c r="N204" s="15">
        <f>Table11[[#This Row],[SeatsSold]]/Table11[[#This Row],[SeatsAvailable]]</f>
        <v>0.67088607594936711</v>
      </c>
      <c r="O204" s="10"/>
    </row>
    <row r="205" spans="1:15" x14ac:dyDescent="0.3">
      <c r="A205" t="s">
        <v>321</v>
      </c>
      <c r="B205" t="s">
        <v>67</v>
      </c>
      <c r="C205" t="s">
        <v>9</v>
      </c>
      <c r="D205" t="s">
        <v>15</v>
      </c>
      <c r="E205" s="16">
        <v>45939</v>
      </c>
      <c r="F205">
        <v>77</v>
      </c>
      <c r="G205" t="s">
        <v>118</v>
      </c>
      <c r="H205">
        <v>206</v>
      </c>
      <c r="I205">
        <v>63</v>
      </c>
      <c r="J205">
        <v>676242</v>
      </c>
      <c r="K205">
        <v>47206</v>
      </c>
      <c r="L205" t="e">
        <f>[1]!Table1[[#This Row],[Revenue]]-[1]!Table1[[#This Row],[OperationalCost]]</f>
        <v>#REF!</v>
      </c>
      <c r="M205" t="str">
        <f t="shared" si="3"/>
        <v>Oct</v>
      </c>
      <c r="N205" s="15">
        <f>Table11[[#This Row],[SeatsSold]]/Table11[[#This Row],[SeatsAvailable]]</f>
        <v>0.30582524271844658</v>
      </c>
      <c r="O205" s="10"/>
    </row>
    <row r="206" spans="1:15" x14ac:dyDescent="0.3">
      <c r="A206" t="s">
        <v>322</v>
      </c>
      <c r="B206" t="s">
        <v>63</v>
      </c>
      <c r="C206" t="s">
        <v>15</v>
      </c>
      <c r="D206" t="s">
        <v>14</v>
      </c>
      <c r="E206" s="16">
        <v>45833</v>
      </c>
      <c r="F206">
        <v>213</v>
      </c>
      <c r="G206" t="s">
        <v>116</v>
      </c>
      <c r="H206">
        <v>156</v>
      </c>
      <c r="I206">
        <v>147</v>
      </c>
      <c r="J206">
        <v>1724898</v>
      </c>
      <c r="K206">
        <v>41262</v>
      </c>
      <c r="L206" t="e">
        <f>[1]!Table1[[#This Row],[Revenue]]-[1]!Table1[[#This Row],[OperationalCost]]</f>
        <v>#REF!</v>
      </c>
      <c r="M206" t="str">
        <f t="shared" si="3"/>
        <v>Jun</v>
      </c>
      <c r="N206" s="15">
        <f>Table11[[#This Row],[SeatsSold]]/Table11[[#This Row],[SeatsAvailable]]</f>
        <v>0.94230769230769229</v>
      </c>
      <c r="O206" s="10"/>
    </row>
    <row r="207" spans="1:15" x14ac:dyDescent="0.3">
      <c r="A207" t="s">
        <v>323</v>
      </c>
      <c r="B207" t="s">
        <v>5</v>
      </c>
      <c r="C207" t="s">
        <v>3</v>
      </c>
      <c r="D207" t="s">
        <v>20</v>
      </c>
      <c r="E207" s="16">
        <v>46314</v>
      </c>
      <c r="F207">
        <v>192</v>
      </c>
      <c r="G207" t="s">
        <v>118</v>
      </c>
      <c r="H207">
        <v>123</v>
      </c>
      <c r="I207">
        <v>113</v>
      </c>
      <c r="J207">
        <v>1053725</v>
      </c>
      <c r="K207">
        <v>83265</v>
      </c>
      <c r="L207" t="e">
        <f>[1]!Table1[[#This Row],[Revenue]]-[1]!Table1[[#This Row],[OperationalCost]]</f>
        <v>#REF!</v>
      </c>
      <c r="M207" t="str">
        <f t="shared" si="3"/>
        <v>Oct</v>
      </c>
      <c r="N207" s="15">
        <f>Table11[[#This Row],[SeatsSold]]/Table11[[#This Row],[SeatsAvailable]]</f>
        <v>0.91869918699186992</v>
      </c>
      <c r="O207" s="10"/>
    </row>
    <row r="208" spans="1:15" x14ac:dyDescent="0.3">
      <c r="A208" t="s">
        <v>324</v>
      </c>
      <c r="B208" t="s">
        <v>78</v>
      </c>
      <c r="C208" t="s">
        <v>20</v>
      </c>
      <c r="D208" t="s">
        <v>11</v>
      </c>
      <c r="E208" s="16">
        <v>46300</v>
      </c>
      <c r="F208">
        <v>184</v>
      </c>
      <c r="G208" t="s">
        <v>118</v>
      </c>
      <c r="H208">
        <v>147</v>
      </c>
      <c r="I208">
        <v>101</v>
      </c>
      <c r="J208">
        <v>657712</v>
      </c>
      <c r="K208">
        <v>81181</v>
      </c>
      <c r="L208" t="e">
        <f>[1]!Table1[[#This Row],[Revenue]]-[1]!Table1[[#This Row],[OperationalCost]]</f>
        <v>#REF!</v>
      </c>
      <c r="M208" t="str">
        <f t="shared" si="3"/>
        <v>Oct</v>
      </c>
      <c r="N208" s="15">
        <f>Table11[[#This Row],[SeatsSold]]/Table11[[#This Row],[SeatsAvailable]]</f>
        <v>0.68707482993197277</v>
      </c>
      <c r="O208" s="10"/>
    </row>
    <row r="209" spans="1:15" x14ac:dyDescent="0.3">
      <c r="A209" t="s">
        <v>325</v>
      </c>
      <c r="B209" t="s">
        <v>101</v>
      </c>
      <c r="C209" t="s">
        <v>19</v>
      </c>
      <c r="D209" t="s">
        <v>11</v>
      </c>
      <c r="E209" s="16">
        <v>45732</v>
      </c>
      <c r="F209">
        <v>221</v>
      </c>
      <c r="G209" t="s">
        <v>122</v>
      </c>
      <c r="H209">
        <v>110</v>
      </c>
      <c r="I209">
        <v>96</v>
      </c>
      <c r="J209">
        <v>893664</v>
      </c>
      <c r="K209">
        <v>75483</v>
      </c>
      <c r="L209" t="e">
        <f>[1]!Table1[[#This Row],[Revenue]]-[1]!Table1[[#This Row],[OperationalCost]]</f>
        <v>#REF!</v>
      </c>
      <c r="M209" t="str">
        <f t="shared" si="3"/>
        <v>Mar</v>
      </c>
      <c r="N209" s="15">
        <f>Table11[[#This Row],[SeatsSold]]/Table11[[#This Row],[SeatsAvailable]]</f>
        <v>0.87272727272727268</v>
      </c>
      <c r="O209" s="10"/>
    </row>
    <row r="210" spans="1:15" x14ac:dyDescent="0.3">
      <c r="A210" t="s">
        <v>326</v>
      </c>
      <c r="B210" t="s">
        <v>43</v>
      </c>
      <c r="C210" t="s">
        <v>9</v>
      </c>
      <c r="D210" t="s">
        <v>17</v>
      </c>
      <c r="E210" s="16">
        <v>46279</v>
      </c>
      <c r="F210">
        <v>81</v>
      </c>
      <c r="G210" t="s">
        <v>118</v>
      </c>
      <c r="H210">
        <v>151</v>
      </c>
      <c r="I210">
        <v>133</v>
      </c>
      <c r="J210">
        <v>1085014</v>
      </c>
      <c r="K210">
        <v>35045</v>
      </c>
      <c r="L210" t="e">
        <f>[1]!Table1[[#This Row],[Revenue]]-[1]!Table1[[#This Row],[OperationalCost]]</f>
        <v>#REF!</v>
      </c>
      <c r="M210" t="str">
        <f t="shared" si="3"/>
        <v>Sep</v>
      </c>
      <c r="N210" s="15">
        <f>Table11[[#This Row],[SeatsSold]]/Table11[[#This Row],[SeatsAvailable]]</f>
        <v>0.88079470198675491</v>
      </c>
      <c r="O210" s="10"/>
    </row>
    <row r="211" spans="1:15" x14ac:dyDescent="0.3">
      <c r="A211" t="s">
        <v>327</v>
      </c>
      <c r="B211" t="s">
        <v>33</v>
      </c>
      <c r="C211" t="s">
        <v>21</v>
      </c>
      <c r="D211" t="s">
        <v>15</v>
      </c>
      <c r="E211" s="16">
        <v>46233</v>
      </c>
      <c r="F211">
        <v>72</v>
      </c>
      <c r="G211" t="s">
        <v>118</v>
      </c>
      <c r="H211">
        <v>131</v>
      </c>
      <c r="I211">
        <v>99</v>
      </c>
      <c r="J211">
        <v>446193</v>
      </c>
      <c r="K211">
        <v>39081</v>
      </c>
      <c r="L211" t="e">
        <f>[1]!Table1[[#This Row],[Revenue]]-[1]!Table1[[#This Row],[OperationalCost]]</f>
        <v>#REF!</v>
      </c>
      <c r="M211" t="str">
        <f t="shared" si="3"/>
        <v>Jul</v>
      </c>
      <c r="N211" s="15">
        <f>Table11[[#This Row],[SeatsSold]]/Table11[[#This Row],[SeatsAvailable]]</f>
        <v>0.75572519083969469</v>
      </c>
      <c r="O211" s="10"/>
    </row>
    <row r="212" spans="1:15" x14ac:dyDescent="0.3">
      <c r="A212" t="s">
        <v>328</v>
      </c>
      <c r="B212" t="s">
        <v>59</v>
      </c>
      <c r="C212" t="s">
        <v>9</v>
      </c>
      <c r="D212" t="s">
        <v>14</v>
      </c>
      <c r="E212" s="16">
        <v>45757</v>
      </c>
      <c r="F212">
        <v>57</v>
      </c>
      <c r="G212" t="s">
        <v>118</v>
      </c>
      <c r="H212">
        <v>168</v>
      </c>
      <c r="I212">
        <v>147</v>
      </c>
      <c r="J212">
        <v>965349</v>
      </c>
      <c r="K212">
        <v>36504</v>
      </c>
      <c r="L212" t="e">
        <f>[1]!Table1[[#This Row],[Revenue]]-[1]!Table1[[#This Row],[OperationalCost]]</f>
        <v>#REF!</v>
      </c>
      <c r="M212" t="str">
        <f t="shared" si="3"/>
        <v>Apr</v>
      </c>
      <c r="N212" s="15">
        <f>Table11[[#This Row],[SeatsSold]]/Table11[[#This Row],[SeatsAvailable]]</f>
        <v>0.875</v>
      </c>
      <c r="O212" s="10"/>
    </row>
    <row r="213" spans="1:15" x14ac:dyDescent="0.3">
      <c r="A213" t="s">
        <v>329</v>
      </c>
      <c r="B213" t="s">
        <v>45</v>
      </c>
      <c r="C213" t="s">
        <v>15</v>
      </c>
      <c r="D213" t="s">
        <v>21</v>
      </c>
      <c r="E213" s="16">
        <v>45852</v>
      </c>
      <c r="F213">
        <v>240</v>
      </c>
      <c r="G213" t="s">
        <v>113</v>
      </c>
      <c r="H213">
        <v>197</v>
      </c>
      <c r="I213">
        <v>171</v>
      </c>
      <c r="J213">
        <v>1735308</v>
      </c>
      <c r="K213">
        <v>90406</v>
      </c>
      <c r="L213" t="e">
        <f>[1]!Table1[[#This Row],[Revenue]]-[1]!Table1[[#This Row],[OperationalCost]]</f>
        <v>#REF!</v>
      </c>
      <c r="M213" t="str">
        <f t="shared" si="3"/>
        <v>Jul</v>
      </c>
      <c r="N213" s="15">
        <f>Table11[[#This Row],[SeatsSold]]/Table11[[#This Row],[SeatsAvailable]]</f>
        <v>0.86802030456852797</v>
      </c>
      <c r="O213" s="10"/>
    </row>
    <row r="214" spans="1:15" x14ac:dyDescent="0.3">
      <c r="A214" t="s">
        <v>330</v>
      </c>
      <c r="B214" t="s">
        <v>65</v>
      </c>
      <c r="C214" t="s">
        <v>6</v>
      </c>
      <c r="D214" t="s">
        <v>20</v>
      </c>
      <c r="E214" s="16">
        <v>45750</v>
      </c>
      <c r="F214">
        <v>145</v>
      </c>
      <c r="G214" t="s">
        <v>116</v>
      </c>
      <c r="H214">
        <v>187</v>
      </c>
      <c r="I214">
        <v>101</v>
      </c>
      <c r="J214">
        <v>608424</v>
      </c>
      <c r="K214">
        <v>70795</v>
      </c>
      <c r="L214" t="e">
        <f>[1]!Table1[[#This Row],[Revenue]]-[1]!Table1[[#This Row],[OperationalCost]]</f>
        <v>#REF!</v>
      </c>
      <c r="M214" t="str">
        <f t="shared" si="3"/>
        <v>Apr</v>
      </c>
      <c r="N214" s="15">
        <f>Table11[[#This Row],[SeatsSold]]/Table11[[#This Row],[SeatsAvailable]]</f>
        <v>0.5401069518716578</v>
      </c>
      <c r="O214" s="10"/>
    </row>
    <row r="215" spans="1:15" x14ac:dyDescent="0.3">
      <c r="A215" t="s">
        <v>331</v>
      </c>
      <c r="B215" t="s">
        <v>31</v>
      </c>
      <c r="C215" t="s">
        <v>20</v>
      </c>
      <c r="D215" t="s">
        <v>3</v>
      </c>
      <c r="E215" s="16">
        <v>45946</v>
      </c>
      <c r="F215">
        <v>171</v>
      </c>
      <c r="G215" t="s">
        <v>116</v>
      </c>
      <c r="H215">
        <v>190</v>
      </c>
      <c r="I215">
        <v>113</v>
      </c>
      <c r="J215">
        <v>1276109</v>
      </c>
      <c r="K215">
        <v>41192</v>
      </c>
      <c r="L215" t="e">
        <f>[1]!Table1[[#This Row],[Revenue]]-[1]!Table1[[#This Row],[OperationalCost]]</f>
        <v>#REF!</v>
      </c>
      <c r="M215" t="str">
        <f t="shared" si="3"/>
        <v>Oct</v>
      </c>
      <c r="N215" s="15">
        <f>Table11[[#This Row],[SeatsSold]]/Table11[[#This Row],[SeatsAvailable]]</f>
        <v>0.59473684210526312</v>
      </c>
      <c r="O215" s="10"/>
    </row>
    <row r="216" spans="1:15" x14ac:dyDescent="0.3">
      <c r="A216" t="s">
        <v>332</v>
      </c>
      <c r="B216" t="s">
        <v>10</v>
      </c>
      <c r="C216" t="s">
        <v>17</v>
      </c>
      <c r="D216" t="s">
        <v>14</v>
      </c>
      <c r="E216" s="16">
        <v>45928</v>
      </c>
      <c r="F216">
        <v>231</v>
      </c>
      <c r="G216" t="s">
        <v>118</v>
      </c>
      <c r="H216">
        <v>173</v>
      </c>
      <c r="I216">
        <v>133</v>
      </c>
      <c r="J216">
        <v>431053</v>
      </c>
      <c r="K216">
        <v>67371</v>
      </c>
      <c r="L216" t="e">
        <f>[1]!Table1[[#This Row],[Revenue]]-[1]!Table1[[#This Row],[OperationalCost]]</f>
        <v>#REF!</v>
      </c>
      <c r="M216" t="str">
        <f t="shared" si="3"/>
        <v>Sep</v>
      </c>
      <c r="N216" s="15">
        <f>Table11[[#This Row],[SeatsSold]]/Table11[[#This Row],[SeatsAvailable]]</f>
        <v>0.76878612716763006</v>
      </c>
      <c r="O216" s="10"/>
    </row>
    <row r="217" spans="1:15" x14ac:dyDescent="0.3">
      <c r="A217" t="s">
        <v>333</v>
      </c>
      <c r="B217" t="s">
        <v>110</v>
      </c>
      <c r="C217" t="s">
        <v>15</v>
      </c>
      <c r="D217" t="s">
        <v>11</v>
      </c>
      <c r="E217" s="16">
        <v>45857</v>
      </c>
      <c r="F217">
        <v>137</v>
      </c>
      <c r="G217" t="s">
        <v>116</v>
      </c>
      <c r="H217">
        <v>143</v>
      </c>
      <c r="I217">
        <v>49</v>
      </c>
      <c r="J217">
        <v>432621</v>
      </c>
      <c r="K217">
        <v>61998</v>
      </c>
      <c r="L217" t="e">
        <f>[1]!Table1[[#This Row],[Revenue]]-[1]!Table1[[#This Row],[OperationalCost]]</f>
        <v>#REF!</v>
      </c>
      <c r="M217" t="str">
        <f t="shared" si="3"/>
        <v>Jul</v>
      </c>
      <c r="N217" s="15">
        <f>Table11[[#This Row],[SeatsSold]]/Table11[[#This Row],[SeatsAvailable]]</f>
        <v>0.34265734265734266</v>
      </c>
      <c r="O217" s="10"/>
    </row>
    <row r="218" spans="1:15" x14ac:dyDescent="0.3">
      <c r="A218" t="s">
        <v>334</v>
      </c>
      <c r="B218" t="s">
        <v>88</v>
      </c>
      <c r="C218" t="s">
        <v>11</v>
      </c>
      <c r="D218" t="s">
        <v>19</v>
      </c>
      <c r="E218" s="16">
        <v>46296</v>
      </c>
      <c r="F218">
        <v>219</v>
      </c>
      <c r="G218" t="s">
        <v>116</v>
      </c>
      <c r="H218">
        <v>100</v>
      </c>
      <c r="I218">
        <v>48</v>
      </c>
      <c r="J218">
        <v>196032</v>
      </c>
      <c r="K218">
        <v>65680</v>
      </c>
      <c r="L218" t="e">
        <f>[1]!Table1[[#This Row],[Revenue]]-[1]!Table1[[#This Row],[OperationalCost]]</f>
        <v>#REF!</v>
      </c>
      <c r="M218" t="str">
        <f t="shared" si="3"/>
        <v>Oct</v>
      </c>
      <c r="N218" s="15">
        <f>Table11[[#This Row],[SeatsSold]]/Table11[[#This Row],[SeatsAvailable]]</f>
        <v>0.48</v>
      </c>
      <c r="O218" s="10"/>
    </row>
    <row r="219" spans="1:15" x14ac:dyDescent="0.3">
      <c r="A219" t="s">
        <v>335</v>
      </c>
      <c r="B219" t="s">
        <v>33</v>
      </c>
      <c r="C219" t="s">
        <v>21</v>
      </c>
      <c r="D219" t="s">
        <v>15</v>
      </c>
      <c r="E219" s="16">
        <v>46032</v>
      </c>
      <c r="F219">
        <v>238</v>
      </c>
      <c r="G219" t="s">
        <v>113</v>
      </c>
      <c r="H219">
        <v>120</v>
      </c>
      <c r="I219">
        <v>117</v>
      </c>
      <c r="J219">
        <v>1268397</v>
      </c>
      <c r="K219">
        <v>77796</v>
      </c>
      <c r="L219" t="e">
        <f>[1]!Table1[[#This Row],[Revenue]]-[1]!Table1[[#This Row],[OperationalCost]]</f>
        <v>#REF!</v>
      </c>
      <c r="M219" t="str">
        <f t="shared" si="3"/>
        <v>Jan</v>
      </c>
      <c r="N219" s="15">
        <f>Table11[[#This Row],[SeatsSold]]/Table11[[#This Row],[SeatsAvailable]]</f>
        <v>0.97499999999999998</v>
      </c>
      <c r="O219" s="10"/>
    </row>
    <row r="220" spans="1:15" x14ac:dyDescent="0.3">
      <c r="A220" t="s">
        <v>336</v>
      </c>
      <c r="B220" t="s">
        <v>31</v>
      </c>
      <c r="C220" t="s">
        <v>20</v>
      </c>
      <c r="D220" t="s">
        <v>3</v>
      </c>
      <c r="E220" s="16">
        <v>45697</v>
      </c>
      <c r="F220">
        <v>80</v>
      </c>
      <c r="G220" t="s">
        <v>118</v>
      </c>
      <c r="H220">
        <v>191</v>
      </c>
      <c r="I220">
        <v>172</v>
      </c>
      <c r="J220">
        <v>1717764</v>
      </c>
      <c r="K220">
        <v>57525</v>
      </c>
      <c r="L220" t="e">
        <f>[1]!Table1[[#This Row],[Revenue]]-[1]!Table1[[#This Row],[OperationalCost]]</f>
        <v>#REF!</v>
      </c>
      <c r="M220" t="str">
        <f t="shared" si="3"/>
        <v>Feb</v>
      </c>
      <c r="N220" s="15">
        <f>Table11[[#This Row],[SeatsSold]]/Table11[[#This Row],[SeatsAvailable]]</f>
        <v>0.90052356020942403</v>
      </c>
      <c r="O220" s="10"/>
    </row>
    <row r="221" spans="1:15" x14ac:dyDescent="0.3">
      <c r="A221" t="s">
        <v>337</v>
      </c>
      <c r="B221" t="s">
        <v>57</v>
      </c>
      <c r="C221" t="s">
        <v>11</v>
      </c>
      <c r="D221" t="s">
        <v>14</v>
      </c>
      <c r="E221" s="16">
        <v>45993</v>
      </c>
      <c r="F221">
        <v>201</v>
      </c>
      <c r="G221" t="s">
        <v>118</v>
      </c>
      <c r="H221">
        <v>111</v>
      </c>
      <c r="I221">
        <v>90</v>
      </c>
      <c r="J221">
        <v>666180</v>
      </c>
      <c r="K221">
        <v>72897</v>
      </c>
      <c r="L221" t="e">
        <f>[1]!Table1[[#This Row],[Revenue]]-[1]!Table1[[#This Row],[OperationalCost]]</f>
        <v>#REF!</v>
      </c>
      <c r="M221" t="str">
        <f t="shared" si="3"/>
        <v>Dec</v>
      </c>
      <c r="N221" s="15">
        <f>Table11[[#This Row],[SeatsSold]]/Table11[[#This Row],[SeatsAvailable]]</f>
        <v>0.81081081081081086</v>
      </c>
      <c r="O221" s="10"/>
    </row>
    <row r="222" spans="1:15" x14ac:dyDescent="0.3">
      <c r="A222" t="s">
        <v>338</v>
      </c>
      <c r="B222" t="s">
        <v>38</v>
      </c>
      <c r="C222" t="s">
        <v>11</v>
      </c>
      <c r="D222" t="s">
        <v>15</v>
      </c>
      <c r="E222" s="16">
        <v>46203</v>
      </c>
      <c r="F222">
        <v>170</v>
      </c>
      <c r="G222" t="s">
        <v>116</v>
      </c>
      <c r="H222">
        <v>146</v>
      </c>
      <c r="I222">
        <v>100</v>
      </c>
      <c r="J222">
        <v>277200</v>
      </c>
      <c r="K222">
        <v>60324</v>
      </c>
      <c r="L222" t="e">
        <f>[1]!Table1[[#This Row],[Revenue]]-[1]!Table1[[#This Row],[OperationalCost]]</f>
        <v>#REF!</v>
      </c>
      <c r="M222" t="str">
        <f t="shared" si="3"/>
        <v>Jun</v>
      </c>
      <c r="N222" s="15">
        <f>Table11[[#This Row],[SeatsSold]]/Table11[[#This Row],[SeatsAvailable]]</f>
        <v>0.68493150684931503</v>
      </c>
      <c r="O222" s="10"/>
    </row>
    <row r="223" spans="1:15" x14ac:dyDescent="0.3">
      <c r="A223" t="s">
        <v>339</v>
      </c>
      <c r="B223" t="s">
        <v>48</v>
      </c>
      <c r="C223" t="s">
        <v>3</v>
      </c>
      <c r="D223" t="s">
        <v>6</v>
      </c>
      <c r="E223" s="16">
        <v>46255</v>
      </c>
      <c r="F223">
        <v>123</v>
      </c>
      <c r="G223" t="s">
        <v>122</v>
      </c>
      <c r="H223">
        <v>191</v>
      </c>
      <c r="I223">
        <v>107</v>
      </c>
      <c r="J223">
        <v>1281539</v>
      </c>
      <c r="K223">
        <v>59199</v>
      </c>
      <c r="L223" t="e">
        <f>[1]!Table1[[#This Row],[Revenue]]-[1]!Table1[[#This Row],[OperationalCost]]</f>
        <v>#REF!</v>
      </c>
      <c r="M223" t="str">
        <f t="shared" si="3"/>
        <v>Aug</v>
      </c>
      <c r="N223" s="15">
        <f>Table11[[#This Row],[SeatsSold]]/Table11[[#This Row],[SeatsAvailable]]</f>
        <v>0.56020942408376961</v>
      </c>
      <c r="O223" s="10"/>
    </row>
    <row r="224" spans="1:15" x14ac:dyDescent="0.3">
      <c r="A224" t="s">
        <v>340</v>
      </c>
      <c r="B224" t="s">
        <v>78</v>
      </c>
      <c r="C224" t="s">
        <v>20</v>
      </c>
      <c r="D224" t="s">
        <v>11</v>
      </c>
      <c r="E224" s="16">
        <v>45832</v>
      </c>
      <c r="F224">
        <v>179</v>
      </c>
      <c r="G224" t="s">
        <v>116</v>
      </c>
      <c r="H224">
        <v>167</v>
      </c>
      <c r="I224">
        <v>77</v>
      </c>
      <c r="J224">
        <v>498036</v>
      </c>
      <c r="K224">
        <v>60654</v>
      </c>
      <c r="L224" t="e">
        <f>[1]!Table1[[#This Row],[Revenue]]-[1]!Table1[[#This Row],[OperationalCost]]</f>
        <v>#REF!</v>
      </c>
      <c r="M224" t="str">
        <f t="shared" si="3"/>
        <v>Jun</v>
      </c>
      <c r="N224" s="15">
        <f>Table11[[#This Row],[SeatsSold]]/Table11[[#This Row],[SeatsAvailable]]</f>
        <v>0.46107784431137727</v>
      </c>
      <c r="O224" s="10"/>
    </row>
    <row r="225" spans="1:15" x14ac:dyDescent="0.3">
      <c r="A225" t="s">
        <v>341</v>
      </c>
      <c r="B225" t="s">
        <v>98</v>
      </c>
      <c r="C225" t="s">
        <v>3</v>
      </c>
      <c r="D225" t="s">
        <v>19</v>
      </c>
      <c r="E225" s="16">
        <v>45677</v>
      </c>
      <c r="F225">
        <v>157</v>
      </c>
      <c r="G225" t="s">
        <v>118</v>
      </c>
      <c r="H225">
        <v>177</v>
      </c>
      <c r="I225">
        <v>78</v>
      </c>
      <c r="J225">
        <v>722670</v>
      </c>
      <c r="K225">
        <v>69836</v>
      </c>
      <c r="L225" t="e">
        <f>[1]!Table1[[#This Row],[Revenue]]-[1]!Table1[[#This Row],[OperationalCost]]</f>
        <v>#REF!</v>
      </c>
      <c r="M225" t="str">
        <f t="shared" si="3"/>
        <v>Jan</v>
      </c>
      <c r="N225" s="15">
        <f>Table11[[#This Row],[SeatsSold]]/Table11[[#This Row],[SeatsAvailable]]</f>
        <v>0.44067796610169491</v>
      </c>
      <c r="O225" s="10"/>
    </row>
    <row r="226" spans="1:15" x14ac:dyDescent="0.3">
      <c r="A226" t="s">
        <v>342</v>
      </c>
      <c r="B226" t="s">
        <v>106</v>
      </c>
      <c r="C226" t="s">
        <v>17</v>
      </c>
      <c r="D226" t="s">
        <v>15</v>
      </c>
      <c r="E226" s="16">
        <v>46284</v>
      </c>
      <c r="F226">
        <v>165</v>
      </c>
      <c r="G226" t="s">
        <v>122</v>
      </c>
      <c r="H226">
        <v>105</v>
      </c>
      <c r="I226">
        <v>66</v>
      </c>
      <c r="J226">
        <v>771474</v>
      </c>
      <c r="K226">
        <v>59640</v>
      </c>
      <c r="L226" t="e">
        <f>[1]!Table1[[#This Row],[Revenue]]-[1]!Table1[[#This Row],[OperationalCost]]</f>
        <v>#REF!</v>
      </c>
      <c r="M226" t="str">
        <f t="shared" si="3"/>
        <v>Sep</v>
      </c>
      <c r="N226" s="15">
        <f>Table11[[#This Row],[SeatsSold]]/Table11[[#This Row],[SeatsAvailable]]</f>
        <v>0.62857142857142856</v>
      </c>
      <c r="O226" s="10"/>
    </row>
    <row r="227" spans="1:15" x14ac:dyDescent="0.3">
      <c r="A227" t="s">
        <v>343</v>
      </c>
      <c r="B227" t="s">
        <v>97</v>
      </c>
      <c r="C227" t="s">
        <v>6</v>
      </c>
      <c r="D227" t="s">
        <v>15</v>
      </c>
      <c r="E227" s="16">
        <v>46043</v>
      </c>
      <c r="F227">
        <v>125</v>
      </c>
      <c r="G227" t="s">
        <v>113</v>
      </c>
      <c r="H227">
        <v>187</v>
      </c>
      <c r="I227">
        <v>176</v>
      </c>
      <c r="J227">
        <v>1427008</v>
      </c>
      <c r="K227">
        <v>64165</v>
      </c>
      <c r="L227" t="e">
        <f>[1]!Table1[[#This Row],[Revenue]]-[1]!Table1[[#This Row],[OperationalCost]]</f>
        <v>#REF!</v>
      </c>
      <c r="M227" t="str">
        <f t="shared" si="3"/>
        <v>Jan</v>
      </c>
      <c r="N227" s="15">
        <f>Table11[[#This Row],[SeatsSold]]/Table11[[#This Row],[SeatsAvailable]]</f>
        <v>0.94117647058823528</v>
      </c>
      <c r="O227" s="10"/>
    </row>
    <row r="228" spans="1:15" x14ac:dyDescent="0.3">
      <c r="A228" t="s">
        <v>344</v>
      </c>
      <c r="B228" t="s">
        <v>101</v>
      </c>
      <c r="C228" t="s">
        <v>19</v>
      </c>
      <c r="D228" t="s">
        <v>11</v>
      </c>
      <c r="E228" s="16">
        <v>45854</v>
      </c>
      <c r="F228">
        <v>108</v>
      </c>
      <c r="G228" t="s">
        <v>118</v>
      </c>
      <c r="H228">
        <v>212</v>
      </c>
      <c r="I228">
        <v>116</v>
      </c>
      <c r="J228">
        <v>717344</v>
      </c>
      <c r="K228">
        <v>53604</v>
      </c>
      <c r="L228" t="e">
        <f>[1]!Table1[[#This Row],[Revenue]]-[1]!Table1[[#This Row],[OperationalCost]]</f>
        <v>#REF!</v>
      </c>
      <c r="M228" t="str">
        <f t="shared" si="3"/>
        <v>Jul</v>
      </c>
      <c r="N228" s="15">
        <f>Table11[[#This Row],[SeatsSold]]/Table11[[#This Row],[SeatsAvailable]]</f>
        <v>0.54716981132075471</v>
      </c>
      <c r="O228" s="10"/>
    </row>
    <row r="229" spans="1:15" x14ac:dyDescent="0.3">
      <c r="A229" t="s">
        <v>345</v>
      </c>
      <c r="B229" t="s">
        <v>2</v>
      </c>
      <c r="C229" t="s">
        <v>9</v>
      </c>
      <c r="D229" t="s">
        <v>11</v>
      </c>
      <c r="E229" s="16">
        <v>45982</v>
      </c>
      <c r="F229">
        <v>167</v>
      </c>
      <c r="G229" t="s">
        <v>118</v>
      </c>
      <c r="H229">
        <v>213</v>
      </c>
      <c r="I229">
        <v>110</v>
      </c>
      <c r="J229">
        <v>793650</v>
      </c>
      <c r="K229">
        <v>73355</v>
      </c>
      <c r="L229" t="e">
        <f>[1]!Table1[[#This Row],[Revenue]]-[1]!Table1[[#This Row],[OperationalCost]]</f>
        <v>#REF!</v>
      </c>
      <c r="M229" t="str">
        <f t="shared" si="3"/>
        <v>Nov</v>
      </c>
      <c r="N229" s="15">
        <f>Table11[[#This Row],[SeatsSold]]/Table11[[#This Row],[SeatsAvailable]]</f>
        <v>0.51643192488262912</v>
      </c>
      <c r="O229" s="10"/>
    </row>
    <row r="230" spans="1:15" x14ac:dyDescent="0.3">
      <c r="A230" t="s">
        <v>346</v>
      </c>
      <c r="B230" t="s">
        <v>70</v>
      </c>
      <c r="C230" t="s">
        <v>11</v>
      </c>
      <c r="D230" t="s">
        <v>17</v>
      </c>
      <c r="E230" s="16">
        <v>46062</v>
      </c>
      <c r="F230">
        <v>133</v>
      </c>
      <c r="G230" t="s">
        <v>113</v>
      </c>
      <c r="H230">
        <v>144</v>
      </c>
      <c r="I230">
        <v>45</v>
      </c>
      <c r="J230">
        <v>324540</v>
      </c>
      <c r="K230">
        <v>42812</v>
      </c>
      <c r="L230" t="e">
        <f>[1]!Table1[[#This Row],[Revenue]]-[1]!Table1[[#This Row],[OperationalCost]]</f>
        <v>#REF!</v>
      </c>
      <c r="M230" t="str">
        <f t="shared" si="3"/>
        <v>Feb</v>
      </c>
      <c r="N230" s="15">
        <f>Table11[[#This Row],[SeatsSold]]/Table11[[#This Row],[SeatsAvailable]]</f>
        <v>0.3125</v>
      </c>
      <c r="O230" s="10"/>
    </row>
    <row r="231" spans="1:15" x14ac:dyDescent="0.3">
      <c r="A231" t="s">
        <v>347</v>
      </c>
      <c r="B231" t="s">
        <v>102</v>
      </c>
      <c r="C231" t="s">
        <v>6</v>
      </c>
      <c r="D231" t="s">
        <v>19</v>
      </c>
      <c r="E231" s="16">
        <v>46148</v>
      </c>
      <c r="F231">
        <v>99</v>
      </c>
      <c r="G231" t="s">
        <v>113</v>
      </c>
      <c r="H231">
        <v>207</v>
      </c>
      <c r="I231">
        <v>109</v>
      </c>
      <c r="J231">
        <v>1276172</v>
      </c>
      <c r="K231">
        <v>60345</v>
      </c>
      <c r="L231" t="e">
        <f>[1]!Table1[[#This Row],[Revenue]]-[1]!Table1[[#This Row],[OperationalCost]]</f>
        <v>#REF!</v>
      </c>
      <c r="M231" t="str">
        <f t="shared" si="3"/>
        <v>May</v>
      </c>
      <c r="N231" s="15">
        <f>Table11[[#This Row],[SeatsSold]]/Table11[[#This Row],[SeatsAvailable]]</f>
        <v>0.52657004830917875</v>
      </c>
      <c r="O231" s="10"/>
    </row>
    <row r="232" spans="1:15" x14ac:dyDescent="0.3">
      <c r="A232" t="s">
        <v>348</v>
      </c>
      <c r="B232" t="s">
        <v>47</v>
      </c>
      <c r="C232" t="s">
        <v>14</v>
      </c>
      <c r="D232" t="s">
        <v>3</v>
      </c>
      <c r="E232" s="16">
        <v>46288</v>
      </c>
      <c r="F232">
        <v>234</v>
      </c>
      <c r="G232" t="s">
        <v>116</v>
      </c>
      <c r="H232">
        <v>131</v>
      </c>
      <c r="I232">
        <v>71</v>
      </c>
      <c r="J232">
        <v>236501</v>
      </c>
      <c r="K232">
        <v>96259</v>
      </c>
      <c r="L232" t="e">
        <f>[1]!Table1[[#This Row],[Revenue]]-[1]!Table1[[#This Row],[OperationalCost]]</f>
        <v>#REF!</v>
      </c>
      <c r="M232" t="str">
        <f t="shared" si="3"/>
        <v>Sep</v>
      </c>
      <c r="N232" s="15">
        <f>Table11[[#This Row],[SeatsSold]]/Table11[[#This Row],[SeatsAvailable]]</f>
        <v>0.5419847328244275</v>
      </c>
      <c r="O232" s="10"/>
    </row>
    <row r="233" spans="1:15" x14ac:dyDescent="0.3">
      <c r="A233" t="s">
        <v>349</v>
      </c>
      <c r="B233" t="s">
        <v>58</v>
      </c>
      <c r="C233" t="s">
        <v>9</v>
      </c>
      <c r="D233" t="s">
        <v>19</v>
      </c>
      <c r="E233" s="16">
        <v>45711</v>
      </c>
      <c r="F233">
        <v>70</v>
      </c>
      <c r="G233" t="s">
        <v>120</v>
      </c>
      <c r="H233">
        <v>154</v>
      </c>
      <c r="I233">
        <v>131</v>
      </c>
      <c r="J233">
        <v>1341309</v>
      </c>
      <c r="K233">
        <v>27860</v>
      </c>
      <c r="L233" t="e">
        <f>[1]!Table1[[#This Row],[Revenue]]-[1]!Table1[[#This Row],[OperationalCost]]</f>
        <v>#REF!</v>
      </c>
      <c r="M233" t="str">
        <f t="shared" si="3"/>
        <v>Feb</v>
      </c>
      <c r="N233" s="15">
        <f>Table11[[#This Row],[SeatsSold]]/Table11[[#This Row],[SeatsAvailable]]</f>
        <v>0.85064935064935066</v>
      </c>
      <c r="O233" s="10"/>
    </row>
    <row r="234" spans="1:15" x14ac:dyDescent="0.3">
      <c r="A234" t="s">
        <v>350</v>
      </c>
      <c r="B234" t="s">
        <v>80</v>
      </c>
      <c r="C234" t="s">
        <v>20</v>
      </c>
      <c r="D234" t="s">
        <v>15</v>
      </c>
      <c r="E234" s="16">
        <v>45819</v>
      </c>
      <c r="F234">
        <v>149</v>
      </c>
      <c r="G234" t="s">
        <v>120</v>
      </c>
      <c r="H234">
        <v>192</v>
      </c>
      <c r="I234">
        <v>91</v>
      </c>
      <c r="J234">
        <v>655746</v>
      </c>
      <c r="K234">
        <v>59474</v>
      </c>
      <c r="L234" t="e">
        <f>[1]!Table1[[#This Row],[Revenue]]-[1]!Table1[[#This Row],[OperationalCost]]</f>
        <v>#REF!</v>
      </c>
      <c r="M234" t="str">
        <f t="shared" si="3"/>
        <v>Jun</v>
      </c>
      <c r="N234" s="15">
        <f>Table11[[#This Row],[SeatsSold]]/Table11[[#This Row],[SeatsAvailable]]</f>
        <v>0.47395833333333331</v>
      </c>
      <c r="O234" s="10"/>
    </row>
    <row r="235" spans="1:15" x14ac:dyDescent="0.3">
      <c r="A235" t="s">
        <v>351</v>
      </c>
      <c r="B235" t="s">
        <v>71</v>
      </c>
      <c r="C235" t="s">
        <v>20</v>
      </c>
      <c r="D235" t="s">
        <v>14</v>
      </c>
      <c r="E235" s="16">
        <v>46325</v>
      </c>
      <c r="F235">
        <v>191</v>
      </c>
      <c r="G235" t="s">
        <v>113</v>
      </c>
      <c r="H235">
        <v>206</v>
      </c>
      <c r="I235">
        <v>49</v>
      </c>
      <c r="J235">
        <v>263032</v>
      </c>
      <c r="K235">
        <v>68916</v>
      </c>
      <c r="L235" t="e">
        <f>[1]!Table1[[#This Row],[Revenue]]-[1]!Table1[[#This Row],[OperationalCost]]</f>
        <v>#REF!</v>
      </c>
      <c r="M235" t="str">
        <f t="shared" si="3"/>
        <v>Oct</v>
      </c>
      <c r="N235" s="15">
        <f>Table11[[#This Row],[SeatsSold]]/Table11[[#This Row],[SeatsAvailable]]</f>
        <v>0.23786407766990292</v>
      </c>
      <c r="O235" s="10"/>
    </row>
    <row r="236" spans="1:15" x14ac:dyDescent="0.3">
      <c r="A236" t="s">
        <v>352</v>
      </c>
      <c r="B236" t="s">
        <v>85</v>
      </c>
      <c r="C236" t="s">
        <v>20</v>
      </c>
      <c r="D236" t="s">
        <v>6</v>
      </c>
      <c r="E236" s="16">
        <v>46165</v>
      </c>
      <c r="F236">
        <v>92</v>
      </c>
      <c r="G236" t="s">
        <v>118</v>
      </c>
      <c r="H236">
        <v>79</v>
      </c>
      <c r="I236">
        <v>40</v>
      </c>
      <c r="J236">
        <v>295520</v>
      </c>
      <c r="K236">
        <v>42866</v>
      </c>
      <c r="L236" t="e">
        <f>[1]!Table1[[#This Row],[Revenue]]-[1]!Table1[[#This Row],[OperationalCost]]</f>
        <v>#REF!</v>
      </c>
      <c r="M236" t="str">
        <f t="shared" si="3"/>
        <v>May</v>
      </c>
      <c r="N236" s="15">
        <f>Table11[[#This Row],[SeatsSold]]/Table11[[#This Row],[SeatsAvailable]]</f>
        <v>0.50632911392405067</v>
      </c>
      <c r="O236" s="10"/>
    </row>
    <row r="237" spans="1:15" x14ac:dyDescent="0.3">
      <c r="A237" t="s">
        <v>353</v>
      </c>
      <c r="B237" t="s">
        <v>56</v>
      </c>
      <c r="C237" t="s">
        <v>3</v>
      </c>
      <c r="D237" t="s">
        <v>17</v>
      </c>
      <c r="E237" s="16">
        <v>45949</v>
      </c>
      <c r="F237">
        <v>161</v>
      </c>
      <c r="G237" t="s">
        <v>116</v>
      </c>
      <c r="H237">
        <v>204</v>
      </c>
      <c r="I237">
        <v>166</v>
      </c>
      <c r="J237">
        <v>779868</v>
      </c>
      <c r="K237">
        <v>80685</v>
      </c>
      <c r="L237" t="e">
        <f>[1]!Table1[[#This Row],[Revenue]]-[1]!Table1[[#This Row],[OperationalCost]]</f>
        <v>#REF!</v>
      </c>
      <c r="M237" t="str">
        <f t="shared" si="3"/>
        <v>Oct</v>
      </c>
      <c r="N237" s="15">
        <f>Table11[[#This Row],[SeatsSold]]/Table11[[#This Row],[SeatsAvailable]]</f>
        <v>0.81372549019607843</v>
      </c>
      <c r="O237" s="10"/>
    </row>
    <row r="238" spans="1:15" x14ac:dyDescent="0.3">
      <c r="A238" t="s">
        <v>354</v>
      </c>
      <c r="B238" t="s">
        <v>87</v>
      </c>
      <c r="C238" t="s">
        <v>19</v>
      </c>
      <c r="D238" t="s">
        <v>9</v>
      </c>
      <c r="E238" s="16">
        <v>45773</v>
      </c>
      <c r="F238">
        <v>129</v>
      </c>
      <c r="G238" t="s">
        <v>113</v>
      </c>
      <c r="H238">
        <v>187</v>
      </c>
      <c r="I238">
        <v>105</v>
      </c>
      <c r="J238">
        <v>582750</v>
      </c>
      <c r="K238">
        <v>46909</v>
      </c>
      <c r="L238" t="e">
        <f>[1]!Table1[[#This Row],[Revenue]]-[1]!Table1[[#This Row],[OperationalCost]]</f>
        <v>#REF!</v>
      </c>
      <c r="M238" t="str">
        <f t="shared" si="3"/>
        <v>Apr</v>
      </c>
      <c r="N238" s="15">
        <f>Table11[[#This Row],[SeatsSold]]/Table11[[#This Row],[SeatsAvailable]]</f>
        <v>0.56149732620320858</v>
      </c>
      <c r="O238" s="10"/>
    </row>
    <row r="239" spans="1:15" x14ac:dyDescent="0.3">
      <c r="A239" t="s">
        <v>355</v>
      </c>
      <c r="B239" t="s">
        <v>87</v>
      </c>
      <c r="C239" t="s">
        <v>19</v>
      </c>
      <c r="D239" t="s">
        <v>9</v>
      </c>
      <c r="E239" s="16">
        <v>45837</v>
      </c>
      <c r="F239">
        <v>201</v>
      </c>
      <c r="G239" t="s">
        <v>120</v>
      </c>
      <c r="H239">
        <v>179</v>
      </c>
      <c r="I239">
        <v>171</v>
      </c>
      <c r="J239">
        <v>1346112</v>
      </c>
      <c r="K239">
        <v>61120</v>
      </c>
      <c r="L239" t="e">
        <f>[1]!Table1[[#This Row],[Revenue]]-[1]!Table1[[#This Row],[OperationalCost]]</f>
        <v>#REF!</v>
      </c>
      <c r="M239" t="str">
        <f t="shared" si="3"/>
        <v>Jun</v>
      </c>
      <c r="N239" s="15">
        <f>Table11[[#This Row],[SeatsSold]]/Table11[[#This Row],[SeatsAvailable]]</f>
        <v>0.95530726256983245</v>
      </c>
      <c r="O239" s="10"/>
    </row>
    <row r="240" spans="1:15" x14ac:dyDescent="0.3">
      <c r="A240" t="s">
        <v>356</v>
      </c>
      <c r="B240" t="s">
        <v>93</v>
      </c>
      <c r="C240" t="s">
        <v>3</v>
      </c>
      <c r="D240" t="s">
        <v>9</v>
      </c>
      <c r="E240" s="16">
        <v>45801</v>
      </c>
      <c r="F240">
        <v>167</v>
      </c>
      <c r="G240" t="s">
        <v>118</v>
      </c>
      <c r="H240">
        <v>133</v>
      </c>
      <c r="I240">
        <v>40</v>
      </c>
      <c r="J240">
        <v>270880</v>
      </c>
      <c r="K240">
        <v>55026</v>
      </c>
      <c r="L240" t="e">
        <f>[1]!Table1[[#This Row],[Revenue]]-[1]!Table1[[#This Row],[OperationalCost]]</f>
        <v>#REF!</v>
      </c>
      <c r="M240" t="str">
        <f t="shared" si="3"/>
        <v>May</v>
      </c>
      <c r="N240" s="15">
        <f>Table11[[#This Row],[SeatsSold]]/Table11[[#This Row],[SeatsAvailable]]</f>
        <v>0.3007518796992481</v>
      </c>
      <c r="O240" s="10"/>
    </row>
    <row r="241" spans="1:15" x14ac:dyDescent="0.3">
      <c r="A241" t="s">
        <v>357</v>
      </c>
      <c r="B241" t="s">
        <v>102</v>
      </c>
      <c r="C241" t="s">
        <v>6</v>
      </c>
      <c r="D241" t="s">
        <v>19</v>
      </c>
      <c r="E241" s="16">
        <v>45995</v>
      </c>
      <c r="F241">
        <v>122</v>
      </c>
      <c r="G241" t="s">
        <v>116</v>
      </c>
      <c r="H241">
        <v>216</v>
      </c>
      <c r="I241">
        <v>42</v>
      </c>
      <c r="J241">
        <v>284970</v>
      </c>
      <c r="K241">
        <v>72166</v>
      </c>
      <c r="L241" t="e">
        <f>[1]!Table1[[#This Row],[Revenue]]-[1]!Table1[[#This Row],[OperationalCost]]</f>
        <v>#REF!</v>
      </c>
      <c r="M241" t="str">
        <f t="shared" si="3"/>
        <v>Dec</v>
      </c>
      <c r="N241" s="15">
        <f>Table11[[#This Row],[SeatsSold]]/Table11[[#This Row],[SeatsAvailable]]</f>
        <v>0.19444444444444445</v>
      </c>
      <c r="O241" s="10"/>
    </row>
    <row r="242" spans="1:15" x14ac:dyDescent="0.3">
      <c r="A242" t="s">
        <v>358</v>
      </c>
      <c r="B242" t="s">
        <v>60</v>
      </c>
      <c r="C242" t="s">
        <v>9</v>
      </c>
      <c r="D242" t="s">
        <v>20</v>
      </c>
      <c r="E242" s="16">
        <v>46341</v>
      </c>
      <c r="F242">
        <v>75</v>
      </c>
      <c r="G242" t="s">
        <v>120</v>
      </c>
      <c r="H242">
        <v>148</v>
      </c>
      <c r="I242">
        <v>60</v>
      </c>
      <c r="J242">
        <v>548520</v>
      </c>
      <c r="K242">
        <v>52909</v>
      </c>
      <c r="L242" t="e">
        <f>[1]!Table1[[#This Row],[Revenue]]-[1]!Table1[[#This Row],[OperationalCost]]</f>
        <v>#REF!</v>
      </c>
      <c r="M242" t="str">
        <f t="shared" si="3"/>
        <v>Nov</v>
      </c>
      <c r="N242" s="15">
        <f>Table11[[#This Row],[SeatsSold]]/Table11[[#This Row],[SeatsAvailable]]</f>
        <v>0.40540540540540543</v>
      </c>
      <c r="O242" s="10"/>
    </row>
    <row r="243" spans="1:15" x14ac:dyDescent="0.3">
      <c r="A243" t="s">
        <v>359</v>
      </c>
      <c r="B243" t="s">
        <v>51</v>
      </c>
      <c r="C243" t="s">
        <v>19</v>
      </c>
      <c r="D243" t="s">
        <v>3</v>
      </c>
      <c r="E243" s="16">
        <v>46312</v>
      </c>
      <c r="F243">
        <v>120</v>
      </c>
      <c r="G243" t="s">
        <v>118</v>
      </c>
      <c r="H243">
        <v>126</v>
      </c>
      <c r="I243">
        <v>68</v>
      </c>
      <c r="J243">
        <v>318784</v>
      </c>
      <c r="K243">
        <v>44034</v>
      </c>
      <c r="L243" t="e">
        <f>[1]!Table1[[#This Row],[Revenue]]-[1]!Table1[[#This Row],[OperationalCost]]</f>
        <v>#REF!</v>
      </c>
      <c r="M243" t="str">
        <f t="shared" si="3"/>
        <v>Oct</v>
      </c>
      <c r="N243" s="15">
        <f>Table11[[#This Row],[SeatsSold]]/Table11[[#This Row],[SeatsAvailable]]</f>
        <v>0.53968253968253965</v>
      </c>
      <c r="O243" s="10"/>
    </row>
    <row r="244" spans="1:15" x14ac:dyDescent="0.3">
      <c r="A244" t="s">
        <v>360</v>
      </c>
      <c r="B244" t="s">
        <v>16</v>
      </c>
      <c r="C244" t="s">
        <v>6</v>
      </c>
      <c r="D244" t="s">
        <v>21</v>
      </c>
      <c r="E244" s="16">
        <v>46083</v>
      </c>
      <c r="F244">
        <v>224</v>
      </c>
      <c r="G244" t="s">
        <v>116</v>
      </c>
      <c r="H244">
        <v>190</v>
      </c>
      <c r="I244">
        <v>177</v>
      </c>
      <c r="J244">
        <v>1075806</v>
      </c>
      <c r="K244">
        <v>85072</v>
      </c>
      <c r="L244" t="e">
        <f>[1]!Table1[[#This Row],[Revenue]]-[1]!Table1[[#This Row],[OperationalCost]]</f>
        <v>#REF!</v>
      </c>
      <c r="M244" t="str">
        <f t="shared" si="3"/>
        <v>Mar</v>
      </c>
      <c r="N244" s="15">
        <f>Table11[[#This Row],[SeatsSold]]/Table11[[#This Row],[SeatsAvailable]]</f>
        <v>0.93157894736842106</v>
      </c>
      <c r="O244" s="10"/>
    </row>
    <row r="245" spans="1:15" x14ac:dyDescent="0.3">
      <c r="A245" t="s">
        <v>361</v>
      </c>
      <c r="B245" t="s">
        <v>46</v>
      </c>
      <c r="C245" t="s">
        <v>3</v>
      </c>
      <c r="D245" t="s">
        <v>15</v>
      </c>
      <c r="E245" s="16">
        <v>46115</v>
      </c>
      <c r="F245">
        <v>180</v>
      </c>
      <c r="G245" t="s">
        <v>118</v>
      </c>
      <c r="H245">
        <v>89</v>
      </c>
      <c r="I245">
        <v>76</v>
      </c>
      <c r="J245">
        <v>329688</v>
      </c>
      <c r="K245">
        <v>43880</v>
      </c>
      <c r="L245" t="e">
        <f>[1]!Table1[[#This Row],[Revenue]]-[1]!Table1[[#This Row],[OperationalCost]]</f>
        <v>#REF!</v>
      </c>
      <c r="M245" t="str">
        <f t="shared" si="3"/>
        <v>Apr</v>
      </c>
      <c r="N245" s="15">
        <f>Table11[[#This Row],[SeatsSold]]/Table11[[#This Row],[SeatsAvailable]]</f>
        <v>0.8539325842696629</v>
      </c>
      <c r="O245" s="10"/>
    </row>
    <row r="246" spans="1:15" x14ac:dyDescent="0.3">
      <c r="A246" t="s">
        <v>362</v>
      </c>
      <c r="B246" t="s">
        <v>83</v>
      </c>
      <c r="C246" t="s">
        <v>11</v>
      </c>
      <c r="D246" t="s">
        <v>9</v>
      </c>
      <c r="E246" s="16">
        <v>46244</v>
      </c>
      <c r="F246">
        <v>182</v>
      </c>
      <c r="G246" t="s">
        <v>113</v>
      </c>
      <c r="H246">
        <v>112</v>
      </c>
      <c r="I246">
        <v>81</v>
      </c>
      <c r="J246">
        <v>893025</v>
      </c>
      <c r="K246">
        <v>54614</v>
      </c>
      <c r="L246" t="e">
        <f>[1]!Table1[[#This Row],[Revenue]]-[1]!Table1[[#This Row],[OperationalCost]]</f>
        <v>#REF!</v>
      </c>
      <c r="M246" t="str">
        <f t="shared" si="3"/>
        <v>Aug</v>
      </c>
      <c r="N246" s="15">
        <f>Table11[[#This Row],[SeatsSold]]/Table11[[#This Row],[SeatsAvailable]]</f>
        <v>0.7232142857142857</v>
      </c>
      <c r="O246" s="10"/>
    </row>
    <row r="247" spans="1:15" x14ac:dyDescent="0.3">
      <c r="A247" t="s">
        <v>363</v>
      </c>
      <c r="B247" t="s">
        <v>2</v>
      </c>
      <c r="C247" t="s">
        <v>9</v>
      </c>
      <c r="D247" t="s">
        <v>11</v>
      </c>
      <c r="E247" s="16">
        <v>45751</v>
      </c>
      <c r="F247">
        <v>175</v>
      </c>
      <c r="G247" t="s">
        <v>120</v>
      </c>
      <c r="H247">
        <v>84</v>
      </c>
      <c r="I247">
        <v>69</v>
      </c>
      <c r="J247">
        <v>321609</v>
      </c>
      <c r="K247">
        <v>59549</v>
      </c>
      <c r="L247" t="e">
        <f>[1]!Table1[[#This Row],[Revenue]]-[1]!Table1[[#This Row],[OperationalCost]]</f>
        <v>#REF!</v>
      </c>
      <c r="M247" t="str">
        <f t="shared" si="3"/>
        <v>Apr</v>
      </c>
      <c r="N247" s="15">
        <f>Table11[[#This Row],[SeatsSold]]/Table11[[#This Row],[SeatsAvailable]]</f>
        <v>0.8214285714285714</v>
      </c>
      <c r="O247" s="10"/>
    </row>
    <row r="248" spans="1:15" x14ac:dyDescent="0.3">
      <c r="A248" t="s">
        <v>364</v>
      </c>
      <c r="B248" t="s">
        <v>65</v>
      </c>
      <c r="C248" t="s">
        <v>6</v>
      </c>
      <c r="D248" t="s">
        <v>20</v>
      </c>
      <c r="E248" s="16">
        <v>46230</v>
      </c>
      <c r="F248">
        <v>163</v>
      </c>
      <c r="G248" t="s">
        <v>118</v>
      </c>
      <c r="H248">
        <v>75</v>
      </c>
      <c r="I248">
        <v>65</v>
      </c>
      <c r="J248">
        <v>433485</v>
      </c>
      <c r="K248">
        <v>29685</v>
      </c>
      <c r="L248" t="e">
        <f>[1]!Table1[[#This Row],[Revenue]]-[1]!Table1[[#This Row],[OperationalCost]]</f>
        <v>#REF!</v>
      </c>
      <c r="M248" t="str">
        <f t="shared" si="3"/>
        <v>Jul</v>
      </c>
      <c r="N248" s="15">
        <f>Table11[[#This Row],[SeatsSold]]/Table11[[#This Row],[SeatsAvailable]]</f>
        <v>0.8666666666666667</v>
      </c>
      <c r="O248" s="10"/>
    </row>
    <row r="249" spans="1:15" x14ac:dyDescent="0.3">
      <c r="A249" t="s">
        <v>365</v>
      </c>
      <c r="B249" t="s">
        <v>111</v>
      </c>
      <c r="C249" t="s">
        <v>15</v>
      </c>
      <c r="D249" t="s">
        <v>3</v>
      </c>
      <c r="E249" s="16">
        <v>45704</v>
      </c>
      <c r="F249">
        <v>153</v>
      </c>
      <c r="G249" t="s">
        <v>118</v>
      </c>
      <c r="H249">
        <v>86</v>
      </c>
      <c r="I249">
        <v>74</v>
      </c>
      <c r="J249">
        <v>258038</v>
      </c>
      <c r="K249">
        <v>38161</v>
      </c>
      <c r="L249" t="e">
        <f>[1]!Table1[[#This Row],[Revenue]]-[1]!Table1[[#This Row],[OperationalCost]]</f>
        <v>#REF!</v>
      </c>
      <c r="M249" t="str">
        <f t="shared" si="3"/>
        <v>Feb</v>
      </c>
      <c r="N249" s="15">
        <f>Table11[[#This Row],[SeatsSold]]/Table11[[#This Row],[SeatsAvailable]]</f>
        <v>0.86046511627906974</v>
      </c>
      <c r="O249" s="10"/>
    </row>
    <row r="250" spans="1:15" x14ac:dyDescent="0.3">
      <c r="A250" t="s">
        <v>366</v>
      </c>
      <c r="B250" t="s">
        <v>76</v>
      </c>
      <c r="C250" t="s">
        <v>20</v>
      </c>
      <c r="D250" t="s">
        <v>21</v>
      </c>
      <c r="E250" s="16">
        <v>46076</v>
      </c>
      <c r="F250">
        <v>91</v>
      </c>
      <c r="G250" t="s">
        <v>113</v>
      </c>
      <c r="H250">
        <v>177</v>
      </c>
      <c r="I250">
        <v>135</v>
      </c>
      <c r="J250">
        <v>1183410</v>
      </c>
      <c r="K250">
        <v>52446</v>
      </c>
      <c r="L250" t="e">
        <f>[1]!Table1[[#This Row],[Revenue]]-[1]!Table1[[#This Row],[OperationalCost]]</f>
        <v>#REF!</v>
      </c>
      <c r="M250" t="str">
        <f t="shared" si="3"/>
        <v>Feb</v>
      </c>
      <c r="N250" s="15">
        <f>Table11[[#This Row],[SeatsSold]]/Table11[[#This Row],[SeatsAvailable]]</f>
        <v>0.76271186440677963</v>
      </c>
      <c r="O250" s="10"/>
    </row>
    <row r="251" spans="1:15" x14ac:dyDescent="0.3">
      <c r="A251" t="s">
        <v>367</v>
      </c>
      <c r="B251" t="s">
        <v>41</v>
      </c>
      <c r="C251" t="s">
        <v>17</v>
      </c>
      <c r="D251" t="s">
        <v>3</v>
      </c>
      <c r="E251" s="16">
        <v>46357</v>
      </c>
      <c r="F251">
        <v>214</v>
      </c>
      <c r="G251" t="s">
        <v>116</v>
      </c>
      <c r="H251">
        <v>104</v>
      </c>
      <c r="I251">
        <v>84</v>
      </c>
      <c r="J251">
        <v>373212</v>
      </c>
      <c r="K251">
        <v>57878</v>
      </c>
      <c r="L251" t="e">
        <f>[1]!Table1[[#This Row],[Revenue]]-[1]!Table1[[#This Row],[OperationalCost]]</f>
        <v>#REF!</v>
      </c>
      <c r="M251" t="str">
        <f t="shared" si="3"/>
        <v>Dec</v>
      </c>
      <c r="N251" s="15">
        <f>Table11[[#This Row],[SeatsSold]]/Table11[[#This Row],[SeatsAvailable]]</f>
        <v>0.80769230769230771</v>
      </c>
      <c r="O251" s="10"/>
    </row>
    <row r="252" spans="1:15" x14ac:dyDescent="0.3">
      <c r="A252" t="s">
        <v>368</v>
      </c>
      <c r="B252" t="s">
        <v>106</v>
      </c>
      <c r="C252" t="s">
        <v>17</v>
      </c>
      <c r="D252" t="s">
        <v>15</v>
      </c>
      <c r="E252" s="16">
        <v>45788</v>
      </c>
      <c r="F252">
        <v>231</v>
      </c>
      <c r="G252" t="s">
        <v>113</v>
      </c>
      <c r="H252">
        <v>70</v>
      </c>
      <c r="I252">
        <v>64</v>
      </c>
      <c r="J252">
        <v>183808</v>
      </c>
      <c r="K252">
        <v>59136</v>
      </c>
      <c r="L252" t="e">
        <f>[1]!Table1[[#This Row],[Revenue]]-[1]!Table1[[#This Row],[OperationalCost]]</f>
        <v>#REF!</v>
      </c>
      <c r="M252" t="str">
        <f t="shared" si="3"/>
        <v>May</v>
      </c>
      <c r="N252" s="15">
        <f>Table11[[#This Row],[SeatsSold]]/Table11[[#This Row],[SeatsAvailable]]</f>
        <v>0.91428571428571426</v>
      </c>
      <c r="O252" s="10"/>
    </row>
    <row r="253" spans="1:15" x14ac:dyDescent="0.3">
      <c r="A253" t="s">
        <v>369</v>
      </c>
      <c r="B253" t="s">
        <v>70</v>
      </c>
      <c r="C253" t="s">
        <v>11</v>
      </c>
      <c r="D253" t="s">
        <v>17</v>
      </c>
      <c r="E253" s="16">
        <v>46202</v>
      </c>
      <c r="F253">
        <v>142</v>
      </c>
      <c r="G253" t="s">
        <v>113</v>
      </c>
      <c r="H253">
        <v>133</v>
      </c>
      <c r="I253">
        <v>98</v>
      </c>
      <c r="J253">
        <v>800758</v>
      </c>
      <c r="K253">
        <v>42528</v>
      </c>
      <c r="L253" t="e">
        <f>[1]!Table1[[#This Row],[Revenue]]-[1]!Table1[[#This Row],[OperationalCost]]</f>
        <v>#REF!</v>
      </c>
      <c r="M253" t="str">
        <f t="shared" si="3"/>
        <v>Jun</v>
      </c>
      <c r="N253" s="15">
        <f>Table11[[#This Row],[SeatsSold]]/Table11[[#This Row],[SeatsAvailable]]</f>
        <v>0.73684210526315785</v>
      </c>
      <c r="O253" s="10"/>
    </row>
    <row r="254" spans="1:15" x14ac:dyDescent="0.3">
      <c r="A254" t="s">
        <v>370</v>
      </c>
      <c r="B254" t="s">
        <v>7</v>
      </c>
      <c r="C254" t="s">
        <v>9</v>
      </c>
      <c r="D254" t="s">
        <v>3</v>
      </c>
      <c r="E254" s="16">
        <v>45690</v>
      </c>
      <c r="F254">
        <v>214</v>
      </c>
      <c r="G254" t="s">
        <v>120</v>
      </c>
      <c r="H254">
        <v>74</v>
      </c>
      <c r="I254">
        <v>55</v>
      </c>
      <c r="J254">
        <v>323180</v>
      </c>
      <c r="K254">
        <v>37088</v>
      </c>
      <c r="L254" t="e">
        <f>[1]!Table1[[#This Row],[Revenue]]-[1]!Table1[[#This Row],[OperationalCost]]</f>
        <v>#REF!</v>
      </c>
      <c r="M254" t="str">
        <f t="shared" si="3"/>
        <v>Feb</v>
      </c>
      <c r="N254" s="15">
        <f>Table11[[#This Row],[SeatsSold]]/Table11[[#This Row],[SeatsAvailable]]</f>
        <v>0.7432432432432432</v>
      </c>
      <c r="O254" s="10"/>
    </row>
    <row r="255" spans="1:15" x14ac:dyDescent="0.3">
      <c r="A255" t="s">
        <v>371</v>
      </c>
      <c r="B255" t="s">
        <v>64</v>
      </c>
      <c r="C255" t="s">
        <v>15</v>
      </c>
      <c r="D255" t="s">
        <v>20</v>
      </c>
      <c r="E255" s="16">
        <v>46115</v>
      </c>
      <c r="F255">
        <v>198</v>
      </c>
      <c r="G255" t="s">
        <v>122</v>
      </c>
      <c r="H255">
        <v>132</v>
      </c>
      <c r="I255">
        <v>45</v>
      </c>
      <c r="J255">
        <v>409050</v>
      </c>
      <c r="K255">
        <v>64284</v>
      </c>
      <c r="L255" t="e">
        <f>[1]!Table1[[#This Row],[Revenue]]-[1]!Table1[[#This Row],[OperationalCost]]</f>
        <v>#REF!</v>
      </c>
      <c r="M255" t="str">
        <f t="shared" si="3"/>
        <v>Apr</v>
      </c>
      <c r="N255" s="15">
        <f>Table11[[#This Row],[SeatsSold]]/Table11[[#This Row],[SeatsAvailable]]</f>
        <v>0.34090909090909088</v>
      </c>
      <c r="O255" s="10"/>
    </row>
    <row r="256" spans="1:15" x14ac:dyDescent="0.3">
      <c r="A256" t="s">
        <v>372</v>
      </c>
      <c r="B256" t="s">
        <v>83</v>
      </c>
      <c r="C256" t="s">
        <v>11</v>
      </c>
      <c r="D256" t="s">
        <v>9</v>
      </c>
      <c r="E256" s="16">
        <v>45715</v>
      </c>
      <c r="F256">
        <v>80</v>
      </c>
      <c r="G256" t="s">
        <v>116</v>
      </c>
      <c r="H256">
        <v>144</v>
      </c>
      <c r="I256">
        <v>69</v>
      </c>
      <c r="J256">
        <v>823722</v>
      </c>
      <c r="K256">
        <v>48768</v>
      </c>
      <c r="L256" t="e">
        <f>[1]!Table1[[#This Row],[Revenue]]-[1]!Table1[[#This Row],[OperationalCost]]</f>
        <v>#REF!</v>
      </c>
      <c r="M256" t="str">
        <f t="shared" si="3"/>
        <v>Feb</v>
      </c>
      <c r="N256" s="15">
        <f>Table11[[#This Row],[SeatsSold]]/Table11[[#This Row],[SeatsAvailable]]</f>
        <v>0.47916666666666669</v>
      </c>
      <c r="O256" s="10"/>
    </row>
    <row r="257" spans="1:15" x14ac:dyDescent="0.3">
      <c r="A257" t="s">
        <v>373</v>
      </c>
      <c r="B257" t="s">
        <v>45</v>
      </c>
      <c r="C257" t="s">
        <v>15</v>
      </c>
      <c r="D257" t="s">
        <v>21</v>
      </c>
      <c r="E257" s="16">
        <v>45900</v>
      </c>
      <c r="F257">
        <v>122</v>
      </c>
      <c r="G257" t="s">
        <v>113</v>
      </c>
      <c r="H257">
        <v>203</v>
      </c>
      <c r="I257">
        <v>96</v>
      </c>
      <c r="J257">
        <v>890400</v>
      </c>
      <c r="K257">
        <v>54362</v>
      </c>
      <c r="L257" t="e">
        <f>[1]!Table1[[#This Row],[Revenue]]-[1]!Table1[[#This Row],[OperationalCost]]</f>
        <v>#REF!</v>
      </c>
      <c r="M257" t="str">
        <f t="shared" ref="M257:M320" si="4">TEXT(E257,"MMM")</f>
        <v>Aug</v>
      </c>
      <c r="N257" s="15">
        <f>Table11[[#This Row],[SeatsSold]]/Table11[[#This Row],[SeatsAvailable]]</f>
        <v>0.47290640394088668</v>
      </c>
      <c r="O257" s="10"/>
    </row>
    <row r="258" spans="1:15" x14ac:dyDescent="0.3">
      <c r="A258" t="s">
        <v>374</v>
      </c>
      <c r="B258" t="s">
        <v>80</v>
      </c>
      <c r="C258" t="s">
        <v>20</v>
      </c>
      <c r="D258" t="s">
        <v>15</v>
      </c>
      <c r="E258" s="16">
        <v>46263</v>
      </c>
      <c r="F258">
        <v>233</v>
      </c>
      <c r="G258" t="s">
        <v>113</v>
      </c>
      <c r="H258">
        <v>179</v>
      </c>
      <c r="I258">
        <v>166</v>
      </c>
      <c r="J258">
        <v>542488</v>
      </c>
      <c r="K258">
        <v>92140</v>
      </c>
      <c r="L258" t="e">
        <f>[1]!Table1[[#This Row],[Revenue]]-[1]!Table1[[#This Row],[OperationalCost]]</f>
        <v>#REF!</v>
      </c>
      <c r="M258" t="str">
        <f t="shared" si="4"/>
        <v>Aug</v>
      </c>
      <c r="N258" s="15">
        <f>Table11[[#This Row],[SeatsSold]]/Table11[[#This Row],[SeatsAvailable]]</f>
        <v>0.92737430167597767</v>
      </c>
      <c r="O258" s="10"/>
    </row>
    <row r="259" spans="1:15" x14ac:dyDescent="0.3">
      <c r="A259" t="s">
        <v>375</v>
      </c>
      <c r="B259" t="s">
        <v>106</v>
      </c>
      <c r="C259" t="s">
        <v>17</v>
      </c>
      <c r="D259" t="s">
        <v>15</v>
      </c>
      <c r="E259" s="16">
        <v>45984</v>
      </c>
      <c r="F259">
        <v>223</v>
      </c>
      <c r="G259" t="s">
        <v>120</v>
      </c>
      <c r="H259">
        <v>174</v>
      </c>
      <c r="I259">
        <v>78</v>
      </c>
      <c r="J259">
        <v>578214</v>
      </c>
      <c r="K259">
        <v>70266</v>
      </c>
      <c r="L259" t="e">
        <f>[1]!Table1[[#This Row],[Revenue]]-[1]!Table1[[#This Row],[OperationalCost]]</f>
        <v>#REF!</v>
      </c>
      <c r="M259" t="str">
        <f t="shared" si="4"/>
        <v>Nov</v>
      </c>
      <c r="N259" s="15">
        <f>Table11[[#This Row],[SeatsSold]]/Table11[[#This Row],[SeatsAvailable]]</f>
        <v>0.44827586206896552</v>
      </c>
      <c r="O259" s="10"/>
    </row>
    <row r="260" spans="1:15" x14ac:dyDescent="0.3">
      <c r="A260" t="s">
        <v>376</v>
      </c>
      <c r="B260" t="s">
        <v>68</v>
      </c>
      <c r="C260" t="s">
        <v>11</v>
      </c>
      <c r="D260" t="s">
        <v>6</v>
      </c>
      <c r="E260" s="16">
        <v>45904</v>
      </c>
      <c r="F260">
        <v>102</v>
      </c>
      <c r="G260" t="s">
        <v>118</v>
      </c>
      <c r="H260">
        <v>106</v>
      </c>
      <c r="I260">
        <v>99</v>
      </c>
      <c r="J260">
        <v>340956</v>
      </c>
      <c r="K260">
        <v>46436</v>
      </c>
      <c r="L260" t="e">
        <f>[1]!Table1[[#This Row],[Revenue]]-[1]!Table1[[#This Row],[OperationalCost]]</f>
        <v>#REF!</v>
      </c>
      <c r="M260" t="str">
        <f t="shared" si="4"/>
        <v>Sep</v>
      </c>
      <c r="N260" s="15">
        <f>Table11[[#This Row],[SeatsSold]]/Table11[[#This Row],[SeatsAvailable]]</f>
        <v>0.93396226415094341</v>
      </c>
      <c r="O260" s="10"/>
    </row>
    <row r="261" spans="1:15" x14ac:dyDescent="0.3">
      <c r="A261" t="s">
        <v>377</v>
      </c>
      <c r="B261" t="s">
        <v>106</v>
      </c>
      <c r="C261" t="s">
        <v>17</v>
      </c>
      <c r="D261" t="s">
        <v>15</v>
      </c>
      <c r="E261" s="16">
        <v>46200</v>
      </c>
      <c r="F261">
        <v>79</v>
      </c>
      <c r="G261" t="s">
        <v>120</v>
      </c>
      <c r="H261">
        <v>132</v>
      </c>
      <c r="I261">
        <v>72</v>
      </c>
      <c r="J261">
        <v>419832</v>
      </c>
      <c r="K261">
        <v>48456</v>
      </c>
      <c r="L261" t="e">
        <f>[1]!Table1[[#This Row],[Revenue]]-[1]!Table1[[#This Row],[OperationalCost]]</f>
        <v>#REF!</v>
      </c>
      <c r="M261" t="str">
        <f t="shared" si="4"/>
        <v>Jun</v>
      </c>
      <c r="N261" s="15">
        <f>Table11[[#This Row],[SeatsSold]]/Table11[[#This Row],[SeatsAvailable]]</f>
        <v>0.54545454545454541</v>
      </c>
      <c r="O261" s="10"/>
    </row>
    <row r="262" spans="1:15" x14ac:dyDescent="0.3">
      <c r="A262" t="s">
        <v>378</v>
      </c>
      <c r="B262" t="s">
        <v>8</v>
      </c>
      <c r="C262" t="s">
        <v>3</v>
      </c>
      <c r="D262" t="s">
        <v>11</v>
      </c>
      <c r="E262" s="16">
        <v>46037</v>
      </c>
      <c r="F262">
        <v>68</v>
      </c>
      <c r="G262" t="s">
        <v>116</v>
      </c>
      <c r="H262">
        <v>118</v>
      </c>
      <c r="I262">
        <v>46</v>
      </c>
      <c r="J262">
        <v>317308</v>
      </c>
      <c r="K262">
        <v>42300</v>
      </c>
      <c r="L262" t="e">
        <f>[1]!Table1[[#This Row],[Revenue]]-[1]!Table1[[#This Row],[OperationalCost]]</f>
        <v>#REF!</v>
      </c>
      <c r="M262" t="str">
        <f t="shared" si="4"/>
        <v>Jan</v>
      </c>
      <c r="N262" s="15">
        <f>Table11[[#This Row],[SeatsSold]]/Table11[[#This Row],[SeatsAvailable]]</f>
        <v>0.38983050847457629</v>
      </c>
      <c r="O262" s="10"/>
    </row>
    <row r="263" spans="1:15" x14ac:dyDescent="0.3">
      <c r="A263" t="s">
        <v>379</v>
      </c>
      <c r="B263" t="s">
        <v>64</v>
      </c>
      <c r="C263" t="s">
        <v>15</v>
      </c>
      <c r="D263" t="s">
        <v>20</v>
      </c>
      <c r="E263" s="16">
        <v>45732</v>
      </c>
      <c r="F263">
        <v>93</v>
      </c>
      <c r="G263" t="s">
        <v>116</v>
      </c>
      <c r="H263">
        <v>213</v>
      </c>
      <c r="I263">
        <v>95</v>
      </c>
      <c r="J263">
        <v>983630</v>
      </c>
      <c r="K263">
        <v>51234</v>
      </c>
      <c r="L263" t="e">
        <f>[1]!Table1[[#This Row],[Revenue]]-[1]!Table1[[#This Row],[OperationalCost]]</f>
        <v>#REF!</v>
      </c>
      <c r="M263" t="str">
        <f t="shared" si="4"/>
        <v>Mar</v>
      </c>
      <c r="N263" s="15">
        <f>Table11[[#This Row],[SeatsSold]]/Table11[[#This Row],[SeatsAvailable]]</f>
        <v>0.4460093896713615</v>
      </c>
      <c r="O263" s="10"/>
    </row>
    <row r="264" spans="1:15" x14ac:dyDescent="0.3">
      <c r="A264" t="s">
        <v>380</v>
      </c>
      <c r="B264" t="s">
        <v>100</v>
      </c>
      <c r="C264" t="s">
        <v>19</v>
      </c>
      <c r="D264" t="s">
        <v>20</v>
      </c>
      <c r="E264" s="16">
        <v>45874</v>
      </c>
      <c r="F264">
        <v>93</v>
      </c>
      <c r="G264" t="s">
        <v>122</v>
      </c>
      <c r="H264">
        <v>192</v>
      </c>
      <c r="I264">
        <v>102</v>
      </c>
      <c r="J264">
        <v>596700</v>
      </c>
      <c r="K264">
        <v>47625</v>
      </c>
      <c r="L264" t="e">
        <f>[1]!Table1[[#This Row],[Revenue]]-[1]!Table1[[#This Row],[OperationalCost]]</f>
        <v>#REF!</v>
      </c>
      <c r="M264" t="str">
        <f t="shared" si="4"/>
        <v>Aug</v>
      </c>
      <c r="N264" s="15">
        <f>Table11[[#This Row],[SeatsSold]]/Table11[[#This Row],[SeatsAvailable]]</f>
        <v>0.53125</v>
      </c>
      <c r="O264" s="10"/>
    </row>
    <row r="265" spans="1:15" x14ac:dyDescent="0.3">
      <c r="A265" t="s">
        <v>381</v>
      </c>
      <c r="B265" t="s">
        <v>13</v>
      </c>
      <c r="C265" t="s">
        <v>11</v>
      </c>
      <c r="D265" t="s">
        <v>21</v>
      </c>
      <c r="E265" s="16">
        <v>45947</v>
      </c>
      <c r="F265">
        <v>142</v>
      </c>
      <c r="G265" t="s">
        <v>120</v>
      </c>
      <c r="H265">
        <v>206</v>
      </c>
      <c r="I265">
        <v>206</v>
      </c>
      <c r="J265">
        <v>1727516</v>
      </c>
      <c r="K265">
        <v>58192</v>
      </c>
      <c r="L265" t="e">
        <f>[1]!Table1[[#This Row],[Revenue]]-[1]!Table1[[#This Row],[OperationalCost]]</f>
        <v>#REF!</v>
      </c>
      <c r="M265" t="str">
        <f t="shared" si="4"/>
        <v>Oct</v>
      </c>
      <c r="N265" s="15">
        <f>Table11[[#This Row],[SeatsSold]]/Table11[[#This Row],[SeatsAvailable]]</f>
        <v>1</v>
      </c>
      <c r="O265" s="10"/>
    </row>
    <row r="266" spans="1:15" x14ac:dyDescent="0.3">
      <c r="A266" t="s">
        <v>382</v>
      </c>
      <c r="B266" t="s">
        <v>33</v>
      </c>
      <c r="C266" t="s">
        <v>21</v>
      </c>
      <c r="D266" t="s">
        <v>15</v>
      </c>
      <c r="E266" s="16">
        <v>46167</v>
      </c>
      <c r="F266">
        <v>164</v>
      </c>
      <c r="G266" t="s">
        <v>122</v>
      </c>
      <c r="H266">
        <v>190</v>
      </c>
      <c r="I266">
        <v>121</v>
      </c>
      <c r="J266">
        <v>705188</v>
      </c>
      <c r="K266">
        <v>65496</v>
      </c>
      <c r="L266" t="e">
        <f>[1]!Table1[[#This Row],[Revenue]]-[1]!Table1[[#This Row],[OperationalCost]]</f>
        <v>#REF!</v>
      </c>
      <c r="M266" t="str">
        <f t="shared" si="4"/>
        <v>May</v>
      </c>
      <c r="N266" s="15">
        <f>Table11[[#This Row],[SeatsSold]]/Table11[[#This Row],[SeatsAvailable]]</f>
        <v>0.63684210526315788</v>
      </c>
      <c r="O266" s="10"/>
    </row>
    <row r="267" spans="1:15" x14ac:dyDescent="0.3">
      <c r="A267" t="s">
        <v>383</v>
      </c>
      <c r="B267" t="s">
        <v>103</v>
      </c>
      <c r="C267" t="s">
        <v>17</v>
      </c>
      <c r="D267" t="s">
        <v>20</v>
      </c>
      <c r="E267" s="16">
        <v>46234</v>
      </c>
      <c r="F267">
        <v>101</v>
      </c>
      <c r="G267" t="s">
        <v>113</v>
      </c>
      <c r="H267">
        <v>74</v>
      </c>
      <c r="I267">
        <v>56</v>
      </c>
      <c r="J267">
        <v>647640</v>
      </c>
      <c r="K267">
        <v>44041</v>
      </c>
      <c r="L267" t="e">
        <f>[1]!Table1[[#This Row],[Revenue]]-[1]!Table1[[#This Row],[OperationalCost]]</f>
        <v>#REF!</v>
      </c>
      <c r="M267" t="str">
        <f t="shared" si="4"/>
        <v>Jul</v>
      </c>
      <c r="N267" s="15">
        <f>Table11[[#This Row],[SeatsSold]]/Table11[[#This Row],[SeatsAvailable]]</f>
        <v>0.7567567567567568</v>
      </c>
      <c r="O267" s="10"/>
    </row>
    <row r="268" spans="1:15" x14ac:dyDescent="0.3">
      <c r="A268" t="s">
        <v>384</v>
      </c>
      <c r="B268" t="s">
        <v>107</v>
      </c>
      <c r="C268" t="s">
        <v>17</v>
      </c>
      <c r="D268" t="s">
        <v>19</v>
      </c>
      <c r="E268" s="16">
        <v>45814</v>
      </c>
      <c r="F268">
        <v>95</v>
      </c>
      <c r="G268" t="s">
        <v>118</v>
      </c>
      <c r="H268">
        <v>128</v>
      </c>
      <c r="I268">
        <v>88</v>
      </c>
      <c r="J268">
        <v>1041480</v>
      </c>
      <c r="K268">
        <v>43786</v>
      </c>
      <c r="L268" t="e">
        <f>[1]!Table1[[#This Row],[Revenue]]-[1]!Table1[[#This Row],[OperationalCost]]</f>
        <v>#REF!</v>
      </c>
      <c r="M268" t="str">
        <f t="shared" si="4"/>
        <v>Jun</v>
      </c>
      <c r="N268" s="15">
        <f>Table11[[#This Row],[SeatsSold]]/Table11[[#This Row],[SeatsAvailable]]</f>
        <v>0.6875</v>
      </c>
      <c r="O268" s="10"/>
    </row>
    <row r="269" spans="1:15" x14ac:dyDescent="0.3">
      <c r="A269" t="s">
        <v>385</v>
      </c>
      <c r="B269" t="s">
        <v>13</v>
      </c>
      <c r="C269" t="s">
        <v>11</v>
      </c>
      <c r="D269" t="s">
        <v>21</v>
      </c>
      <c r="E269" s="16">
        <v>45921</v>
      </c>
      <c r="F269">
        <v>240</v>
      </c>
      <c r="G269" t="s">
        <v>120</v>
      </c>
      <c r="H269">
        <v>195</v>
      </c>
      <c r="I269">
        <v>157</v>
      </c>
      <c r="J269">
        <v>825192</v>
      </c>
      <c r="K269">
        <v>74385</v>
      </c>
      <c r="L269" t="e">
        <f>[1]!Table1[[#This Row],[Revenue]]-[1]!Table1[[#This Row],[OperationalCost]]</f>
        <v>#REF!</v>
      </c>
      <c r="M269" t="str">
        <f t="shared" si="4"/>
        <v>Sep</v>
      </c>
      <c r="N269" s="15">
        <f>Table11[[#This Row],[SeatsSold]]/Table11[[#This Row],[SeatsAvailable]]</f>
        <v>0.80512820512820515</v>
      </c>
      <c r="O269" s="10"/>
    </row>
    <row r="270" spans="1:15" x14ac:dyDescent="0.3">
      <c r="A270" t="s">
        <v>386</v>
      </c>
      <c r="B270" t="s">
        <v>42</v>
      </c>
      <c r="C270" t="s">
        <v>14</v>
      </c>
      <c r="D270" t="s">
        <v>15</v>
      </c>
      <c r="E270" s="16">
        <v>46158</v>
      </c>
      <c r="F270">
        <v>92</v>
      </c>
      <c r="G270" t="s">
        <v>116</v>
      </c>
      <c r="H270">
        <v>85</v>
      </c>
      <c r="I270">
        <v>73</v>
      </c>
      <c r="J270">
        <v>222942</v>
      </c>
      <c r="K270">
        <v>20608</v>
      </c>
      <c r="L270" t="e">
        <f>[1]!Table1[[#This Row],[Revenue]]-[1]!Table1[[#This Row],[OperationalCost]]</f>
        <v>#REF!</v>
      </c>
      <c r="M270" t="str">
        <f t="shared" si="4"/>
        <v>May</v>
      </c>
      <c r="N270" s="15">
        <f>Table11[[#This Row],[SeatsSold]]/Table11[[#This Row],[SeatsAvailable]]</f>
        <v>0.85882352941176465</v>
      </c>
      <c r="O270" s="10"/>
    </row>
    <row r="271" spans="1:15" x14ac:dyDescent="0.3">
      <c r="A271" t="s">
        <v>387</v>
      </c>
      <c r="B271" t="s">
        <v>85</v>
      </c>
      <c r="C271" t="s">
        <v>20</v>
      </c>
      <c r="D271" t="s">
        <v>6</v>
      </c>
      <c r="E271" s="16">
        <v>45798</v>
      </c>
      <c r="F271">
        <v>206</v>
      </c>
      <c r="G271" t="s">
        <v>113</v>
      </c>
      <c r="H271">
        <v>87</v>
      </c>
      <c r="I271">
        <v>85</v>
      </c>
      <c r="J271">
        <v>422790</v>
      </c>
      <c r="K271">
        <v>36877</v>
      </c>
      <c r="L271" t="e">
        <f>[1]!Table1[[#This Row],[Revenue]]-[1]!Table1[[#This Row],[OperationalCost]]</f>
        <v>#REF!</v>
      </c>
      <c r="M271" t="str">
        <f t="shared" si="4"/>
        <v>May</v>
      </c>
      <c r="N271" s="15">
        <f>Table11[[#This Row],[SeatsSold]]/Table11[[#This Row],[SeatsAvailable]]</f>
        <v>0.97701149425287359</v>
      </c>
      <c r="O271" s="10"/>
    </row>
    <row r="272" spans="1:15" x14ac:dyDescent="0.3">
      <c r="A272" t="s">
        <v>388</v>
      </c>
      <c r="B272" t="s">
        <v>68</v>
      </c>
      <c r="C272" t="s">
        <v>11</v>
      </c>
      <c r="D272" t="s">
        <v>6</v>
      </c>
      <c r="E272" s="16">
        <v>46040</v>
      </c>
      <c r="F272">
        <v>60</v>
      </c>
      <c r="G272" t="s">
        <v>116</v>
      </c>
      <c r="H272">
        <v>193</v>
      </c>
      <c r="I272">
        <v>164</v>
      </c>
      <c r="J272">
        <v>452148</v>
      </c>
      <c r="K272">
        <v>48948</v>
      </c>
      <c r="L272" t="e">
        <f>[1]!Table1[[#This Row],[Revenue]]-[1]!Table1[[#This Row],[OperationalCost]]</f>
        <v>#REF!</v>
      </c>
      <c r="M272" t="str">
        <f t="shared" si="4"/>
        <v>Jan</v>
      </c>
      <c r="N272" s="15">
        <f>Table11[[#This Row],[SeatsSold]]/Table11[[#This Row],[SeatsAvailable]]</f>
        <v>0.84974093264248707</v>
      </c>
      <c r="O272" s="10"/>
    </row>
    <row r="273" spans="1:15" x14ac:dyDescent="0.3">
      <c r="A273" t="s">
        <v>389</v>
      </c>
      <c r="B273" t="s">
        <v>70</v>
      </c>
      <c r="C273" t="s">
        <v>11</v>
      </c>
      <c r="D273" t="s">
        <v>17</v>
      </c>
      <c r="E273" s="16">
        <v>45670</v>
      </c>
      <c r="F273">
        <v>49</v>
      </c>
      <c r="G273" t="s">
        <v>116</v>
      </c>
      <c r="H273">
        <v>140</v>
      </c>
      <c r="I273">
        <v>108</v>
      </c>
      <c r="J273">
        <v>777276</v>
      </c>
      <c r="K273">
        <v>35196</v>
      </c>
      <c r="L273" t="e">
        <f>[1]!Table1[[#This Row],[Revenue]]-[1]!Table1[[#This Row],[OperationalCost]]</f>
        <v>#REF!</v>
      </c>
      <c r="M273" t="str">
        <f t="shared" si="4"/>
        <v>Jan</v>
      </c>
      <c r="N273" s="15">
        <f>Table11[[#This Row],[SeatsSold]]/Table11[[#This Row],[SeatsAvailable]]</f>
        <v>0.77142857142857146</v>
      </c>
      <c r="O273" s="10"/>
    </row>
    <row r="274" spans="1:15" x14ac:dyDescent="0.3">
      <c r="A274" t="s">
        <v>390</v>
      </c>
      <c r="B274" t="s">
        <v>10</v>
      </c>
      <c r="C274" t="s">
        <v>17</v>
      </c>
      <c r="D274" t="s">
        <v>14</v>
      </c>
      <c r="E274" s="16">
        <v>45767</v>
      </c>
      <c r="F274">
        <v>69</v>
      </c>
      <c r="G274" t="s">
        <v>116</v>
      </c>
      <c r="H274">
        <v>108</v>
      </c>
      <c r="I274">
        <v>70</v>
      </c>
      <c r="J274">
        <v>395080</v>
      </c>
      <c r="K274">
        <v>42294</v>
      </c>
      <c r="L274" t="e">
        <f>[1]!Table1[[#This Row],[Revenue]]-[1]!Table1[[#This Row],[OperationalCost]]</f>
        <v>#REF!</v>
      </c>
      <c r="M274" t="str">
        <f t="shared" si="4"/>
        <v>Apr</v>
      </c>
      <c r="N274" s="15">
        <f>Table11[[#This Row],[SeatsSold]]/Table11[[#This Row],[SeatsAvailable]]</f>
        <v>0.64814814814814814</v>
      </c>
      <c r="O274" s="10"/>
    </row>
    <row r="275" spans="1:15" x14ac:dyDescent="0.3">
      <c r="A275" t="s">
        <v>391</v>
      </c>
      <c r="B275" t="s">
        <v>73</v>
      </c>
      <c r="C275" t="s">
        <v>19</v>
      </c>
      <c r="D275" t="s">
        <v>17</v>
      </c>
      <c r="E275" s="16">
        <v>45931</v>
      </c>
      <c r="F275">
        <v>146</v>
      </c>
      <c r="G275" t="s">
        <v>122</v>
      </c>
      <c r="H275">
        <v>165</v>
      </c>
      <c r="I275">
        <v>162</v>
      </c>
      <c r="J275">
        <v>1482624</v>
      </c>
      <c r="K275">
        <v>71562</v>
      </c>
      <c r="L275" t="e">
        <f>[1]!Table1[[#This Row],[Revenue]]-[1]!Table1[[#This Row],[OperationalCost]]</f>
        <v>#REF!</v>
      </c>
      <c r="M275" t="str">
        <f t="shared" si="4"/>
        <v>Oct</v>
      </c>
      <c r="N275" s="15">
        <f>Table11[[#This Row],[SeatsSold]]/Table11[[#This Row],[SeatsAvailable]]</f>
        <v>0.98181818181818181</v>
      </c>
      <c r="O275" s="10"/>
    </row>
    <row r="276" spans="1:15" x14ac:dyDescent="0.3">
      <c r="A276" t="s">
        <v>392</v>
      </c>
      <c r="B276" t="s">
        <v>58</v>
      </c>
      <c r="C276" t="s">
        <v>9</v>
      </c>
      <c r="D276" t="s">
        <v>19</v>
      </c>
      <c r="E276" s="16">
        <v>45965</v>
      </c>
      <c r="F276">
        <v>220</v>
      </c>
      <c r="G276" t="s">
        <v>122</v>
      </c>
      <c r="H276">
        <v>78</v>
      </c>
      <c r="I276">
        <v>45</v>
      </c>
      <c r="J276">
        <v>411300</v>
      </c>
      <c r="K276">
        <v>61468</v>
      </c>
      <c r="L276" t="e">
        <f>[1]!Table1[[#This Row],[Revenue]]-[1]!Table1[[#This Row],[OperationalCost]]</f>
        <v>#REF!</v>
      </c>
      <c r="M276" t="str">
        <f t="shared" si="4"/>
        <v>Nov</v>
      </c>
      <c r="N276" s="15">
        <f>Table11[[#This Row],[SeatsSold]]/Table11[[#This Row],[SeatsAvailable]]</f>
        <v>0.57692307692307687</v>
      </c>
      <c r="O276" s="10"/>
    </row>
    <row r="277" spans="1:15" x14ac:dyDescent="0.3">
      <c r="A277" t="s">
        <v>393</v>
      </c>
      <c r="B277" t="s">
        <v>68</v>
      </c>
      <c r="C277" t="s">
        <v>11</v>
      </c>
      <c r="D277" t="s">
        <v>6</v>
      </c>
      <c r="E277" s="16">
        <v>45715</v>
      </c>
      <c r="F277">
        <v>208</v>
      </c>
      <c r="G277" t="s">
        <v>122</v>
      </c>
      <c r="H277">
        <v>113</v>
      </c>
      <c r="I277">
        <v>50</v>
      </c>
      <c r="J277">
        <v>534450</v>
      </c>
      <c r="K277">
        <v>75733</v>
      </c>
      <c r="L277" t="e">
        <f>[1]!Table1[[#This Row],[Revenue]]-[1]!Table1[[#This Row],[OperationalCost]]</f>
        <v>#REF!</v>
      </c>
      <c r="M277" t="str">
        <f t="shared" si="4"/>
        <v>Feb</v>
      </c>
      <c r="N277" s="15">
        <f>Table11[[#This Row],[SeatsSold]]/Table11[[#This Row],[SeatsAvailable]]</f>
        <v>0.44247787610619471</v>
      </c>
      <c r="O277" s="10"/>
    </row>
    <row r="278" spans="1:15" x14ac:dyDescent="0.3">
      <c r="A278" t="s">
        <v>394</v>
      </c>
      <c r="B278" t="s">
        <v>12</v>
      </c>
      <c r="C278" t="s">
        <v>21</v>
      </c>
      <c r="D278" t="s">
        <v>3</v>
      </c>
      <c r="E278" s="16">
        <v>46198</v>
      </c>
      <c r="F278">
        <v>55</v>
      </c>
      <c r="G278" t="s">
        <v>113</v>
      </c>
      <c r="H278">
        <v>124</v>
      </c>
      <c r="I278">
        <v>112</v>
      </c>
      <c r="J278">
        <v>1152480</v>
      </c>
      <c r="K278">
        <v>21679</v>
      </c>
      <c r="L278" t="e">
        <f>[1]!Table1[[#This Row],[Revenue]]-[1]!Table1[[#This Row],[OperationalCost]]</f>
        <v>#REF!</v>
      </c>
      <c r="M278" t="str">
        <f t="shared" si="4"/>
        <v>Jun</v>
      </c>
      <c r="N278" s="15">
        <f>Table11[[#This Row],[SeatsSold]]/Table11[[#This Row],[SeatsAvailable]]</f>
        <v>0.90322580645161288</v>
      </c>
      <c r="O278" s="10"/>
    </row>
    <row r="279" spans="1:15" x14ac:dyDescent="0.3">
      <c r="A279" t="s">
        <v>395</v>
      </c>
      <c r="B279" t="s">
        <v>96</v>
      </c>
      <c r="C279" t="s">
        <v>3</v>
      </c>
      <c r="D279" t="s">
        <v>21</v>
      </c>
      <c r="E279" s="16">
        <v>46214</v>
      </c>
      <c r="F279">
        <v>189</v>
      </c>
      <c r="G279" t="s">
        <v>122</v>
      </c>
      <c r="H279">
        <v>115</v>
      </c>
      <c r="I279">
        <v>80</v>
      </c>
      <c r="J279">
        <v>220480</v>
      </c>
      <c r="K279">
        <v>59147</v>
      </c>
      <c r="L279" t="e">
        <f>[1]!Table1[[#This Row],[Revenue]]-[1]!Table1[[#This Row],[OperationalCost]]</f>
        <v>#REF!</v>
      </c>
      <c r="M279" t="str">
        <f t="shared" si="4"/>
        <v>Jul</v>
      </c>
      <c r="N279" s="15">
        <f>Table11[[#This Row],[SeatsSold]]/Table11[[#This Row],[SeatsAvailable]]</f>
        <v>0.69565217391304346</v>
      </c>
      <c r="O279" s="10"/>
    </row>
    <row r="280" spans="1:15" x14ac:dyDescent="0.3">
      <c r="A280" t="s">
        <v>396</v>
      </c>
      <c r="B280" t="s">
        <v>55</v>
      </c>
      <c r="C280" t="s">
        <v>14</v>
      </c>
      <c r="D280" t="s">
        <v>6</v>
      </c>
      <c r="E280" s="16">
        <v>45736</v>
      </c>
      <c r="F280">
        <v>121</v>
      </c>
      <c r="G280" t="s">
        <v>113</v>
      </c>
      <c r="H280">
        <v>214</v>
      </c>
      <c r="I280">
        <v>101</v>
      </c>
      <c r="J280">
        <v>1190184</v>
      </c>
      <c r="K280">
        <v>73151</v>
      </c>
      <c r="L280" t="e">
        <f>[1]!Table1[[#This Row],[Revenue]]-[1]!Table1[[#This Row],[OperationalCost]]</f>
        <v>#REF!</v>
      </c>
      <c r="M280" t="str">
        <f t="shared" si="4"/>
        <v>Mar</v>
      </c>
      <c r="N280" s="15">
        <f>Table11[[#This Row],[SeatsSold]]/Table11[[#This Row],[SeatsAvailable]]</f>
        <v>0.4719626168224299</v>
      </c>
      <c r="O280" s="10"/>
    </row>
    <row r="281" spans="1:15" x14ac:dyDescent="0.3">
      <c r="A281" t="s">
        <v>397</v>
      </c>
      <c r="B281" t="s">
        <v>61</v>
      </c>
      <c r="C281" t="s">
        <v>21</v>
      </c>
      <c r="D281" t="s">
        <v>6</v>
      </c>
      <c r="E281" s="16">
        <v>45801</v>
      </c>
      <c r="F281">
        <v>221</v>
      </c>
      <c r="G281" t="s">
        <v>122</v>
      </c>
      <c r="H281">
        <v>198</v>
      </c>
      <c r="I281">
        <v>128</v>
      </c>
      <c r="J281">
        <v>432512</v>
      </c>
      <c r="K281">
        <v>69863</v>
      </c>
      <c r="L281" t="e">
        <f>[1]!Table1[[#This Row],[Revenue]]-[1]!Table1[[#This Row],[OperationalCost]]</f>
        <v>#REF!</v>
      </c>
      <c r="M281" t="str">
        <f t="shared" si="4"/>
        <v>May</v>
      </c>
      <c r="N281" s="15">
        <f>Table11[[#This Row],[SeatsSold]]/Table11[[#This Row],[SeatsAvailable]]</f>
        <v>0.64646464646464652</v>
      </c>
      <c r="O281" s="10"/>
    </row>
    <row r="282" spans="1:15" x14ac:dyDescent="0.3">
      <c r="A282" t="s">
        <v>398</v>
      </c>
      <c r="B282" t="s">
        <v>7</v>
      </c>
      <c r="C282" t="s">
        <v>9</v>
      </c>
      <c r="D282" t="s">
        <v>3</v>
      </c>
      <c r="E282" s="16">
        <v>46006</v>
      </c>
      <c r="F282">
        <v>199</v>
      </c>
      <c r="G282" t="s">
        <v>116</v>
      </c>
      <c r="H282">
        <v>171</v>
      </c>
      <c r="I282">
        <v>123</v>
      </c>
      <c r="J282">
        <v>367155</v>
      </c>
      <c r="K282">
        <v>81597</v>
      </c>
      <c r="L282" t="e">
        <f>[1]!Table1[[#This Row],[Revenue]]-[1]!Table1[[#This Row],[OperationalCost]]</f>
        <v>#REF!</v>
      </c>
      <c r="M282" t="str">
        <f t="shared" si="4"/>
        <v>Dec</v>
      </c>
      <c r="N282" s="15">
        <f>Table11[[#This Row],[SeatsSold]]/Table11[[#This Row],[SeatsAvailable]]</f>
        <v>0.7192982456140351</v>
      </c>
      <c r="O282" s="10"/>
    </row>
    <row r="283" spans="1:15" x14ac:dyDescent="0.3">
      <c r="A283" t="s">
        <v>399</v>
      </c>
      <c r="B283" t="s">
        <v>36</v>
      </c>
      <c r="C283" t="s">
        <v>6</v>
      </c>
      <c r="D283" t="s">
        <v>11</v>
      </c>
      <c r="E283" s="16">
        <v>45891</v>
      </c>
      <c r="F283">
        <v>136</v>
      </c>
      <c r="G283" t="s">
        <v>116</v>
      </c>
      <c r="H283">
        <v>166</v>
      </c>
      <c r="I283">
        <v>95</v>
      </c>
      <c r="J283">
        <v>526585</v>
      </c>
      <c r="K283">
        <v>77998</v>
      </c>
      <c r="L283" t="e">
        <f>[1]!Table1[[#This Row],[Revenue]]-[1]!Table1[[#This Row],[OperationalCost]]</f>
        <v>#REF!</v>
      </c>
      <c r="M283" t="str">
        <f t="shared" si="4"/>
        <v>Aug</v>
      </c>
      <c r="N283" s="15">
        <f>Table11[[#This Row],[SeatsSold]]/Table11[[#This Row],[SeatsAvailable]]</f>
        <v>0.57228915662650603</v>
      </c>
      <c r="O283" s="10"/>
    </row>
    <row r="284" spans="1:15" x14ac:dyDescent="0.3">
      <c r="A284" t="s">
        <v>400</v>
      </c>
      <c r="B284" t="s">
        <v>41</v>
      </c>
      <c r="C284" t="s">
        <v>17</v>
      </c>
      <c r="D284" t="s">
        <v>3</v>
      </c>
      <c r="E284" s="16">
        <v>46291</v>
      </c>
      <c r="F284">
        <v>120</v>
      </c>
      <c r="G284" t="s">
        <v>113</v>
      </c>
      <c r="H284">
        <v>88</v>
      </c>
      <c r="I284">
        <v>45</v>
      </c>
      <c r="J284">
        <v>310050</v>
      </c>
      <c r="K284">
        <v>34656</v>
      </c>
      <c r="L284" t="e">
        <f>[1]!Table1[[#This Row],[Revenue]]-[1]!Table1[[#This Row],[OperationalCost]]</f>
        <v>#REF!</v>
      </c>
      <c r="M284" t="str">
        <f t="shared" si="4"/>
        <v>Sep</v>
      </c>
      <c r="N284" s="15">
        <f>Table11[[#This Row],[SeatsSold]]/Table11[[#This Row],[SeatsAvailable]]</f>
        <v>0.51136363636363635</v>
      </c>
      <c r="O284" s="10"/>
    </row>
    <row r="285" spans="1:15" x14ac:dyDescent="0.3">
      <c r="A285" t="s">
        <v>401</v>
      </c>
      <c r="B285" t="s">
        <v>55</v>
      </c>
      <c r="C285" t="s">
        <v>14</v>
      </c>
      <c r="D285" t="s">
        <v>6</v>
      </c>
      <c r="E285" s="16">
        <v>45982</v>
      </c>
      <c r="F285">
        <v>137</v>
      </c>
      <c r="G285" t="s">
        <v>122</v>
      </c>
      <c r="H285">
        <v>93</v>
      </c>
      <c r="I285">
        <v>40</v>
      </c>
      <c r="J285">
        <v>302000</v>
      </c>
      <c r="K285">
        <v>47917</v>
      </c>
      <c r="L285" t="e">
        <f>[1]!Table1[[#This Row],[Revenue]]-[1]!Table1[[#This Row],[OperationalCost]]</f>
        <v>#REF!</v>
      </c>
      <c r="M285" t="str">
        <f t="shared" si="4"/>
        <v>Nov</v>
      </c>
      <c r="N285" s="15">
        <f>Table11[[#This Row],[SeatsSold]]/Table11[[#This Row],[SeatsAvailable]]</f>
        <v>0.43010752688172044</v>
      </c>
      <c r="O285" s="10"/>
    </row>
    <row r="286" spans="1:15" x14ac:dyDescent="0.3">
      <c r="A286" t="s">
        <v>402</v>
      </c>
      <c r="B286" t="s">
        <v>51</v>
      </c>
      <c r="C286" t="s">
        <v>19</v>
      </c>
      <c r="D286" t="s">
        <v>3</v>
      </c>
      <c r="E286" s="16">
        <v>45793</v>
      </c>
      <c r="F286">
        <v>67</v>
      </c>
      <c r="G286" t="s">
        <v>113</v>
      </c>
      <c r="H286">
        <v>180</v>
      </c>
      <c r="I286">
        <v>154</v>
      </c>
      <c r="J286">
        <v>1790250</v>
      </c>
      <c r="K286">
        <v>55534</v>
      </c>
      <c r="L286" t="e">
        <f>[1]!Table1[[#This Row],[Revenue]]-[1]!Table1[[#This Row],[OperationalCost]]</f>
        <v>#REF!</v>
      </c>
      <c r="M286" t="str">
        <f t="shared" si="4"/>
        <v>May</v>
      </c>
      <c r="N286" s="15">
        <f>Table11[[#This Row],[SeatsSold]]/Table11[[#This Row],[SeatsAvailable]]</f>
        <v>0.85555555555555551</v>
      </c>
      <c r="O286" s="10"/>
    </row>
    <row r="287" spans="1:15" x14ac:dyDescent="0.3">
      <c r="A287" t="s">
        <v>403</v>
      </c>
      <c r="B287" t="s">
        <v>41</v>
      </c>
      <c r="C287" t="s">
        <v>17</v>
      </c>
      <c r="D287" t="s">
        <v>3</v>
      </c>
      <c r="E287" s="16">
        <v>45684</v>
      </c>
      <c r="F287">
        <v>67</v>
      </c>
      <c r="G287" t="s">
        <v>118</v>
      </c>
      <c r="H287">
        <v>211</v>
      </c>
      <c r="I287">
        <v>63</v>
      </c>
      <c r="J287">
        <v>492345</v>
      </c>
      <c r="K287">
        <v>32119</v>
      </c>
      <c r="L287" t="e">
        <f>[1]!Table1[[#This Row],[Revenue]]-[1]!Table1[[#This Row],[OperationalCost]]</f>
        <v>#REF!</v>
      </c>
      <c r="M287" t="str">
        <f t="shared" si="4"/>
        <v>Jan</v>
      </c>
      <c r="N287" s="15">
        <f>Table11[[#This Row],[SeatsSold]]/Table11[[#This Row],[SeatsAvailable]]</f>
        <v>0.29857819905213268</v>
      </c>
      <c r="O287" s="10"/>
    </row>
    <row r="288" spans="1:15" x14ac:dyDescent="0.3">
      <c r="A288" t="s">
        <v>404</v>
      </c>
      <c r="B288" t="s">
        <v>92</v>
      </c>
      <c r="C288" t="s">
        <v>19</v>
      </c>
      <c r="D288" t="s">
        <v>6</v>
      </c>
      <c r="E288" s="16">
        <v>46055</v>
      </c>
      <c r="F288">
        <v>66</v>
      </c>
      <c r="G288" t="s">
        <v>116</v>
      </c>
      <c r="H288">
        <v>132</v>
      </c>
      <c r="I288">
        <v>113</v>
      </c>
      <c r="J288">
        <v>1247181</v>
      </c>
      <c r="K288">
        <v>34122</v>
      </c>
      <c r="L288" t="e">
        <f>[1]!Table1[[#This Row],[Revenue]]-[1]!Table1[[#This Row],[OperationalCost]]</f>
        <v>#REF!</v>
      </c>
      <c r="M288" t="str">
        <f t="shared" si="4"/>
        <v>Feb</v>
      </c>
      <c r="N288" s="15">
        <f>Table11[[#This Row],[SeatsSold]]/Table11[[#This Row],[SeatsAvailable]]</f>
        <v>0.85606060606060608</v>
      </c>
      <c r="O288" s="10"/>
    </row>
    <row r="289" spans="1:15" x14ac:dyDescent="0.3">
      <c r="A289" t="s">
        <v>405</v>
      </c>
      <c r="B289" t="s">
        <v>34</v>
      </c>
      <c r="C289" t="s">
        <v>14</v>
      </c>
      <c r="D289" t="s">
        <v>9</v>
      </c>
      <c r="E289" s="16">
        <v>45933</v>
      </c>
      <c r="F289">
        <v>122</v>
      </c>
      <c r="G289" t="s">
        <v>118</v>
      </c>
      <c r="H289">
        <v>196</v>
      </c>
      <c r="I289">
        <v>77</v>
      </c>
      <c r="J289">
        <v>272272</v>
      </c>
      <c r="K289">
        <v>57200</v>
      </c>
      <c r="L289" t="e">
        <f>[1]!Table1[[#This Row],[Revenue]]-[1]!Table1[[#This Row],[OperationalCost]]</f>
        <v>#REF!</v>
      </c>
      <c r="M289" t="str">
        <f t="shared" si="4"/>
        <v>Oct</v>
      </c>
      <c r="N289" s="15">
        <f>Table11[[#This Row],[SeatsSold]]/Table11[[#This Row],[SeatsAvailable]]</f>
        <v>0.39285714285714285</v>
      </c>
      <c r="O289" s="10"/>
    </row>
    <row r="290" spans="1:15" x14ac:dyDescent="0.3">
      <c r="A290" t="s">
        <v>406</v>
      </c>
      <c r="B290" t="s">
        <v>92</v>
      </c>
      <c r="C290" t="s">
        <v>19</v>
      </c>
      <c r="D290" t="s">
        <v>6</v>
      </c>
      <c r="E290" s="16">
        <v>45964</v>
      </c>
      <c r="F290">
        <v>168</v>
      </c>
      <c r="G290" t="s">
        <v>122</v>
      </c>
      <c r="H290">
        <v>162</v>
      </c>
      <c r="I290">
        <v>72</v>
      </c>
      <c r="J290">
        <v>470880</v>
      </c>
      <c r="K290">
        <v>80412</v>
      </c>
      <c r="L290" t="e">
        <f>[1]!Table1[[#This Row],[Revenue]]-[1]!Table1[[#This Row],[OperationalCost]]</f>
        <v>#REF!</v>
      </c>
      <c r="M290" t="str">
        <f t="shared" si="4"/>
        <v>Nov</v>
      </c>
      <c r="N290" s="15">
        <f>Table11[[#This Row],[SeatsSold]]/Table11[[#This Row],[SeatsAvailable]]</f>
        <v>0.44444444444444442</v>
      </c>
      <c r="O290" s="10"/>
    </row>
    <row r="291" spans="1:15" x14ac:dyDescent="0.3">
      <c r="A291" t="s">
        <v>407</v>
      </c>
      <c r="B291" t="s">
        <v>81</v>
      </c>
      <c r="C291" t="s">
        <v>15</v>
      </c>
      <c r="D291" t="s">
        <v>9</v>
      </c>
      <c r="E291" s="16">
        <v>46126</v>
      </c>
      <c r="F291">
        <v>72</v>
      </c>
      <c r="G291" t="s">
        <v>113</v>
      </c>
      <c r="H291">
        <v>147</v>
      </c>
      <c r="I291">
        <v>40</v>
      </c>
      <c r="J291">
        <v>359320</v>
      </c>
      <c r="K291">
        <v>49746</v>
      </c>
      <c r="L291" t="e">
        <f>[1]!Table1[[#This Row],[Revenue]]-[1]!Table1[[#This Row],[OperationalCost]]</f>
        <v>#REF!</v>
      </c>
      <c r="M291" t="str">
        <f t="shared" si="4"/>
        <v>Apr</v>
      </c>
      <c r="N291" s="15">
        <f>Table11[[#This Row],[SeatsSold]]/Table11[[#This Row],[SeatsAvailable]]</f>
        <v>0.27210884353741499</v>
      </c>
      <c r="O291" s="10"/>
    </row>
    <row r="292" spans="1:15" x14ac:dyDescent="0.3">
      <c r="A292" t="s">
        <v>408</v>
      </c>
      <c r="B292" t="s">
        <v>104</v>
      </c>
      <c r="C292" t="s">
        <v>17</v>
      </c>
      <c r="D292" t="s">
        <v>21</v>
      </c>
      <c r="E292" s="16">
        <v>46108</v>
      </c>
      <c r="F292">
        <v>130</v>
      </c>
      <c r="G292" t="s">
        <v>120</v>
      </c>
      <c r="H292">
        <v>104</v>
      </c>
      <c r="I292">
        <v>78</v>
      </c>
      <c r="J292">
        <v>604734</v>
      </c>
      <c r="K292">
        <v>49244</v>
      </c>
      <c r="L292" t="e">
        <f>[1]!Table1[[#This Row],[Revenue]]-[1]!Table1[[#This Row],[OperationalCost]]</f>
        <v>#REF!</v>
      </c>
      <c r="M292" t="str">
        <f t="shared" si="4"/>
        <v>Mar</v>
      </c>
      <c r="N292" s="15">
        <f>Table11[[#This Row],[SeatsSold]]/Table11[[#This Row],[SeatsAvailable]]</f>
        <v>0.75</v>
      </c>
      <c r="O292" s="10"/>
    </row>
    <row r="293" spans="1:15" x14ac:dyDescent="0.3">
      <c r="A293" t="s">
        <v>409</v>
      </c>
      <c r="B293" t="s">
        <v>16</v>
      </c>
      <c r="C293" t="s">
        <v>6</v>
      </c>
      <c r="D293" t="s">
        <v>21</v>
      </c>
      <c r="E293" s="16">
        <v>45839</v>
      </c>
      <c r="F293">
        <v>146</v>
      </c>
      <c r="G293" t="s">
        <v>118</v>
      </c>
      <c r="H293">
        <v>144</v>
      </c>
      <c r="I293">
        <v>134</v>
      </c>
      <c r="J293">
        <v>1412896</v>
      </c>
      <c r="K293">
        <v>59430</v>
      </c>
      <c r="L293" t="e">
        <f>[1]!Table1[[#This Row],[Revenue]]-[1]!Table1[[#This Row],[OperationalCost]]</f>
        <v>#REF!</v>
      </c>
      <c r="M293" t="str">
        <f t="shared" si="4"/>
        <v>Jul</v>
      </c>
      <c r="N293" s="15">
        <f>Table11[[#This Row],[SeatsSold]]/Table11[[#This Row],[SeatsAvailable]]</f>
        <v>0.93055555555555558</v>
      </c>
      <c r="O293" s="10"/>
    </row>
    <row r="294" spans="1:15" x14ac:dyDescent="0.3">
      <c r="A294" t="s">
        <v>410</v>
      </c>
      <c r="B294" t="s">
        <v>61</v>
      </c>
      <c r="C294" t="s">
        <v>21</v>
      </c>
      <c r="D294" t="s">
        <v>6</v>
      </c>
      <c r="E294" s="16">
        <v>45945</v>
      </c>
      <c r="F294">
        <v>145</v>
      </c>
      <c r="G294" t="s">
        <v>118</v>
      </c>
      <c r="H294">
        <v>99</v>
      </c>
      <c r="I294">
        <v>99</v>
      </c>
      <c r="J294">
        <v>1162062</v>
      </c>
      <c r="K294">
        <v>47664</v>
      </c>
      <c r="L294" t="e">
        <f>[1]!Table1[[#This Row],[Revenue]]-[1]!Table1[[#This Row],[OperationalCost]]</f>
        <v>#REF!</v>
      </c>
      <c r="M294" t="str">
        <f t="shared" si="4"/>
        <v>Oct</v>
      </c>
      <c r="N294" s="15">
        <f>Table11[[#This Row],[SeatsSold]]/Table11[[#This Row],[SeatsAvailable]]</f>
        <v>1</v>
      </c>
      <c r="O294" s="10"/>
    </row>
    <row r="295" spans="1:15" x14ac:dyDescent="0.3">
      <c r="A295" t="s">
        <v>411</v>
      </c>
      <c r="B295" t="s">
        <v>57</v>
      </c>
      <c r="C295" t="s">
        <v>11</v>
      </c>
      <c r="D295" t="s">
        <v>14</v>
      </c>
      <c r="E295" s="16">
        <v>46356</v>
      </c>
      <c r="F295">
        <v>185</v>
      </c>
      <c r="G295" t="s">
        <v>122</v>
      </c>
      <c r="H295">
        <v>188</v>
      </c>
      <c r="I295">
        <v>93</v>
      </c>
      <c r="J295">
        <v>900519</v>
      </c>
      <c r="K295">
        <v>54126</v>
      </c>
      <c r="L295" t="e">
        <f>[1]!Table1[[#This Row],[Revenue]]-[1]!Table1[[#This Row],[OperationalCost]]</f>
        <v>#REF!</v>
      </c>
      <c r="M295" t="str">
        <f t="shared" si="4"/>
        <v>Nov</v>
      </c>
      <c r="N295" s="15">
        <f>Table11[[#This Row],[SeatsSold]]/Table11[[#This Row],[SeatsAvailable]]</f>
        <v>0.49468085106382981</v>
      </c>
      <c r="O295" s="10"/>
    </row>
    <row r="296" spans="1:15" x14ac:dyDescent="0.3">
      <c r="A296" t="s">
        <v>412</v>
      </c>
      <c r="B296" t="s">
        <v>105</v>
      </c>
      <c r="C296" t="s">
        <v>17</v>
      </c>
      <c r="D296" t="s">
        <v>11</v>
      </c>
      <c r="E296" s="16">
        <v>45800</v>
      </c>
      <c r="F296">
        <v>207</v>
      </c>
      <c r="G296" t="s">
        <v>118</v>
      </c>
      <c r="H296">
        <v>131</v>
      </c>
      <c r="I296">
        <v>72</v>
      </c>
      <c r="J296">
        <v>361800</v>
      </c>
      <c r="K296">
        <v>70252</v>
      </c>
      <c r="L296" t="e">
        <f>[1]!Table1[[#This Row],[Revenue]]-[1]!Table1[[#This Row],[OperationalCost]]</f>
        <v>#REF!</v>
      </c>
      <c r="M296" t="str">
        <f t="shared" si="4"/>
        <v>May</v>
      </c>
      <c r="N296" s="15">
        <f>Table11[[#This Row],[SeatsSold]]/Table11[[#This Row],[SeatsAvailable]]</f>
        <v>0.54961832061068705</v>
      </c>
      <c r="O296" s="10"/>
    </row>
    <row r="297" spans="1:15" x14ac:dyDescent="0.3">
      <c r="A297" t="s">
        <v>413</v>
      </c>
      <c r="B297" t="s">
        <v>8</v>
      </c>
      <c r="C297" t="s">
        <v>3</v>
      </c>
      <c r="D297" t="s">
        <v>11</v>
      </c>
      <c r="E297" s="16">
        <v>46270</v>
      </c>
      <c r="F297">
        <v>167</v>
      </c>
      <c r="G297" t="s">
        <v>116</v>
      </c>
      <c r="H297">
        <v>172</v>
      </c>
      <c r="I297">
        <v>169</v>
      </c>
      <c r="J297">
        <v>1580657</v>
      </c>
      <c r="K297">
        <v>58561</v>
      </c>
      <c r="L297" t="e">
        <f>[1]!Table1[[#This Row],[Revenue]]-[1]!Table1[[#This Row],[OperationalCost]]</f>
        <v>#REF!</v>
      </c>
      <c r="M297" t="str">
        <f t="shared" si="4"/>
        <v>Sep</v>
      </c>
      <c r="N297" s="15">
        <f>Table11[[#This Row],[SeatsSold]]/Table11[[#This Row],[SeatsAvailable]]</f>
        <v>0.98255813953488369</v>
      </c>
      <c r="O297" s="10"/>
    </row>
    <row r="298" spans="1:15" x14ac:dyDescent="0.3">
      <c r="A298" t="s">
        <v>414</v>
      </c>
      <c r="B298" t="s">
        <v>33</v>
      </c>
      <c r="C298" t="s">
        <v>21</v>
      </c>
      <c r="D298" t="s">
        <v>15</v>
      </c>
      <c r="E298" s="16">
        <v>46266</v>
      </c>
      <c r="F298">
        <v>208</v>
      </c>
      <c r="G298" t="s">
        <v>122</v>
      </c>
      <c r="H298">
        <v>97</v>
      </c>
      <c r="I298">
        <v>89</v>
      </c>
      <c r="J298">
        <v>584463</v>
      </c>
      <c r="K298">
        <v>84154</v>
      </c>
      <c r="L298" t="e">
        <f>[1]!Table1[[#This Row],[Revenue]]-[1]!Table1[[#This Row],[OperationalCost]]</f>
        <v>#REF!</v>
      </c>
      <c r="M298" t="str">
        <f t="shared" si="4"/>
        <v>Sep</v>
      </c>
      <c r="N298" s="15">
        <f>Table11[[#This Row],[SeatsSold]]/Table11[[#This Row],[SeatsAvailable]]</f>
        <v>0.91752577319587625</v>
      </c>
      <c r="O298" s="10"/>
    </row>
    <row r="299" spans="1:15" x14ac:dyDescent="0.3">
      <c r="A299" t="s">
        <v>415</v>
      </c>
      <c r="B299" t="s">
        <v>37</v>
      </c>
      <c r="C299" t="s">
        <v>21</v>
      </c>
      <c r="D299" t="s">
        <v>14</v>
      </c>
      <c r="E299" s="16">
        <v>46320</v>
      </c>
      <c r="F299">
        <v>201</v>
      </c>
      <c r="G299" t="s">
        <v>122</v>
      </c>
      <c r="H299">
        <v>214</v>
      </c>
      <c r="I299">
        <v>205</v>
      </c>
      <c r="J299">
        <v>1854635</v>
      </c>
      <c r="K299">
        <v>81664</v>
      </c>
      <c r="L299" t="e">
        <f>[1]!Table1[[#This Row],[Revenue]]-[1]!Table1[[#This Row],[OperationalCost]]</f>
        <v>#REF!</v>
      </c>
      <c r="M299" t="str">
        <f t="shared" si="4"/>
        <v>Oct</v>
      </c>
      <c r="N299" s="15">
        <f>Table11[[#This Row],[SeatsSold]]/Table11[[#This Row],[SeatsAvailable]]</f>
        <v>0.95794392523364491</v>
      </c>
      <c r="O299" s="10"/>
    </row>
    <row r="300" spans="1:15" x14ac:dyDescent="0.3">
      <c r="A300" t="s">
        <v>416</v>
      </c>
      <c r="B300" t="s">
        <v>5</v>
      </c>
      <c r="C300" t="s">
        <v>3</v>
      </c>
      <c r="D300" t="s">
        <v>20</v>
      </c>
      <c r="E300" s="16">
        <v>45758</v>
      </c>
      <c r="F300">
        <v>111</v>
      </c>
      <c r="G300" t="s">
        <v>113</v>
      </c>
      <c r="H300">
        <v>200</v>
      </c>
      <c r="I300">
        <v>172</v>
      </c>
      <c r="J300">
        <v>2002424</v>
      </c>
      <c r="K300">
        <v>75148</v>
      </c>
      <c r="L300" t="e">
        <f>[1]!Table1[[#This Row],[Revenue]]-[1]!Table1[[#This Row],[OperationalCost]]</f>
        <v>#REF!</v>
      </c>
      <c r="M300" t="str">
        <f t="shared" si="4"/>
        <v>Apr</v>
      </c>
      <c r="N300" s="15">
        <f>Table11[[#This Row],[SeatsSold]]/Table11[[#This Row],[SeatsAvailable]]</f>
        <v>0.86</v>
      </c>
      <c r="O300" s="10"/>
    </row>
    <row r="301" spans="1:15" x14ac:dyDescent="0.3">
      <c r="A301" t="s">
        <v>417</v>
      </c>
      <c r="B301" t="s">
        <v>2</v>
      </c>
      <c r="C301" t="s">
        <v>9</v>
      </c>
      <c r="D301" t="s">
        <v>11</v>
      </c>
      <c r="E301" s="16">
        <v>46041</v>
      </c>
      <c r="F301">
        <v>145</v>
      </c>
      <c r="G301" t="s">
        <v>120</v>
      </c>
      <c r="H301">
        <v>220</v>
      </c>
      <c r="I301">
        <v>216</v>
      </c>
      <c r="J301">
        <v>2310984</v>
      </c>
      <c r="K301">
        <v>59870</v>
      </c>
      <c r="L301" t="e">
        <f>[1]!Table1[[#This Row],[Revenue]]-[1]!Table1[[#This Row],[OperationalCost]]</f>
        <v>#REF!</v>
      </c>
      <c r="M301" t="str">
        <f t="shared" si="4"/>
        <v>Jan</v>
      </c>
      <c r="N301" s="15">
        <f>Table11[[#This Row],[SeatsSold]]/Table11[[#This Row],[SeatsAvailable]]</f>
        <v>0.98181818181818181</v>
      </c>
      <c r="O301" s="10"/>
    </row>
    <row r="302" spans="1:15" x14ac:dyDescent="0.3">
      <c r="A302" t="s">
        <v>418</v>
      </c>
      <c r="B302" t="s">
        <v>78</v>
      </c>
      <c r="C302" t="s">
        <v>20</v>
      </c>
      <c r="D302" t="s">
        <v>11</v>
      </c>
      <c r="E302" s="16">
        <v>45765</v>
      </c>
      <c r="F302">
        <v>120</v>
      </c>
      <c r="G302" t="s">
        <v>120</v>
      </c>
      <c r="H302">
        <v>91</v>
      </c>
      <c r="I302">
        <v>47</v>
      </c>
      <c r="J302">
        <v>226587</v>
      </c>
      <c r="K302">
        <v>39549</v>
      </c>
      <c r="L302" t="e">
        <f>[1]!Table1[[#This Row],[Revenue]]-[1]!Table1[[#This Row],[OperationalCost]]</f>
        <v>#REF!</v>
      </c>
      <c r="M302" t="str">
        <f t="shared" si="4"/>
        <v>Apr</v>
      </c>
      <c r="N302" s="15">
        <f>Table11[[#This Row],[SeatsSold]]/Table11[[#This Row],[SeatsAvailable]]</f>
        <v>0.51648351648351654</v>
      </c>
      <c r="O302" s="10"/>
    </row>
    <row r="303" spans="1:15" x14ac:dyDescent="0.3">
      <c r="A303" t="s">
        <v>419</v>
      </c>
      <c r="B303" t="s">
        <v>89</v>
      </c>
      <c r="C303" t="s">
        <v>21</v>
      </c>
      <c r="D303" t="s">
        <v>11</v>
      </c>
      <c r="E303" s="16">
        <v>45869</v>
      </c>
      <c r="F303">
        <v>178</v>
      </c>
      <c r="G303" t="s">
        <v>120</v>
      </c>
      <c r="H303">
        <v>159</v>
      </c>
      <c r="I303">
        <v>100</v>
      </c>
      <c r="J303">
        <v>409900</v>
      </c>
      <c r="K303">
        <v>72301</v>
      </c>
      <c r="L303" t="e">
        <f>[1]!Table1[[#This Row],[Revenue]]-[1]!Table1[[#This Row],[OperationalCost]]</f>
        <v>#REF!</v>
      </c>
      <c r="M303" t="str">
        <f t="shared" si="4"/>
        <v>Jul</v>
      </c>
      <c r="N303" s="15">
        <f>Table11[[#This Row],[SeatsSold]]/Table11[[#This Row],[SeatsAvailable]]</f>
        <v>0.62893081761006286</v>
      </c>
      <c r="O303" s="10"/>
    </row>
    <row r="304" spans="1:15" x14ac:dyDescent="0.3">
      <c r="A304" t="s">
        <v>420</v>
      </c>
      <c r="B304" t="s">
        <v>12</v>
      </c>
      <c r="C304" t="s">
        <v>21</v>
      </c>
      <c r="D304" t="s">
        <v>3</v>
      </c>
      <c r="E304" s="16">
        <v>45965</v>
      </c>
      <c r="F304">
        <v>56</v>
      </c>
      <c r="G304" t="s">
        <v>122</v>
      </c>
      <c r="H304">
        <v>75</v>
      </c>
      <c r="I304">
        <v>61</v>
      </c>
      <c r="J304">
        <v>261751</v>
      </c>
      <c r="K304">
        <v>25558</v>
      </c>
      <c r="L304" t="e">
        <f>[1]!Table1[[#This Row],[Revenue]]-[1]!Table1[[#This Row],[OperationalCost]]</f>
        <v>#REF!</v>
      </c>
      <c r="M304" t="str">
        <f t="shared" si="4"/>
        <v>Nov</v>
      </c>
      <c r="N304" s="15">
        <f>Table11[[#This Row],[SeatsSold]]/Table11[[#This Row],[SeatsAvailable]]</f>
        <v>0.81333333333333335</v>
      </c>
      <c r="O304" s="10"/>
    </row>
    <row r="305" spans="1:15" x14ac:dyDescent="0.3">
      <c r="A305" t="s">
        <v>421</v>
      </c>
      <c r="B305" t="s">
        <v>67</v>
      </c>
      <c r="C305" t="s">
        <v>9</v>
      </c>
      <c r="D305" t="s">
        <v>15</v>
      </c>
      <c r="E305" s="16">
        <v>45836</v>
      </c>
      <c r="F305">
        <v>186</v>
      </c>
      <c r="G305" t="s">
        <v>113</v>
      </c>
      <c r="H305">
        <v>154</v>
      </c>
      <c r="I305">
        <v>111</v>
      </c>
      <c r="J305">
        <v>1052835</v>
      </c>
      <c r="K305">
        <v>65674</v>
      </c>
      <c r="L305" t="e">
        <f>[1]!Table1[[#This Row],[Revenue]]-[1]!Table1[[#This Row],[OperationalCost]]</f>
        <v>#REF!</v>
      </c>
      <c r="M305" t="str">
        <f t="shared" si="4"/>
        <v>Jun</v>
      </c>
      <c r="N305" s="15">
        <f>Table11[[#This Row],[SeatsSold]]/Table11[[#This Row],[SeatsAvailable]]</f>
        <v>0.72077922077922074</v>
      </c>
      <c r="O305" s="10"/>
    </row>
    <row r="306" spans="1:15" x14ac:dyDescent="0.3">
      <c r="A306" t="s">
        <v>422</v>
      </c>
      <c r="B306" t="s">
        <v>10</v>
      </c>
      <c r="C306" t="s">
        <v>17</v>
      </c>
      <c r="D306" t="s">
        <v>14</v>
      </c>
      <c r="E306" s="16">
        <v>45848</v>
      </c>
      <c r="F306">
        <v>208</v>
      </c>
      <c r="G306" t="s">
        <v>120</v>
      </c>
      <c r="H306">
        <v>171</v>
      </c>
      <c r="I306">
        <v>47</v>
      </c>
      <c r="J306">
        <v>269404</v>
      </c>
      <c r="K306">
        <v>88381</v>
      </c>
      <c r="L306" t="e">
        <f>[1]!Table1[[#This Row],[Revenue]]-[1]!Table1[[#This Row],[OperationalCost]]</f>
        <v>#REF!</v>
      </c>
      <c r="M306" t="str">
        <f t="shared" si="4"/>
        <v>Jul</v>
      </c>
      <c r="N306" s="15">
        <f>Table11[[#This Row],[SeatsSold]]/Table11[[#This Row],[SeatsAvailable]]</f>
        <v>0.27485380116959063</v>
      </c>
      <c r="O306" s="10"/>
    </row>
    <row r="307" spans="1:15" x14ac:dyDescent="0.3">
      <c r="A307" t="s">
        <v>423</v>
      </c>
      <c r="B307" t="s">
        <v>77</v>
      </c>
      <c r="C307" t="s">
        <v>17</v>
      </c>
      <c r="D307" t="s">
        <v>6</v>
      </c>
      <c r="E307" s="16">
        <v>45662</v>
      </c>
      <c r="F307">
        <v>225</v>
      </c>
      <c r="G307" t="s">
        <v>113</v>
      </c>
      <c r="H307">
        <v>122</v>
      </c>
      <c r="I307">
        <v>75</v>
      </c>
      <c r="J307">
        <v>264375</v>
      </c>
      <c r="K307">
        <v>73007</v>
      </c>
      <c r="L307" t="e">
        <f>[1]!Table1[[#This Row],[Revenue]]-[1]!Table1[[#This Row],[OperationalCost]]</f>
        <v>#REF!</v>
      </c>
      <c r="M307" t="str">
        <f t="shared" si="4"/>
        <v>Jan</v>
      </c>
      <c r="N307" s="15">
        <f>Table11[[#This Row],[SeatsSold]]/Table11[[#This Row],[SeatsAvailable]]</f>
        <v>0.61475409836065575</v>
      </c>
      <c r="O307" s="10"/>
    </row>
    <row r="308" spans="1:15" x14ac:dyDescent="0.3">
      <c r="A308" t="s">
        <v>424</v>
      </c>
      <c r="B308" t="s">
        <v>57</v>
      </c>
      <c r="C308" t="s">
        <v>11</v>
      </c>
      <c r="D308" t="s">
        <v>14</v>
      </c>
      <c r="E308" s="16">
        <v>46032</v>
      </c>
      <c r="F308">
        <v>128</v>
      </c>
      <c r="G308" t="s">
        <v>113</v>
      </c>
      <c r="H308">
        <v>187</v>
      </c>
      <c r="I308">
        <v>69</v>
      </c>
      <c r="J308">
        <v>469062</v>
      </c>
      <c r="K308">
        <v>75583</v>
      </c>
      <c r="L308" t="e">
        <f>[1]!Table1[[#This Row],[Revenue]]-[1]!Table1[[#This Row],[OperationalCost]]</f>
        <v>#REF!</v>
      </c>
      <c r="M308" t="str">
        <f t="shared" si="4"/>
        <v>Jan</v>
      </c>
      <c r="N308" s="15">
        <f>Table11[[#This Row],[SeatsSold]]/Table11[[#This Row],[SeatsAvailable]]</f>
        <v>0.36898395721925131</v>
      </c>
      <c r="O308" s="10"/>
    </row>
    <row r="309" spans="1:15" x14ac:dyDescent="0.3">
      <c r="A309" t="s">
        <v>425</v>
      </c>
      <c r="B309" t="s">
        <v>13</v>
      </c>
      <c r="C309" t="s">
        <v>11</v>
      </c>
      <c r="D309" t="s">
        <v>21</v>
      </c>
      <c r="E309" s="16">
        <v>46269</v>
      </c>
      <c r="F309">
        <v>144</v>
      </c>
      <c r="G309" t="s">
        <v>116</v>
      </c>
      <c r="H309">
        <v>170</v>
      </c>
      <c r="I309">
        <v>69</v>
      </c>
      <c r="J309">
        <v>565800</v>
      </c>
      <c r="K309">
        <v>63730</v>
      </c>
      <c r="L309" t="e">
        <f>[1]!Table1[[#This Row],[Revenue]]-[1]!Table1[[#This Row],[OperationalCost]]</f>
        <v>#REF!</v>
      </c>
      <c r="M309" t="str">
        <f t="shared" si="4"/>
        <v>Sep</v>
      </c>
      <c r="N309" s="15">
        <f>Table11[[#This Row],[SeatsSold]]/Table11[[#This Row],[SeatsAvailable]]</f>
        <v>0.40588235294117647</v>
      </c>
      <c r="O309" s="10"/>
    </row>
    <row r="310" spans="1:15" x14ac:dyDescent="0.3">
      <c r="A310" t="s">
        <v>426</v>
      </c>
      <c r="B310" t="s">
        <v>63</v>
      </c>
      <c r="C310" t="s">
        <v>15</v>
      </c>
      <c r="D310" t="s">
        <v>14</v>
      </c>
      <c r="E310" s="16">
        <v>46347</v>
      </c>
      <c r="F310">
        <v>225</v>
      </c>
      <c r="G310" t="s">
        <v>118</v>
      </c>
      <c r="H310">
        <v>91</v>
      </c>
      <c r="I310">
        <v>83</v>
      </c>
      <c r="J310">
        <v>389602</v>
      </c>
      <c r="K310">
        <v>55010</v>
      </c>
      <c r="L310" t="e">
        <f>[1]!Table1[[#This Row],[Revenue]]-[1]!Table1[[#This Row],[OperationalCost]]</f>
        <v>#REF!</v>
      </c>
      <c r="M310" t="str">
        <f t="shared" si="4"/>
        <v>Nov</v>
      </c>
      <c r="N310" s="15">
        <f>Table11[[#This Row],[SeatsSold]]/Table11[[#This Row],[SeatsAvailable]]</f>
        <v>0.91208791208791207</v>
      </c>
      <c r="O310" s="10"/>
    </row>
    <row r="311" spans="1:15" x14ac:dyDescent="0.3">
      <c r="A311" t="s">
        <v>427</v>
      </c>
      <c r="B311" t="s">
        <v>4</v>
      </c>
      <c r="C311" t="s">
        <v>9</v>
      </c>
      <c r="D311" t="s">
        <v>21</v>
      </c>
      <c r="E311" s="16">
        <v>45777</v>
      </c>
      <c r="F311">
        <v>91</v>
      </c>
      <c r="G311" t="s">
        <v>118</v>
      </c>
      <c r="H311">
        <v>106</v>
      </c>
      <c r="I311">
        <v>105</v>
      </c>
      <c r="J311">
        <v>930720</v>
      </c>
      <c r="K311">
        <v>45249</v>
      </c>
      <c r="L311" t="e">
        <f>[1]!Table1[[#This Row],[Revenue]]-[1]!Table1[[#This Row],[OperationalCost]]</f>
        <v>#REF!</v>
      </c>
      <c r="M311" t="str">
        <f t="shared" si="4"/>
        <v>Apr</v>
      </c>
      <c r="N311" s="15">
        <f>Table11[[#This Row],[SeatsSold]]/Table11[[#This Row],[SeatsAvailable]]</f>
        <v>0.99056603773584906</v>
      </c>
      <c r="O311" s="10"/>
    </row>
    <row r="312" spans="1:15" x14ac:dyDescent="0.3">
      <c r="A312" t="s">
        <v>428</v>
      </c>
      <c r="B312" t="s">
        <v>55</v>
      </c>
      <c r="C312" t="s">
        <v>14</v>
      </c>
      <c r="D312" t="s">
        <v>6</v>
      </c>
      <c r="E312" s="16">
        <v>46091</v>
      </c>
      <c r="F312">
        <v>92</v>
      </c>
      <c r="G312" t="s">
        <v>120</v>
      </c>
      <c r="H312">
        <v>207</v>
      </c>
      <c r="I312">
        <v>205</v>
      </c>
      <c r="J312">
        <v>1094290</v>
      </c>
      <c r="K312">
        <v>49358</v>
      </c>
      <c r="L312" t="e">
        <f>[1]!Table1[[#This Row],[Revenue]]-[1]!Table1[[#This Row],[OperationalCost]]</f>
        <v>#REF!</v>
      </c>
      <c r="M312" t="str">
        <f t="shared" si="4"/>
        <v>Mar</v>
      </c>
      <c r="N312" s="15">
        <f>Table11[[#This Row],[SeatsSold]]/Table11[[#This Row],[SeatsAvailable]]</f>
        <v>0.99033816425120769</v>
      </c>
      <c r="O312" s="10"/>
    </row>
    <row r="313" spans="1:15" x14ac:dyDescent="0.3">
      <c r="A313" t="s">
        <v>429</v>
      </c>
      <c r="B313" t="s">
        <v>102</v>
      </c>
      <c r="C313" t="s">
        <v>6</v>
      </c>
      <c r="D313" t="s">
        <v>19</v>
      </c>
      <c r="E313" s="16">
        <v>45801</v>
      </c>
      <c r="F313">
        <v>92</v>
      </c>
      <c r="G313" t="s">
        <v>118</v>
      </c>
      <c r="H313">
        <v>185</v>
      </c>
      <c r="I313">
        <v>53</v>
      </c>
      <c r="J313">
        <v>444246</v>
      </c>
      <c r="K313">
        <v>48964</v>
      </c>
      <c r="L313" t="e">
        <f>[1]!Table1[[#This Row],[Revenue]]-[1]!Table1[[#This Row],[OperationalCost]]</f>
        <v>#REF!</v>
      </c>
      <c r="M313" t="str">
        <f t="shared" si="4"/>
        <v>May</v>
      </c>
      <c r="N313" s="15">
        <f>Table11[[#This Row],[SeatsSold]]/Table11[[#This Row],[SeatsAvailable]]</f>
        <v>0.2864864864864865</v>
      </c>
      <c r="O313" s="10"/>
    </row>
    <row r="314" spans="1:15" x14ac:dyDescent="0.3">
      <c r="A314" t="s">
        <v>430</v>
      </c>
      <c r="B314" t="s">
        <v>53</v>
      </c>
      <c r="C314" t="s">
        <v>14</v>
      </c>
      <c r="D314" t="s">
        <v>19</v>
      </c>
      <c r="E314" s="16">
        <v>46051</v>
      </c>
      <c r="F314">
        <v>188</v>
      </c>
      <c r="G314" t="s">
        <v>116</v>
      </c>
      <c r="H314">
        <v>196</v>
      </c>
      <c r="I314">
        <v>144</v>
      </c>
      <c r="J314">
        <v>1520064</v>
      </c>
      <c r="K314">
        <v>80316</v>
      </c>
      <c r="L314" t="e">
        <f>[1]!Table1[[#This Row],[Revenue]]-[1]!Table1[[#This Row],[OperationalCost]]</f>
        <v>#REF!</v>
      </c>
      <c r="M314" t="str">
        <f t="shared" si="4"/>
        <v>Jan</v>
      </c>
      <c r="N314" s="15">
        <f>Table11[[#This Row],[SeatsSold]]/Table11[[#This Row],[SeatsAvailable]]</f>
        <v>0.73469387755102045</v>
      </c>
      <c r="O314" s="10"/>
    </row>
    <row r="315" spans="1:15" x14ac:dyDescent="0.3">
      <c r="A315" t="s">
        <v>431</v>
      </c>
      <c r="B315" t="s">
        <v>18</v>
      </c>
      <c r="C315" t="s">
        <v>6</v>
      </c>
      <c r="D315" t="s">
        <v>14</v>
      </c>
      <c r="E315" s="16">
        <v>45742</v>
      </c>
      <c r="F315">
        <v>189</v>
      </c>
      <c r="G315" t="s">
        <v>122</v>
      </c>
      <c r="H315">
        <v>126</v>
      </c>
      <c r="I315">
        <v>77</v>
      </c>
      <c r="J315">
        <v>233695</v>
      </c>
      <c r="K315">
        <v>53172</v>
      </c>
      <c r="L315" t="e">
        <f>[1]!Table1[[#This Row],[Revenue]]-[1]!Table1[[#This Row],[OperationalCost]]</f>
        <v>#REF!</v>
      </c>
      <c r="M315" t="str">
        <f t="shared" si="4"/>
        <v>Mar</v>
      </c>
      <c r="N315" s="15">
        <f>Table11[[#This Row],[SeatsSold]]/Table11[[#This Row],[SeatsAvailable]]</f>
        <v>0.61111111111111116</v>
      </c>
      <c r="O315" s="10"/>
    </row>
    <row r="316" spans="1:15" x14ac:dyDescent="0.3">
      <c r="A316" t="s">
        <v>432</v>
      </c>
      <c r="B316" t="s">
        <v>88</v>
      </c>
      <c r="C316" t="s">
        <v>11</v>
      </c>
      <c r="D316" t="s">
        <v>19</v>
      </c>
      <c r="E316" s="16">
        <v>45830</v>
      </c>
      <c r="F316">
        <v>162</v>
      </c>
      <c r="G316" t="s">
        <v>116</v>
      </c>
      <c r="H316">
        <v>196</v>
      </c>
      <c r="I316">
        <v>180</v>
      </c>
      <c r="J316">
        <v>1956420</v>
      </c>
      <c r="K316">
        <v>68272</v>
      </c>
      <c r="L316" t="e">
        <f>[1]!Table1[[#This Row],[Revenue]]-[1]!Table1[[#This Row],[OperationalCost]]</f>
        <v>#REF!</v>
      </c>
      <c r="M316" t="str">
        <f t="shared" si="4"/>
        <v>Jun</v>
      </c>
      <c r="N316" s="15">
        <f>Table11[[#This Row],[SeatsSold]]/Table11[[#This Row],[SeatsAvailable]]</f>
        <v>0.91836734693877553</v>
      </c>
      <c r="O316" s="10"/>
    </row>
    <row r="317" spans="1:15" x14ac:dyDescent="0.3">
      <c r="A317" t="s">
        <v>433</v>
      </c>
      <c r="B317" t="s">
        <v>96</v>
      </c>
      <c r="C317" t="s">
        <v>3</v>
      </c>
      <c r="D317" t="s">
        <v>21</v>
      </c>
      <c r="E317" s="16">
        <v>46214</v>
      </c>
      <c r="F317">
        <v>138</v>
      </c>
      <c r="G317" t="s">
        <v>116</v>
      </c>
      <c r="H317">
        <v>80</v>
      </c>
      <c r="I317">
        <v>68</v>
      </c>
      <c r="J317">
        <v>778668</v>
      </c>
      <c r="K317">
        <v>39190</v>
      </c>
      <c r="L317" t="e">
        <f>[1]!Table1[[#This Row],[Revenue]]-[1]!Table1[[#This Row],[OperationalCost]]</f>
        <v>#REF!</v>
      </c>
      <c r="M317" t="str">
        <f t="shared" si="4"/>
        <v>Jul</v>
      </c>
      <c r="N317" s="15">
        <f>Table11[[#This Row],[SeatsSold]]/Table11[[#This Row],[SeatsAvailable]]</f>
        <v>0.85</v>
      </c>
      <c r="O317" s="10"/>
    </row>
    <row r="318" spans="1:15" x14ac:dyDescent="0.3">
      <c r="A318" t="s">
        <v>434</v>
      </c>
      <c r="B318" t="s">
        <v>98</v>
      </c>
      <c r="C318" t="s">
        <v>3</v>
      </c>
      <c r="D318" t="s">
        <v>19</v>
      </c>
      <c r="E318" s="16">
        <v>45962</v>
      </c>
      <c r="F318">
        <v>53</v>
      </c>
      <c r="G318" t="s">
        <v>120</v>
      </c>
      <c r="H318">
        <v>137</v>
      </c>
      <c r="I318">
        <v>84</v>
      </c>
      <c r="J318">
        <v>329700</v>
      </c>
      <c r="K318">
        <v>27366</v>
      </c>
      <c r="L318" t="e">
        <f>[1]!Table1[[#This Row],[Revenue]]-[1]!Table1[[#This Row],[OperationalCost]]</f>
        <v>#REF!</v>
      </c>
      <c r="M318" t="str">
        <f t="shared" si="4"/>
        <v>Nov</v>
      </c>
      <c r="N318" s="15">
        <f>Table11[[#This Row],[SeatsSold]]/Table11[[#This Row],[SeatsAvailable]]</f>
        <v>0.61313868613138689</v>
      </c>
      <c r="O318" s="10"/>
    </row>
    <row r="319" spans="1:15" x14ac:dyDescent="0.3">
      <c r="A319" t="s">
        <v>435</v>
      </c>
      <c r="B319" t="s">
        <v>58</v>
      </c>
      <c r="C319" t="s">
        <v>9</v>
      </c>
      <c r="D319" t="s">
        <v>19</v>
      </c>
      <c r="E319" s="16">
        <v>46260</v>
      </c>
      <c r="F319">
        <v>221</v>
      </c>
      <c r="G319" t="s">
        <v>118</v>
      </c>
      <c r="H319">
        <v>179</v>
      </c>
      <c r="I319">
        <v>82</v>
      </c>
      <c r="J319">
        <v>392042</v>
      </c>
      <c r="K319">
        <v>61640</v>
      </c>
      <c r="L319" t="e">
        <f>[1]!Table1[[#This Row],[Revenue]]-[1]!Table1[[#This Row],[OperationalCost]]</f>
        <v>#REF!</v>
      </c>
      <c r="M319" t="str">
        <f t="shared" si="4"/>
        <v>Aug</v>
      </c>
      <c r="N319" s="15">
        <f>Table11[[#This Row],[SeatsSold]]/Table11[[#This Row],[SeatsAvailable]]</f>
        <v>0.45810055865921789</v>
      </c>
      <c r="O319" s="10"/>
    </row>
    <row r="320" spans="1:15" x14ac:dyDescent="0.3">
      <c r="A320" t="s">
        <v>436</v>
      </c>
      <c r="B320" t="s">
        <v>54</v>
      </c>
      <c r="C320" t="s">
        <v>20</v>
      </c>
      <c r="D320" t="s">
        <v>17</v>
      </c>
      <c r="E320" s="16">
        <v>46203</v>
      </c>
      <c r="F320">
        <v>116</v>
      </c>
      <c r="G320" t="s">
        <v>116</v>
      </c>
      <c r="H320">
        <v>207</v>
      </c>
      <c r="I320">
        <v>83</v>
      </c>
      <c r="J320">
        <v>647566</v>
      </c>
      <c r="K320">
        <v>66678</v>
      </c>
      <c r="L320" t="e">
        <f>[1]!Table1[[#This Row],[Revenue]]-[1]!Table1[[#This Row],[OperationalCost]]</f>
        <v>#REF!</v>
      </c>
      <c r="M320" t="str">
        <f t="shared" si="4"/>
        <v>Jun</v>
      </c>
      <c r="N320" s="15">
        <f>Table11[[#This Row],[SeatsSold]]/Table11[[#This Row],[SeatsAvailable]]</f>
        <v>0.40096618357487923</v>
      </c>
      <c r="O320" s="10"/>
    </row>
    <row r="321" spans="1:15" x14ac:dyDescent="0.3">
      <c r="A321" t="s">
        <v>437</v>
      </c>
      <c r="B321" t="s">
        <v>109</v>
      </c>
      <c r="C321" t="s">
        <v>19</v>
      </c>
      <c r="D321" t="s">
        <v>21</v>
      </c>
      <c r="E321" s="16">
        <v>46184</v>
      </c>
      <c r="F321">
        <v>218</v>
      </c>
      <c r="G321" t="s">
        <v>122</v>
      </c>
      <c r="H321">
        <v>104</v>
      </c>
      <c r="I321">
        <v>92</v>
      </c>
      <c r="J321">
        <v>319332</v>
      </c>
      <c r="K321">
        <v>67108</v>
      </c>
      <c r="L321" t="e">
        <f>[1]!Table1[[#This Row],[Revenue]]-[1]!Table1[[#This Row],[OperationalCost]]</f>
        <v>#REF!</v>
      </c>
      <c r="M321" t="str">
        <f t="shared" ref="M321:M384" si="5">TEXT(E321,"MMM")</f>
        <v>Jun</v>
      </c>
      <c r="N321" s="15">
        <f>Table11[[#This Row],[SeatsSold]]/Table11[[#This Row],[SeatsAvailable]]</f>
        <v>0.88461538461538458</v>
      </c>
      <c r="O321" s="10"/>
    </row>
    <row r="322" spans="1:15" x14ac:dyDescent="0.3">
      <c r="A322" t="s">
        <v>438</v>
      </c>
      <c r="B322" t="s">
        <v>34</v>
      </c>
      <c r="C322" t="s">
        <v>14</v>
      </c>
      <c r="D322" t="s">
        <v>9</v>
      </c>
      <c r="E322" s="16">
        <v>45913</v>
      </c>
      <c r="F322">
        <v>82</v>
      </c>
      <c r="G322" t="s">
        <v>118</v>
      </c>
      <c r="H322">
        <v>133</v>
      </c>
      <c r="I322">
        <v>126</v>
      </c>
      <c r="J322">
        <v>1125684</v>
      </c>
      <c r="K322">
        <v>35518</v>
      </c>
      <c r="L322" t="e">
        <f>[1]!Table1[[#This Row],[Revenue]]-[1]!Table1[[#This Row],[OperationalCost]]</f>
        <v>#REF!</v>
      </c>
      <c r="M322" t="str">
        <f t="shared" si="5"/>
        <v>Sep</v>
      </c>
      <c r="N322" s="15">
        <f>Table11[[#This Row],[SeatsSold]]/Table11[[#This Row],[SeatsAvailable]]</f>
        <v>0.94736842105263153</v>
      </c>
      <c r="O322" s="10"/>
    </row>
    <row r="323" spans="1:15" x14ac:dyDescent="0.3">
      <c r="A323" t="s">
        <v>439</v>
      </c>
      <c r="B323" t="s">
        <v>91</v>
      </c>
      <c r="C323" t="s">
        <v>15</v>
      </c>
      <c r="D323" t="s">
        <v>19</v>
      </c>
      <c r="E323" s="16">
        <v>46300</v>
      </c>
      <c r="F323">
        <v>151</v>
      </c>
      <c r="G323" t="s">
        <v>120</v>
      </c>
      <c r="H323">
        <v>185</v>
      </c>
      <c r="I323">
        <v>59</v>
      </c>
      <c r="J323">
        <v>237475</v>
      </c>
      <c r="K323">
        <v>72708</v>
      </c>
      <c r="L323" t="e">
        <f>[1]!Table1[[#This Row],[Revenue]]-[1]!Table1[[#This Row],[OperationalCost]]</f>
        <v>#REF!</v>
      </c>
      <c r="M323" t="str">
        <f t="shared" si="5"/>
        <v>Oct</v>
      </c>
      <c r="N323" s="15">
        <f>Table11[[#This Row],[SeatsSold]]/Table11[[#This Row],[SeatsAvailable]]</f>
        <v>0.31891891891891894</v>
      </c>
      <c r="O323" s="10"/>
    </row>
    <row r="324" spans="1:15" x14ac:dyDescent="0.3">
      <c r="A324" t="s">
        <v>440</v>
      </c>
      <c r="B324" t="s">
        <v>73</v>
      </c>
      <c r="C324" t="s">
        <v>19</v>
      </c>
      <c r="D324" t="s">
        <v>17</v>
      </c>
      <c r="E324" s="16">
        <v>46123</v>
      </c>
      <c r="F324">
        <v>169</v>
      </c>
      <c r="G324" t="s">
        <v>118</v>
      </c>
      <c r="H324">
        <v>218</v>
      </c>
      <c r="I324">
        <v>40</v>
      </c>
      <c r="J324">
        <v>161040</v>
      </c>
      <c r="K324">
        <v>92809</v>
      </c>
      <c r="L324" t="e">
        <f>[1]!Table1[[#This Row],[Revenue]]-[1]!Table1[[#This Row],[OperationalCost]]</f>
        <v>#REF!</v>
      </c>
      <c r="M324" t="str">
        <f t="shared" si="5"/>
        <v>Apr</v>
      </c>
      <c r="N324" s="15">
        <f>Table11[[#This Row],[SeatsSold]]/Table11[[#This Row],[SeatsAvailable]]</f>
        <v>0.1834862385321101</v>
      </c>
      <c r="O324" s="10"/>
    </row>
    <row r="325" spans="1:15" x14ac:dyDescent="0.3">
      <c r="A325" t="s">
        <v>441</v>
      </c>
      <c r="B325" t="s">
        <v>12</v>
      </c>
      <c r="C325" t="s">
        <v>21</v>
      </c>
      <c r="D325" t="s">
        <v>3</v>
      </c>
      <c r="E325" s="16">
        <v>46205</v>
      </c>
      <c r="F325">
        <v>146</v>
      </c>
      <c r="G325" t="s">
        <v>113</v>
      </c>
      <c r="H325">
        <v>179</v>
      </c>
      <c r="I325">
        <v>94</v>
      </c>
      <c r="J325">
        <v>996870</v>
      </c>
      <c r="K325">
        <v>56446</v>
      </c>
      <c r="L325" t="e">
        <f>[1]!Table1[[#This Row],[Revenue]]-[1]!Table1[[#This Row],[OperationalCost]]</f>
        <v>#REF!</v>
      </c>
      <c r="M325" t="str">
        <f t="shared" si="5"/>
        <v>Jul</v>
      </c>
      <c r="N325" s="15">
        <f>Table11[[#This Row],[SeatsSold]]/Table11[[#This Row],[SeatsAvailable]]</f>
        <v>0.52513966480446927</v>
      </c>
      <c r="O325" s="10"/>
    </row>
    <row r="326" spans="1:15" x14ac:dyDescent="0.3">
      <c r="A326" t="s">
        <v>442</v>
      </c>
      <c r="B326" t="s">
        <v>73</v>
      </c>
      <c r="C326" t="s">
        <v>19</v>
      </c>
      <c r="D326" t="s">
        <v>17</v>
      </c>
      <c r="E326" s="16">
        <v>46218</v>
      </c>
      <c r="F326">
        <v>192</v>
      </c>
      <c r="G326" t="s">
        <v>113</v>
      </c>
      <c r="H326">
        <v>214</v>
      </c>
      <c r="I326">
        <v>164</v>
      </c>
      <c r="J326">
        <v>1333484</v>
      </c>
      <c r="K326">
        <v>76136</v>
      </c>
      <c r="L326" t="e">
        <f>[1]!Table1[[#This Row],[Revenue]]-[1]!Table1[[#This Row],[OperationalCost]]</f>
        <v>#REF!</v>
      </c>
      <c r="M326" t="str">
        <f t="shared" si="5"/>
        <v>Jul</v>
      </c>
      <c r="N326" s="15">
        <f>Table11[[#This Row],[SeatsSold]]/Table11[[#This Row],[SeatsAvailable]]</f>
        <v>0.76635514018691586</v>
      </c>
      <c r="O326" s="10"/>
    </row>
    <row r="327" spans="1:15" x14ac:dyDescent="0.3">
      <c r="A327" t="s">
        <v>443</v>
      </c>
      <c r="B327" t="s">
        <v>71</v>
      </c>
      <c r="C327" t="s">
        <v>20</v>
      </c>
      <c r="D327" t="s">
        <v>14</v>
      </c>
      <c r="E327" s="16">
        <v>46299</v>
      </c>
      <c r="F327">
        <v>162</v>
      </c>
      <c r="G327" t="s">
        <v>122</v>
      </c>
      <c r="H327">
        <v>101</v>
      </c>
      <c r="I327">
        <v>99</v>
      </c>
      <c r="J327">
        <v>503712</v>
      </c>
      <c r="K327">
        <v>57380</v>
      </c>
      <c r="L327" t="e">
        <f>[1]!Table1[[#This Row],[Revenue]]-[1]!Table1[[#This Row],[OperationalCost]]</f>
        <v>#REF!</v>
      </c>
      <c r="M327" t="str">
        <f t="shared" si="5"/>
        <v>Oct</v>
      </c>
      <c r="N327" s="15">
        <f>Table11[[#This Row],[SeatsSold]]/Table11[[#This Row],[SeatsAvailable]]</f>
        <v>0.98019801980198018</v>
      </c>
      <c r="O327" s="10"/>
    </row>
    <row r="328" spans="1:15" x14ac:dyDescent="0.3">
      <c r="A328" t="s">
        <v>444</v>
      </c>
      <c r="B328" t="s">
        <v>85</v>
      </c>
      <c r="C328" t="s">
        <v>20</v>
      </c>
      <c r="D328" t="s">
        <v>6</v>
      </c>
      <c r="E328" s="16">
        <v>45865</v>
      </c>
      <c r="F328">
        <v>221</v>
      </c>
      <c r="G328" t="s">
        <v>113</v>
      </c>
      <c r="H328">
        <v>147</v>
      </c>
      <c r="I328">
        <v>60</v>
      </c>
      <c r="J328">
        <v>419340</v>
      </c>
      <c r="K328">
        <v>67912</v>
      </c>
      <c r="L328" t="e">
        <f>[1]!Table1[[#This Row],[Revenue]]-[1]!Table1[[#This Row],[OperationalCost]]</f>
        <v>#REF!</v>
      </c>
      <c r="M328" t="str">
        <f t="shared" si="5"/>
        <v>Jul</v>
      </c>
      <c r="N328" s="15">
        <f>Table11[[#This Row],[SeatsSold]]/Table11[[#This Row],[SeatsAvailable]]</f>
        <v>0.40816326530612246</v>
      </c>
      <c r="O328" s="10"/>
    </row>
    <row r="329" spans="1:15" x14ac:dyDescent="0.3">
      <c r="A329" t="s">
        <v>445</v>
      </c>
      <c r="B329" t="s">
        <v>79</v>
      </c>
      <c r="C329" t="s">
        <v>21</v>
      </c>
      <c r="D329" t="s">
        <v>19</v>
      </c>
      <c r="E329" s="16">
        <v>45742</v>
      </c>
      <c r="F329">
        <v>140</v>
      </c>
      <c r="G329" t="s">
        <v>113</v>
      </c>
      <c r="H329">
        <v>83</v>
      </c>
      <c r="I329">
        <v>65</v>
      </c>
      <c r="J329">
        <v>487825</v>
      </c>
      <c r="K329">
        <v>53397</v>
      </c>
      <c r="L329" t="e">
        <f>[1]!Table1[[#This Row],[Revenue]]-[1]!Table1[[#This Row],[OperationalCost]]</f>
        <v>#REF!</v>
      </c>
      <c r="M329" t="str">
        <f t="shared" si="5"/>
        <v>Mar</v>
      </c>
      <c r="N329" s="15">
        <f>Table11[[#This Row],[SeatsSold]]/Table11[[#This Row],[SeatsAvailable]]</f>
        <v>0.7831325301204819</v>
      </c>
      <c r="O329" s="10"/>
    </row>
    <row r="330" spans="1:15" x14ac:dyDescent="0.3">
      <c r="A330" t="s">
        <v>446</v>
      </c>
      <c r="B330" t="s">
        <v>41</v>
      </c>
      <c r="C330" t="s">
        <v>17</v>
      </c>
      <c r="D330" t="s">
        <v>3</v>
      </c>
      <c r="E330" s="16">
        <v>46378</v>
      </c>
      <c r="F330">
        <v>69</v>
      </c>
      <c r="G330" t="s">
        <v>122</v>
      </c>
      <c r="H330">
        <v>124</v>
      </c>
      <c r="I330">
        <v>101</v>
      </c>
      <c r="J330">
        <v>381376</v>
      </c>
      <c r="K330">
        <v>39201</v>
      </c>
      <c r="L330" t="e">
        <f>[1]!Table1[[#This Row],[Revenue]]-[1]!Table1[[#This Row],[OperationalCost]]</f>
        <v>#REF!</v>
      </c>
      <c r="M330" t="str">
        <f t="shared" si="5"/>
        <v>Dec</v>
      </c>
      <c r="N330" s="15">
        <f>Table11[[#This Row],[SeatsSold]]/Table11[[#This Row],[SeatsAvailable]]</f>
        <v>0.81451612903225812</v>
      </c>
      <c r="O330" s="10"/>
    </row>
    <row r="331" spans="1:15" x14ac:dyDescent="0.3">
      <c r="A331" t="s">
        <v>447</v>
      </c>
      <c r="B331" t="s">
        <v>67</v>
      </c>
      <c r="C331" t="s">
        <v>9</v>
      </c>
      <c r="D331" t="s">
        <v>15</v>
      </c>
      <c r="E331" s="16">
        <v>46354</v>
      </c>
      <c r="F331">
        <v>158</v>
      </c>
      <c r="G331" t="s">
        <v>122</v>
      </c>
      <c r="H331">
        <v>72</v>
      </c>
      <c r="I331">
        <v>61</v>
      </c>
      <c r="J331">
        <v>272975</v>
      </c>
      <c r="K331">
        <v>44160</v>
      </c>
      <c r="L331" t="e">
        <f>[1]!Table1[[#This Row],[Revenue]]-[1]!Table1[[#This Row],[OperationalCost]]</f>
        <v>#REF!</v>
      </c>
      <c r="M331" t="str">
        <f t="shared" si="5"/>
        <v>Nov</v>
      </c>
      <c r="N331" s="15">
        <f>Table11[[#This Row],[SeatsSold]]/Table11[[#This Row],[SeatsAvailable]]</f>
        <v>0.84722222222222221</v>
      </c>
      <c r="O331" s="10"/>
    </row>
    <row r="332" spans="1:15" x14ac:dyDescent="0.3">
      <c r="A332" t="s">
        <v>448</v>
      </c>
      <c r="B332" t="s">
        <v>84</v>
      </c>
      <c r="C332" t="s">
        <v>6</v>
      </c>
      <c r="D332" t="s">
        <v>3</v>
      </c>
      <c r="E332" s="16">
        <v>45892</v>
      </c>
      <c r="F332">
        <v>143</v>
      </c>
      <c r="G332" t="s">
        <v>122</v>
      </c>
      <c r="H332">
        <v>96</v>
      </c>
      <c r="I332">
        <v>46</v>
      </c>
      <c r="J332">
        <v>351118</v>
      </c>
      <c r="K332">
        <v>45578</v>
      </c>
      <c r="L332" t="e">
        <f>[1]!Table1[[#This Row],[Revenue]]-[1]!Table1[[#This Row],[OperationalCost]]</f>
        <v>#REF!</v>
      </c>
      <c r="M332" t="str">
        <f t="shared" si="5"/>
        <v>Aug</v>
      </c>
      <c r="N332" s="15">
        <f>Table11[[#This Row],[SeatsSold]]/Table11[[#This Row],[SeatsAvailable]]</f>
        <v>0.47916666666666669</v>
      </c>
      <c r="O332" s="10"/>
    </row>
    <row r="333" spans="1:15" x14ac:dyDescent="0.3">
      <c r="A333" t="s">
        <v>449</v>
      </c>
      <c r="B333" t="s">
        <v>55</v>
      </c>
      <c r="C333" t="s">
        <v>14</v>
      </c>
      <c r="D333" t="s">
        <v>6</v>
      </c>
      <c r="E333" s="16">
        <v>45794</v>
      </c>
      <c r="F333">
        <v>209</v>
      </c>
      <c r="G333" t="s">
        <v>113</v>
      </c>
      <c r="H333">
        <v>87</v>
      </c>
      <c r="I333">
        <v>73</v>
      </c>
      <c r="J333">
        <v>856144</v>
      </c>
      <c r="K333">
        <v>46030</v>
      </c>
      <c r="L333" t="e">
        <f>[1]!Table1[[#This Row],[Revenue]]-[1]!Table1[[#This Row],[OperationalCost]]</f>
        <v>#REF!</v>
      </c>
      <c r="M333" t="str">
        <f t="shared" si="5"/>
        <v>May</v>
      </c>
      <c r="N333" s="15">
        <f>Table11[[#This Row],[SeatsSold]]/Table11[[#This Row],[SeatsAvailable]]</f>
        <v>0.83908045977011492</v>
      </c>
      <c r="O333" s="10"/>
    </row>
    <row r="334" spans="1:15" x14ac:dyDescent="0.3">
      <c r="A334" t="s">
        <v>450</v>
      </c>
      <c r="B334" t="s">
        <v>50</v>
      </c>
      <c r="C334" t="s">
        <v>14</v>
      </c>
      <c r="D334" t="s">
        <v>11</v>
      </c>
      <c r="E334" s="16">
        <v>46017</v>
      </c>
      <c r="F334">
        <v>229</v>
      </c>
      <c r="G334" t="s">
        <v>113</v>
      </c>
      <c r="H334">
        <v>108</v>
      </c>
      <c r="I334">
        <v>92</v>
      </c>
      <c r="J334">
        <v>896816</v>
      </c>
      <c r="K334">
        <v>51091</v>
      </c>
      <c r="L334" t="e">
        <f>[1]!Table1[[#This Row],[Revenue]]-[1]!Table1[[#This Row],[OperationalCost]]</f>
        <v>#REF!</v>
      </c>
      <c r="M334" t="str">
        <f t="shared" si="5"/>
        <v>Dec</v>
      </c>
      <c r="N334" s="15">
        <f>Table11[[#This Row],[SeatsSold]]/Table11[[#This Row],[SeatsAvailable]]</f>
        <v>0.85185185185185186</v>
      </c>
      <c r="O334" s="10"/>
    </row>
    <row r="335" spans="1:15" x14ac:dyDescent="0.3">
      <c r="A335" t="s">
        <v>451</v>
      </c>
      <c r="B335" t="s">
        <v>93</v>
      </c>
      <c r="C335" t="s">
        <v>3</v>
      </c>
      <c r="D335" t="s">
        <v>9</v>
      </c>
      <c r="E335" s="16">
        <v>45784</v>
      </c>
      <c r="F335">
        <v>195</v>
      </c>
      <c r="G335" t="s">
        <v>120</v>
      </c>
      <c r="H335">
        <v>159</v>
      </c>
      <c r="I335">
        <v>94</v>
      </c>
      <c r="J335">
        <v>719288</v>
      </c>
      <c r="K335">
        <v>52962</v>
      </c>
      <c r="L335" t="e">
        <f>[1]!Table1[[#This Row],[Revenue]]-[1]!Table1[[#This Row],[OperationalCost]]</f>
        <v>#REF!</v>
      </c>
      <c r="M335" t="str">
        <f t="shared" si="5"/>
        <v>May</v>
      </c>
      <c r="N335" s="15">
        <f>Table11[[#This Row],[SeatsSold]]/Table11[[#This Row],[SeatsAvailable]]</f>
        <v>0.5911949685534591</v>
      </c>
      <c r="O335" s="10"/>
    </row>
    <row r="336" spans="1:15" x14ac:dyDescent="0.3">
      <c r="A336" t="s">
        <v>452</v>
      </c>
      <c r="B336" t="s">
        <v>51</v>
      </c>
      <c r="C336" t="s">
        <v>19</v>
      </c>
      <c r="D336" t="s">
        <v>3</v>
      </c>
      <c r="E336" s="16">
        <v>45912</v>
      </c>
      <c r="F336">
        <v>186</v>
      </c>
      <c r="G336" t="s">
        <v>116</v>
      </c>
      <c r="H336">
        <v>142</v>
      </c>
      <c r="I336">
        <v>139</v>
      </c>
      <c r="J336">
        <v>408521</v>
      </c>
      <c r="K336">
        <v>75862</v>
      </c>
      <c r="L336" t="e">
        <f>[1]!Table1[[#This Row],[Revenue]]-[1]!Table1[[#This Row],[OperationalCost]]</f>
        <v>#REF!</v>
      </c>
      <c r="M336" t="str">
        <f t="shared" si="5"/>
        <v>Sep</v>
      </c>
      <c r="N336" s="15">
        <f>Table11[[#This Row],[SeatsSold]]/Table11[[#This Row],[SeatsAvailable]]</f>
        <v>0.97887323943661975</v>
      </c>
      <c r="O336" s="10"/>
    </row>
    <row r="337" spans="1:15" x14ac:dyDescent="0.3">
      <c r="A337" t="s">
        <v>453</v>
      </c>
      <c r="B337" t="s">
        <v>67</v>
      </c>
      <c r="C337" t="s">
        <v>9</v>
      </c>
      <c r="D337" t="s">
        <v>15</v>
      </c>
      <c r="E337" s="16">
        <v>46279</v>
      </c>
      <c r="F337">
        <v>175</v>
      </c>
      <c r="G337" t="s">
        <v>113</v>
      </c>
      <c r="H337">
        <v>170</v>
      </c>
      <c r="I337">
        <v>115</v>
      </c>
      <c r="J337">
        <v>390310</v>
      </c>
      <c r="K337">
        <v>66695</v>
      </c>
      <c r="L337" t="e">
        <f>[1]!Table1[[#This Row],[Revenue]]-[1]!Table1[[#This Row],[OperationalCost]]</f>
        <v>#REF!</v>
      </c>
      <c r="M337" t="str">
        <f t="shared" si="5"/>
        <v>Sep</v>
      </c>
      <c r="N337" s="15">
        <f>Table11[[#This Row],[SeatsSold]]/Table11[[#This Row],[SeatsAvailable]]</f>
        <v>0.67647058823529416</v>
      </c>
      <c r="O337" s="10"/>
    </row>
    <row r="338" spans="1:15" x14ac:dyDescent="0.3">
      <c r="A338" t="s">
        <v>454</v>
      </c>
      <c r="B338" t="s">
        <v>41</v>
      </c>
      <c r="C338" t="s">
        <v>17</v>
      </c>
      <c r="D338" t="s">
        <v>3</v>
      </c>
      <c r="E338" s="16">
        <v>45904</v>
      </c>
      <c r="F338">
        <v>172</v>
      </c>
      <c r="G338" t="s">
        <v>116</v>
      </c>
      <c r="H338">
        <v>88</v>
      </c>
      <c r="I338">
        <v>73</v>
      </c>
      <c r="J338">
        <v>196881</v>
      </c>
      <c r="K338">
        <v>50632</v>
      </c>
      <c r="L338" t="e">
        <f>[1]!Table1[[#This Row],[Revenue]]-[1]!Table1[[#This Row],[OperationalCost]]</f>
        <v>#REF!</v>
      </c>
      <c r="M338" t="str">
        <f t="shared" si="5"/>
        <v>Sep</v>
      </c>
      <c r="N338" s="15">
        <f>Table11[[#This Row],[SeatsSold]]/Table11[[#This Row],[SeatsAvailable]]</f>
        <v>0.82954545454545459</v>
      </c>
      <c r="O338" s="10"/>
    </row>
    <row r="339" spans="1:15" x14ac:dyDescent="0.3">
      <c r="A339" t="s">
        <v>455</v>
      </c>
      <c r="B339" t="s">
        <v>55</v>
      </c>
      <c r="C339" t="s">
        <v>14</v>
      </c>
      <c r="D339" t="s">
        <v>6</v>
      </c>
      <c r="E339" s="16">
        <v>46240</v>
      </c>
      <c r="F339">
        <v>152</v>
      </c>
      <c r="G339" t="s">
        <v>118</v>
      </c>
      <c r="H339">
        <v>209</v>
      </c>
      <c r="I339">
        <v>84</v>
      </c>
      <c r="J339">
        <v>858228</v>
      </c>
      <c r="K339">
        <v>38532</v>
      </c>
      <c r="L339" t="e">
        <f>[1]!Table1[[#This Row],[Revenue]]-[1]!Table1[[#This Row],[OperationalCost]]</f>
        <v>#REF!</v>
      </c>
      <c r="M339" t="str">
        <f t="shared" si="5"/>
        <v>Aug</v>
      </c>
      <c r="N339" s="15">
        <f>Table11[[#This Row],[SeatsSold]]/Table11[[#This Row],[SeatsAvailable]]</f>
        <v>0.40191387559808611</v>
      </c>
      <c r="O339" s="10"/>
    </row>
    <row r="340" spans="1:15" x14ac:dyDescent="0.3">
      <c r="A340" t="s">
        <v>456</v>
      </c>
      <c r="B340" t="s">
        <v>111</v>
      </c>
      <c r="C340" t="s">
        <v>15</v>
      </c>
      <c r="D340" t="s">
        <v>3</v>
      </c>
      <c r="E340" s="16">
        <v>45672</v>
      </c>
      <c r="F340">
        <v>112</v>
      </c>
      <c r="G340" t="s">
        <v>113</v>
      </c>
      <c r="H340">
        <v>80</v>
      </c>
      <c r="I340">
        <v>43</v>
      </c>
      <c r="J340">
        <v>387860</v>
      </c>
      <c r="K340">
        <v>40128</v>
      </c>
      <c r="L340" t="e">
        <f>[1]!Table1[[#This Row],[Revenue]]-[1]!Table1[[#This Row],[OperationalCost]]</f>
        <v>#REF!</v>
      </c>
      <c r="M340" t="str">
        <f t="shared" si="5"/>
        <v>Jan</v>
      </c>
      <c r="N340" s="15">
        <f>Table11[[#This Row],[SeatsSold]]/Table11[[#This Row],[SeatsAvailable]]</f>
        <v>0.53749999999999998</v>
      </c>
      <c r="O340" s="10"/>
    </row>
    <row r="341" spans="1:15" x14ac:dyDescent="0.3">
      <c r="A341" t="s">
        <v>457</v>
      </c>
      <c r="B341" t="s">
        <v>70</v>
      </c>
      <c r="C341" t="s">
        <v>11</v>
      </c>
      <c r="D341" t="s">
        <v>17</v>
      </c>
      <c r="E341" s="16">
        <v>46091</v>
      </c>
      <c r="F341">
        <v>224</v>
      </c>
      <c r="G341" t="s">
        <v>120</v>
      </c>
      <c r="H341">
        <v>91</v>
      </c>
      <c r="I341">
        <v>80</v>
      </c>
      <c r="J341">
        <v>903280</v>
      </c>
      <c r="K341">
        <v>79135</v>
      </c>
      <c r="L341" t="e">
        <f>[1]!Table1[[#This Row],[Revenue]]-[1]!Table1[[#This Row],[OperationalCost]]</f>
        <v>#REF!</v>
      </c>
      <c r="M341" t="str">
        <f t="shared" si="5"/>
        <v>Mar</v>
      </c>
      <c r="N341" s="15">
        <f>Table11[[#This Row],[SeatsSold]]/Table11[[#This Row],[SeatsAvailable]]</f>
        <v>0.87912087912087911</v>
      </c>
      <c r="O341" s="10"/>
    </row>
    <row r="342" spans="1:15" x14ac:dyDescent="0.3">
      <c r="A342" t="s">
        <v>458</v>
      </c>
      <c r="B342" t="s">
        <v>44</v>
      </c>
      <c r="C342" t="s">
        <v>14</v>
      </c>
      <c r="D342" t="s">
        <v>21</v>
      </c>
      <c r="E342" s="16">
        <v>45743</v>
      </c>
      <c r="F342">
        <v>124</v>
      </c>
      <c r="G342" t="s">
        <v>122</v>
      </c>
      <c r="H342">
        <v>200</v>
      </c>
      <c r="I342">
        <v>92</v>
      </c>
      <c r="J342">
        <v>464140</v>
      </c>
      <c r="K342">
        <v>64468</v>
      </c>
      <c r="L342" t="e">
        <f>[1]!Table1[[#This Row],[Revenue]]-[1]!Table1[[#This Row],[OperationalCost]]</f>
        <v>#REF!</v>
      </c>
      <c r="M342" t="str">
        <f t="shared" si="5"/>
        <v>Mar</v>
      </c>
      <c r="N342" s="15">
        <f>Table11[[#This Row],[SeatsSold]]/Table11[[#This Row],[SeatsAvailable]]</f>
        <v>0.46</v>
      </c>
      <c r="O342" s="10"/>
    </row>
    <row r="343" spans="1:15" x14ac:dyDescent="0.3">
      <c r="A343" t="s">
        <v>459</v>
      </c>
      <c r="B343" t="s">
        <v>41</v>
      </c>
      <c r="C343" t="s">
        <v>17</v>
      </c>
      <c r="D343" t="s">
        <v>3</v>
      </c>
      <c r="E343" s="16">
        <v>45975</v>
      </c>
      <c r="F343">
        <v>223</v>
      </c>
      <c r="G343" t="s">
        <v>120</v>
      </c>
      <c r="H343">
        <v>131</v>
      </c>
      <c r="I343">
        <v>47</v>
      </c>
      <c r="J343">
        <v>305735</v>
      </c>
      <c r="K343">
        <v>56687</v>
      </c>
      <c r="L343" t="e">
        <f>[1]!Table1[[#This Row],[Revenue]]-[1]!Table1[[#This Row],[OperationalCost]]</f>
        <v>#REF!</v>
      </c>
      <c r="M343" t="str">
        <f t="shared" si="5"/>
        <v>Nov</v>
      </c>
      <c r="N343" s="15">
        <f>Table11[[#This Row],[SeatsSold]]/Table11[[#This Row],[SeatsAvailable]]</f>
        <v>0.35877862595419846</v>
      </c>
      <c r="O343" s="10"/>
    </row>
    <row r="344" spans="1:15" x14ac:dyDescent="0.3">
      <c r="A344" t="s">
        <v>460</v>
      </c>
      <c r="B344" t="s">
        <v>8</v>
      </c>
      <c r="C344" t="s">
        <v>3</v>
      </c>
      <c r="D344" t="s">
        <v>11</v>
      </c>
      <c r="E344" s="16">
        <v>46284</v>
      </c>
      <c r="F344">
        <v>200</v>
      </c>
      <c r="G344" t="s">
        <v>122</v>
      </c>
      <c r="H344">
        <v>149</v>
      </c>
      <c r="I344">
        <v>125</v>
      </c>
      <c r="J344">
        <v>672125</v>
      </c>
      <c r="K344">
        <v>42367</v>
      </c>
      <c r="L344" t="e">
        <f>[1]!Table1[[#This Row],[Revenue]]-[1]!Table1[[#This Row],[OperationalCost]]</f>
        <v>#REF!</v>
      </c>
      <c r="M344" t="str">
        <f t="shared" si="5"/>
        <v>Sep</v>
      </c>
      <c r="N344" s="15">
        <f>Table11[[#This Row],[SeatsSold]]/Table11[[#This Row],[SeatsAvailable]]</f>
        <v>0.83892617449664431</v>
      </c>
      <c r="O344" s="10"/>
    </row>
    <row r="345" spans="1:15" x14ac:dyDescent="0.3">
      <c r="A345" t="s">
        <v>461</v>
      </c>
      <c r="B345" t="s">
        <v>39</v>
      </c>
      <c r="C345" t="s">
        <v>14</v>
      </c>
      <c r="D345" t="s">
        <v>20</v>
      </c>
      <c r="E345" s="16">
        <v>45825</v>
      </c>
      <c r="F345">
        <v>172</v>
      </c>
      <c r="G345" t="s">
        <v>118</v>
      </c>
      <c r="H345">
        <v>203</v>
      </c>
      <c r="I345">
        <v>172</v>
      </c>
      <c r="J345">
        <v>1160484</v>
      </c>
      <c r="K345">
        <v>63389</v>
      </c>
      <c r="L345" t="e">
        <f>[1]!Table1[[#This Row],[Revenue]]-[1]!Table1[[#This Row],[OperationalCost]]</f>
        <v>#REF!</v>
      </c>
      <c r="M345" t="str">
        <f t="shared" si="5"/>
        <v>Jun</v>
      </c>
      <c r="N345" s="15">
        <f>Table11[[#This Row],[SeatsSold]]/Table11[[#This Row],[SeatsAvailable]]</f>
        <v>0.84729064039408863</v>
      </c>
      <c r="O345" s="10"/>
    </row>
    <row r="346" spans="1:15" x14ac:dyDescent="0.3">
      <c r="A346" t="s">
        <v>462</v>
      </c>
      <c r="B346" t="s">
        <v>44</v>
      </c>
      <c r="C346" t="s">
        <v>14</v>
      </c>
      <c r="D346" t="s">
        <v>21</v>
      </c>
      <c r="E346" s="16">
        <v>45778</v>
      </c>
      <c r="F346">
        <v>52</v>
      </c>
      <c r="G346" t="s">
        <v>118</v>
      </c>
      <c r="H346">
        <v>179</v>
      </c>
      <c r="I346">
        <v>109</v>
      </c>
      <c r="J346">
        <v>1207938</v>
      </c>
      <c r="K346">
        <v>33385</v>
      </c>
      <c r="L346" t="e">
        <f>[1]!Table1[[#This Row],[Revenue]]-[1]!Table1[[#This Row],[OperationalCost]]</f>
        <v>#REF!</v>
      </c>
      <c r="M346" t="str">
        <f t="shared" si="5"/>
        <v>May</v>
      </c>
      <c r="N346" s="15">
        <f>Table11[[#This Row],[SeatsSold]]/Table11[[#This Row],[SeatsAvailable]]</f>
        <v>0.60893854748603349</v>
      </c>
      <c r="O346" s="10"/>
    </row>
    <row r="347" spans="1:15" x14ac:dyDescent="0.3">
      <c r="A347" t="s">
        <v>463</v>
      </c>
      <c r="B347" t="s">
        <v>111</v>
      </c>
      <c r="C347" t="s">
        <v>15</v>
      </c>
      <c r="D347" t="s">
        <v>3</v>
      </c>
      <c r="E347" s="16">
        <v>46166</v>
      </c>
      <c r="F347">
        <v>161</v>
      </c>
      <c r="G347" t="s">
        <v>116</v>
      </c>
      <c r="H347">
        <v>162</v>
      </c>
      <c r="I347">
        <v>47</v>
      </c>
      <c r="J347">
        <v>502195</v>
      </c>
      <c r="K347">
        <v>62429</v>
      </c>
      <c r="L347" t="e">
        <f>[1]!Table1[[#This Row],[Revenue]]-[1]!Table1[[#This Row],[OperationalCost]]</f>
        <v>#REF!</v>
      </c>
      <c r="M347" t="str">
        <f t="shared" si="5"/>
        <v>May</v>
      </c>
      <c r="N347" s="15">
        <f>Table11[[#This Row],[SeatsSold]]/Table11[[#This Row],[SeatsAvailable]]</f>
        <v>0.29012345679012347</v>
      </c>
      <c r="O347" s="10"/>
    </row>
    <row r="348" spans="1:15" x14ac:dyDescent="0.3">
      <c r="A348" t="s">
        <v>464</v>
      </c>
      <c r="B348" t="s">
        <v>37</v>
      </c>
      <c r="C348" t="s">
        <v>21</v>
      </c>
      <c r="D348" t="s">
        <v>14</v>
      </c>
      <c r="E348" s="16">
        <v>45919</v>
      </c>
      <c r="F348">
        <v>71</v>
      </c>
      <c r="G348" t="s">
        <v>116</v>
      </c>
      <c r="H348">
        <v>99</v>
      </c>
      <c r="I348">
        <v>54</v>
      </c>
      <c r="J348">
        <v>585144</v>
      </c>
      <c r="K348">
        <v>17529</v>
      </c>
      <c r="L348" t="e">
        <f>[1]!Table1[[#This Row],[Revenue]]-[1]!Table1[[#This Row],[OperationalCost]]</f>
        <v>#REF!</v>
      </c>
      <c r="M348" t="str">
        <f t="shared" si="5"/>
        <v>Sep</v>
      </c>
      <c r="N348" s="15">
        <f>Table11[[#This Row],[SeatsSold]]/Table11[[#This Row],[SeatsAvailable]]</f>
        <v>0.54545454545454541</v>
      </c>
      <c r="O348" s="10"/>
    </row>
    <row r="349" spans="1:15" x14ac:dyDescent="0.3">
      <c r="A349" t="s">
        <v>465</v>
      </c>
      <c r="B349" t="s">
        <v>82</v>
      </c>
      <c r="C349" t="s">
        <v>20</v>
      </c>
      <c r="D349" t="s">
        <v>19</v>
      </c>
      <c r="E349" s="16">
        <v>45705</v>
      </c>
      <c r="F349">
        <v>165</v>
      </c>
      <c r="G349" t="s">
        <v>118</v>
      </c>
      <c r="H349">
        <v>168</v>
      </c>
      <c r="I349">
        <v>78</v>
      </c>
      <c r="J349">
        <v>423696</v>
      </c>
      <c r="K349">
        <v>58413</v>
      </c>
      <c r="L349" t="e">
        <f>[1]!Table1[[#This Row],[Revenue]]-[1]!Table1[[#This Row],[OperationalCost]]</f>
        <v>#REF!</v>
      </c>
      <c r="M349" t="str">
        <f t="shared" si="5"/>
        <v>Feb</v>
      </c>
      <c r="N349" s="15">
        <f>Table11[[#This Row],[SeatsSold]]/Table11[[#This Row],[SeatsAvailable]]</f>
        <v>0.4642857142857143</v>
      </c>
      <c r="O349" s="10"/>
    </row>
    <row r="350" spans="1:15" x14ac:dyDescent="0.3">
      <c r="A350" t="s">
        <v>466</v>
      </c>
      <c r="B350" t="s">
        <v>72</v>
      </c>
      <c r="C350" t="s">
        <v>17</v>
      </c>
      <c r="D350" t="s">
        <v>9</v>
      </c>
      <c r="E350" s="16">
        <v>45987</v>
      </c>
      <c r="F350">
        <v>108</v>
      </c>
      <c r="G350" t="s">
        <v>120</v>
      </c>
      <c r="H350">
        <v>151</v>
      </c>
      <c r="I350">
        <v>74</v>
      </c>
      <c r="J350">
        <v>279424</v>
      </c>
      <c r="K350">
        <v>55153</v>
      </c>
      <c r="L350" t="e">
        <f>[1]!Table1[[#This Row],[Revenue]]-[1]!Table1[[#This Row],[OperationalCost]]</f>
        <v>#REF!</v>
      </c>
      <c r="M350" t="str">
        <f t="shared" si="5"/>
        <v>Nov</v>
      </c>
      <c r="N350" s="15">
        <f>Table11[[#This Row],[SeatsSold]]/Table11[[#This Row],[SeatsAvailable]]</f>
        <v>0.49006622516556292</v>
      </c>
      <c r="O350" s="10"/>
    </row>
    <row r="351" spans="1:15" x14ac:dyDescent="0.3">
      <c r="A351" t="s">
        <v>467</v>
      </c>
      <c r="B351" t="s">
        <v>46</v>
      </c>
      <c r="C351" t="s">
        <v>3</v>
      </c>
      <c r="D351" t="s">
        <v>15</v>
      </c>
      <c r="E351" s="16">
        <v>46347</v>
      </c>
      <c r="F351">
        <v>58</v>
      </c>
      <c r="G351" t="s">
        <v>113</v>
      </c>
      <c r="H351">
        <v>127</v>
      </c>
      <c r="I351">
        <v>106</v>
      </c>
      <c r="J351">
        <v>344712</v>
      </c>
      <c r="K351">
        <v>25195</v>
      </c>
      <c r="L351" t="e">
        <f>[1]!Table1[[#This Row],[Revenue]]-[1]!Table1[[#This Row],[OperationalCost]]</f>
        <v>#REF!</v>
      </c>
      <c r="M351" t="str">
        <f t="shared" si="5"/>
        <v>Nov</v>
      </c>
      <c r="N351" s="15">
        <f>Table11[[#This Row],[SeatsSold]]/Table11[[#This Row],[SeatsAvailable]]</f>
        <v>0.83464566929133854</v>
      </c>
      <c r="O351" s="10"/>
    </row>
    <row r="352" spans="1:15" x14ac:dyDescent="0.3">
      <c r="A352" t="s">
        <v>468</v>
      </c>
      <c r="B352" t="s">
        <v>102</v>
      </c>
      <c r="C352" t="s">
        <v>6</v>
      </c>
      <c r="D352" t="s">
        <v>19</v>
      </c>
      <c r="E352" s="16">
        <v>45976</v>
      </c>
      <c r="F352">
        <v>128</v>
      </c>
      <c r="G352" t="s">
        <v>122</v>
      </c>
      <c r="H352">
        <v>211</v>
      </c>
      <c r="I352">
        <v>156</v>
      </c>
      <c r="J352">
        <v>410280</v>
      </c>
      <c r="K352">
        <v>55033</v>
      </c>
      <c r="L352" t="e">
        <f>[1]!Table1[[#This Row],[Revenue]]-[1]!Table1[[#This Row],[OperationalCost]]</f>
        <v>#REF!</v>
      </c>
      <c r="M352" t="str">
        <f t="shared" si="5"/>
        <v>Nov</v>
      </c>
      <c r="N352" s="15">
        <f>Table11[[#This Row],[SeatsSold]]/Table11[[#This Row],[SeatsAvailable]]</f>
        <v>0.73933649289099523</v>
      </c>
      <c r="O352" s="10"/>
    </row>
    <row r="353" spans="1:15" x14ac:dyDescent="0.3">
      <c r="A353" t="s">
        <v>469</v>
      </c>
      <c r="B353" t="s">
        <v>109</v>
      </c>
      <c r="C353" t="s">
        <v>19</v>
      </c>
      <c r="D353" t="s">
        <v>21</v>
      </c>
      <c r="E353" s="16">
        <v>46295</v>
      </c>
      <c r="F353">
        <v>107</v>
      </c>
      <c r="G353" t="s">
        <v>120</v>
      </c>
      <c r="H353">
        <v>164</v>
      </c>
      <c r="I353">
        <v>115</v>
      </c>
      <c r="J353">
        <v>1217045</v>
      </c>
      <c r="K353">
        <v>54106</v>
      </c>
      <c r="L353" t="e">
        <f>[1]!Table1[[#This Row],[Revenue]]-[1]!Table1[[#This Row],[OperationalCost]]</f>
        <v>#REF!</v>
      </c>
      <c r="M353" t="str">
        <f t="shared" si="5"/>
        <v>Sep</v>
      </c>
      <c r="N353" s="15">
        <f>Table11[[#This Row],[SeatsSold]]/Table11[[#This Row],[SeatsAvailable]]</f>
        <v>0.70121951219512191</v>
      </c>
      <c r="O353" s="10"/>
    </row>
    <row r="354" spans="1:15" x14ac:dyDescent="0.3">
      <c r="A354" t="s">
        <v>470</v>
      </c>
      <c r="B354" t="s">
        <v>59</v>
      </c>
      <c r="C354" t="s">
        <v>9</v>
      </c>
      <c r="D354" t="s">
        <v>14</v>
      </c>
      <c r="E354" s="16">
        <v>45664</v>
      </c>
      <c r="F354">
        <v>149</v>
      </c>
      <c r="G354" t="s">
        <v>122</v>
      </c>
      <c r="H354">
        <v>129</v>
      </c>
      <c r="I354">
        <v>109</v>
      </c>
      <c r="J354">
        <v>891075</v>
      </c>
      <c r="K354">
        <v>52596</v>
      </c>
      <c r="L354" t="e">
        <f>[1]!Table1[[#This Row],[Revenue]]-[1]!Table1[[#This Row],[OperationalCost]]</f>
        <v>#REF!</v>
      </c>
      <c r="M354" t="str">
        <f t="shared" si="5"/>
        <v>Jan</v>
      </c>
      <c r="N354" s="15">
        <f>Table11[[#This Row],[SeatsSold]]/Table11[[#This Row],[SeatsAvailable]]</f>
        <v>0.84496124031007747</v>
      </c>
      <c r="O354" s="10"/>
    </row>
    <row r="355" spans="1:15" x14ac:dyDescent="0.3">
      <c r="A355" t="s">
        <v>471</v>
      </c>
      <c r="B355" t="s">
        <v>69</v>
      </c>
      <c r="C355" t="s">
        <v>21</v>
      </c>
      <c r="D355" t="s">
        <v>20</v>
      </c>
      <c r="E355" s="16">
        <v>46331</v>
      </c>
      <c r="F355">
        <v>141</v>
      </c>
      <c r="G355" t="s">
        <v>118</v>
      </c>
      <c r="H355">
        <v>96</v>
      </c>
      <c r="I355">
        <v>53</v>
      </c>
      <c r="J355">
        <v>592540</v>
      </c>
      <c r="K355">
        <v>43332</v>
      </c>
      <c r="L355" t="e">
        <f>[1]!Table1[[#This Row],[Revenue]]-[1]!Table1[[#This Row],[OperationalCost]]</f>
        <v>#REF!</v>
      </c>
      <c r="M355" t="str">
        <f t="shared" si="5"/>
        <v>Nov</v>
      </c>
      <c r="N355" s="15">
        <f>Table11[[#This Row],[SeatsSold]]/Table11[[#This Row],[SeatsAvailable]]</f>
        <v>0.55208333333333337</v>
      </c>
      <c r="O355" s="10"/>
    </row>
    <row r="356" spans="1:15" x14ac:dyDescent="0.3">
      <c r="A356" t="s">
        <v>472</v>
      </c>
      <c r="B356" t="s">
        <v>65</v>
      </c>
      <c r="C356" t="s">
        <v>6</v>
      </c>
      <c r="D356" t="s">
        <v>20</v>
      </c>
      <c r="E356" s="16">
        <v>45803</v>
      </c>
      <c r="F356">
        <v>227</v>
      </c>
      <c r="G356" t="s">
        <v>118</v>
      </c>
      <c r="H356">
        <v>93</v>
      </c>
      <c r="I356">
        <v>42</v>
      </c>
      <c r="J356">
        <v>264264</v>
      </c>
      <c r="K356">
        <v>74636</v>
      </c>
      <c r="L356" t="e">
        <f>[1]!Table1[[#This Row],[Revenue]]-[1]!Table1[[#This Row],[OperationalCost]]</f>
        <v>#REF!</v>
      </c>
      <c r="M356" t="str">
        <f t="shared" si="5"/>
        <v>May</v>
      </c>
      <c r="N356" s="15">
        <f>Table11[[#This Row],[SeatsSold]]/Table11[[#This Row],[SeatsAvailable]]</f>
        <v>0.45161290322580644</v>
      </c>
      <c r="O356" s="10"/>
    </row>
    <row r="357" spans="1:15" x14ac:dyDescent="0.3">
      <c r="A357" t="s">
        <v>473</v>
      </c>
      <c r="B357" t="s">
        <v>89</v>
      </c>
      <c r="C357" t="s">
        <v>21</v>
      </c>
      <c r="D357" t="s">
        <v>11</v>
      </c>
      <c r="E357" s="16">
        <v>45744</v>
      </c>
      <c r="F357">
        <v>193</v>
      </c>
      <c r="G357" t="s">
        <v>122</v>
      </c>
      <c r="H357">
        <v>199</v>
      </c>
      <c r="I357">
        <v>74</v>
      </c>
      <c r="J357">
        <v>663114</v>
      </c>
      <c r="K357">
        <v>72796</v>
      </c>
      <c r="L357" t="e">
        <f>[1]!Table1[[#This Row],[Revenue]]-[1]!Table1[[#This Row],[OperationalCost]]</f>
        <v>#REF!</v>
      </c>
      <c r="M357" t="str">
        <f t="shared" si="5"/>
        <v>Mar</v>
      </c>
      <c r="N357" s="15">
        <f>Table11[[#This Row],[SeatsSold]]/Table11[[#This Row],[SeatsAvailable]]</f>
        <v>0.37185929648241206</v>
      </c>
      <c r="O357" s="10"/>
    </row>
    <row r="358" spans="1:15" x14ac:dyDescent="0.3">
      <c r="A358" t="s">
        <v>474</v>
      </c>
      <c r="B358" t="s">
        <v>64</v>
      </c>
      <c r="C358" t="s">
        <v>15</v>
      </c>
      <c r="D358" t="s">
        <v>20</v>
      </c>
      <c r="E358" s="16">
        <v>46103</v>
      </c>
      <c r="F358">
        <v>214</v>
      </c>
      <c r="G358" t="s">
        <v>113</v>
      </c>
      <c r="H358">
        <v>130</v>
      </c>
      <c r="I358">
        <v>77</v>
      </c>
      <c r="J358">
        <v>521752</v>
      </c>
      <c r="K358">
        <v>66200</v>
      </c>
      <c r="L358" t="e">
        <f>[1]!Table1[[#This Row],[Revenue]]-[1]!Table1[[#This Row],[OperationalCost]]</f>
        <v>#REF!</v>
      </c>
      <c r="M358" t="str">
        <f t="shared" si="5"/>
        <v>Mar</v>
      </c>
      <c r="N358" s="15">
        <f>Table11[[#This Row],[SeatsSold]]/Table11[[#This Row],[SeatsAvailable]]</f>
        <v>0.59230769230769231</v>
      </c>
      <c r="O358" s="10"/>
    </row>
    <row r="359" spans="1:15" x14ac:dyDescent="0.3">
      <c r="A359" t="s">
        <v>475</v>
      </c>
      <c r="B359" t="s">
        <v>52</v>
      </c>
      <c r="C359" t="s">
        <v>21</v>
      </c>
      <c r="D359" t="s">
        <v>17</v>
      </c>
      <c r="E359" s="16">
        <v>46121</v>
      </c>
      <c r="F359">
        <v>114</v>
      </c>
      <c r="G359" t="s">
        <v>113</v>
      </c>
      <c r="H359">
        <v>89</v>
      </c>
      <c r="I359">
        <v>52</v>
      </c>
      <c r="J359">
        <v>245960</v>
      </c>
      <c r="K359">
        <v>40189</v>
      </c>
      <c r="L359" t="e">
        <f>[1]!Table1[[#This Row],[Revenue]]-[1]!Table1[[#This Row],[OperationalCost]]</f>
        <v>#REF!</v>
      </c>
      <c r="M359" t="str">
        <f t="shared" si="5"/>
        <v>Apr</v>
      </c>
      <c r="N359" s="15">
        <f>Table11[[#This Row],[SeatsSold]]/Table11[[#This Row],[SeatsAvailable]]</f>
        <v>0.5842696629213483</v>
      </c>
      <c r="O359" s="10"/>
    </row>
    <row r="360" spans="1:15" x14ac:dyDescent="0.3">
      <c r="A360" t="s">
        <v>476</v>
      </c>
      <c r="B360" t="s">
        <v>47</v>
      </c>
      <c r="C360" t="s">
        <v>14</v>
      </c>
      <c r="D360" t="s">
        <v>3</v>
      </c>
      <c r="E360" s="16">
        <v>45826</v>
      </c>
      <c r="F360">
        <v>160</v>
      </c>
      <c r="G360" t="s">
        <v>120</v>
      </c>
      <c r="H360">
        <v>150</v>
      </c>
      <c r="I360">
        <v>92</v>
      </c>
      <c r="J360">
        <v>411976</v>
      </c>
      <c r="K360">
        <v>66770</v>
      </c>
      <c r="L360" t="e">
        <f>[1]!Table1[[#This Row],[Revenue]]-[1]!Table1[[#This Row],[OperationalCost]]</f>
        <v>#REF!</v>
      </c>
      <c r="M360" t="str">
        <f t="shared" si="5"/>
        <v>Jun</v>
      </c>
      <c r="N360" s="15">
        <f>Table11[[#This Row],[SeatsSold]]/Table11[[#This Row],[SeatsAvailable]]</f>
        <v>0.61333333333333329</v>
      </c>
      <c r="O360" s="10"/>
    </row>
    <row r="361" spans="1:15" x14ac:dyDescent="0.3">
      <c r="A361" t="s">
        <v>477</v>
      </c>
      <c r="B361" t="s">
        <v>2</v>
      </c>
      <c r="C361" t="s">
        <v>9</v>
      </c>
      <c r="D361" t="s">
        <v>11</v>
      </c>
      <c r="E361" s="16">
        <v>45973</v>
      </c>
      <c r="F361">
        <v>163</v>
      </c>
      <c r="G361" t="s">
        <v>118</v>
      </c>
      <c r="H361">
        <v>100</v>
      </c>
      <c r="I361">
        <v>45</v>
      </c>
      <c r="J361">
        <v>228690</v>
      </c>
      <c r="K361">
        <v>63785</v>
      </c>
      <c r="L361" t="e">
        <f>[1]!Table1[[#This Row],[Revenue]]-[1]!Table1[[#This Row],[OperationalCost]]</f>
        <v>#REF!</v>
      </c>
      <c r="M361" t="str">
        <f t="shared" si="5"/>
        <v>Nov</v>
      </c>
      <c r="N361" s="15">
        <f>Table11[[#This Row],[SeatsSold]]/Table11[[#This Row],[SeatsAvailable]]</f>
        <v>0.45</v>
      </c>
      <c r="O361" s="10"/>
    </row>
    <row r="362" spans="1:15" x14ac:dyDescent="0.3">
      <c r="A362" t="s">
        <v>478</v>
      </c>
      <c r="B362" t="s">
        <v>64</v>
      </c>
      <c r="C362" t="s">
        <v>15</v>
      </c>
      <c r="D362" t="s">
        <v>20</v>
      </c>
      <c r="E362" s="16">
        <v>45878</v>
      </c>
      <c r="F362">
        <v>128</v>
      </c>
      <c r="G362" t="s">
        <v>113</v>
      </c>
      <c r="H362">
        <v>93</v>
      </c>
      <c r="I362">
        <v>85</v>
      </c>
      <c r="J362">
        <v>558110</v>
      </c>
      <c r="K362">
        <v>43841</v>
      </c>
      <c r="L362" t="e">
        <f>[1]!Table1[[#This Row],[Revenue]]-[1]!Table1[[#This Row],[OperationalCost]]</f>
        <v>#REF!</v>
      </c>
      <c r="M362" t="str">
        <f t="shared" si="5"/>
        <v>Aug</v>
      </c>
      <c r="N362" s="15">
        <f>Table11[[#This Row],[SeatsSold]]/Table11[[#This Row],[SeatsAvailable]]</f>
        <v>0.91397849462365588</v>
      </c>
      <c r="O362" s="10"/>
    </row>
    <row r="363" spans="1:15" x14ac:dyDescent="0.3">
      <c r="A363" t="s">
        <v>479</v>
      </c>
      <c r="B363" t="s">
        <v>99</v>
      </c>
      <c r="C363" t="s">
        <v>11</v>
      </c>
      <c r="D363" t="s">
        <v>20</v>
      </c>
      <c r="E363" s="16">
        <v>46351</v>
      </c>
      <c r="F363">
        <v>121</v>
      </c>
      <c r="G363" t="s">
        <v>118</v>
      </c>
      <c r="H363">
        <v>114</v>
      </c>
      <c r="I363">
        <v>43</v>
      </c>
      <c r="J363">
        <v>392375</v>
      </c>
      <c r="K363">
        <v>53743</v>
      </c>
      <c r="L363" t="e">
        <f>[1]!Table1[[#This Row],[Revenue]]-[1]!Table1[[#This Row],[OperationalCost]]</f>
        <v>#REF!</v>
      </c>
      <c r="M363" t="str">
        <f t="shared" si="5"/>
        <v>Nov</v>
      </c>
      <c r="N363" s="15">
        <f>Table11[[#This Row],[SeatsSold]]/Table11[[#This Row],[SeatsAvailable]]</f>
        <v>0.37719298245614036</v>
      </c>
      <c r="O363" s="10"/>
    </row>
    <row r="364" spans="1:15" x14ac:dyDescent="0.3">
      <c r="A364" t="s">
        <v>480</v>
      </c>
      <c r="B364" t="s">
        <v>83</v>
      </c>
      <c r="C364" t="s">
        <v>11</v>
      </c>
      <c r="D364" t="s">
        <v>9</v>
      </c>
      <c r="E364" s="16">
        <v>45754</v>
      </c>
      <c r="F364">
        <v>163</v>
      </c>
      <c r="G364" t="s">
        <v>122</v>
      </c>
      <c r="H364">
        <v>105</v>
      </c>
      <c r="I364">
        <v>55</v>
      </c>
      <c r="J364">
        <v>148225</v>
      </c>
      <c r="K364">
        <v>36285</v>
      </c>
      <c r="L364" t="e">
        <f>[1]!Table1[[#This Row],[Revenue]]-[1]!Table1[[#This Row],[OperationalCost]]</f>
        <v>#REF!</v>
      </c>
      <c r="M364" t="str">
        <f t="shared" si="5"/>
        <v>Apr</v>
      </c>
      <c r="N364" s="15">
        <f>Table11[[#This Row],[SeatsSold]]/Table11[[#This Row],[SeatsAvailable]]</f>
        <v>0.52380952380952384</v>
      </c>
      <c r="O364" s="10"/>
    </row>
    <row r="365" spans="1:15" x14ac:dyDescent="0.3">
      <c r="A365" t="s">
        <v>481</v>
      </c>
      <c r="B365" t="s">
        <v>53</v>
      </c>
      <c r="C365" t="s">
        <v>14</v>
      </c>
      <c r="D365" t="s">
        <v>19</v>
      </c>
      <c r="E365" s="16">
        <v>46068</v>
      </c>
      <c r="F365">
        <v>140</v>
      </c>
      <c r="G365" t="s">
        <v>122</v>
      </c>
      <c r="H365">
        <v>219</v>
      </c>
      <c r="I365">
        <v>190</v>
      </c>
      <c r="J365">
        <v>1280600</v>
      </c>
      <c r="K365">
        <v>38075</v>
      </c>
      <c r="L365" t="e">
        <f>[1]!Table1[[#This Row],[Revenue]]-[1]!Table1[[#This Row],[OperationalCost]]</f>
        <v>#REF!</v>
      </c>
      <c r="M365" t="str">
        <f t="shared" si="5"/>
        <v>Feb</v>
      </c>
      <c r="N365" s="15">
        <f>Table11[[#This Row],[SeatsSold]]/Table11[[#This Row],[SeatsAvailable]]</f>
        <v>0.86757990867579904</v>
      </c>
      <c r="O365" s="10"/>
    </row>
    <row r="366" spans="1:15" x14ac:dyDescent="0.3">
      <c r="A366" t="s">
        <v>482</v>
      </c>
      <c r="B366" t="s">
        <v>98</v>
      </c>
      <c r="C366" t="s">
        <v>3</v>
      </c>
      <c r="D366" t="s">
        <v>19</v>
      </c>
      <c r="E366" s="16">
        <v>46319</v>
      </c>
      <c r="F366">
        <v>158</v>
      </c>
      <c r="G366" t="s">
        <v>113</v>
      </c>
      <c r="H366">
        <v>93</v>
      </c>
      <c r="I366">
        <v>93</v>
      </c>
      <c r="J366">
        <v>737676</v>
      </c>
      <c r="K366">
        <v>32228</v>
      </c>
      <c r="L366" t="e">
        <f>[1]!Table1[[#This Row],[Revenue]]-[1]!Table1[[#This Row],[OperationalCost]]</f>
        <v>#REF!</v>
      </c>
      <c r="M366" t="str">
        <f t="shared" si="5"/>
        <v>Oct</v>
      </c>
      <c r="N366" s="15">
        <f>Table11[[#This Row],[SeatsSold]]/Table11[[#This Row],[SeatsAvailable]]</f>
        <v>1</v>
      </c>
      <c r="O366" s="10"/>
    </row>
    <row r="367" spans="1:15" x14ac:dyDescent="0.3">
      <c r="A367" t="s">
        <v>483</v>
      </c>
      <c r="B367" t="s">
        <v>65</v>
      </c>
      <c r="C367" t="s">
        <v>6</v>
      </c>
      <c r="D367" t="s">
        <v>20</v>
      </c>
      <c r="E367" s="16">
        <v>45830</v>
      </c>
      <c r="F367">
        <v>191</v>
      </c>
      <c r="G367" t="s">
        <v>120</v>
      </c>
      <c r="H367">
        <v>171</v>
      </c>
      <c r="I367">
        <v>167</v>
      </c>
      <c r="J367">
        <v>498161</v>
      </c>
      <c r="K367">
        <v>73766</v>
      </c>
      <c r="L367" t="e">
        <f>[1]!Table1[[#This Row],[Revenue]]-[1]!Table1[[#This Row],[OperationalCost]]</f>
        <v>#REF!</v>
      </c>
      <c r="M367" t="str">
        <f t="shared" si="5"/>
        <v>Jun</v>
      </c>
      <c r="N367" s="15">
        <f>Table11[[#This Row],[SeatsSold]]/Table11[[#This Row],[SeatsAvailable]]</f>
        <v>0.97660818713450293</v>
      </c>
      <c r="O367" s="10"/>
    </row>
    <row r="368" spans="1:15" x14ac:dyDescent="0.3">
      <c r="A368" t="s">
        <v>484</v>
      </c>
      <c r="B368" t="s">
        <v>40</v>
      </c>
      <c r="C368" t="s">
        <v>14</v>
      </c>
      <c r="D368" t="s">
        <v>17</v>
      </c>
      <c r="E368" s="16">
        <v>45877</v>
      </c>
      <c r="F368">
        <v>92</v>
      </c>
      <c r="G368" t="s">
        <v>118</v>
      </c>
      <c r="H368">
        <v>141</v>
      </c>
      <c r="I368">
        <v>97</v>
      </c>
      <c r="J368">
        <v>478695</v>
      </c>
      <c r="K368">
        <v>45193</v>
      </c>
      <c r="L368" t="e">
        <f>[1]!Table1[[#This Row],[Revenue]]-[1]!Table1[[#This Row],[OperationalCost]]</f>
        <v>#REF!</v>
      </c>
      <c r="M368" t="str">
        <f t="shared" si="5"/>
        <v>Aug</v>
      </c>
      <c r="N368" s="15">
        <f>Table11[[#This Row],[SeatsSold]]/Table11[[#This Row],[SeatsAvailable]]</f>
        <v>0.68794326241134751</v>
      </c>
      <c r="O368" s="10"/>
    </row>
    <row r="369" spans="1:15" x14ac:dyDescent="0.3">
      <c r="A369" t="s">
        <v>485</v>
      </c>
      <c r="B369" t="s">
        <v>81</v>
      </c>
      <c r="C369" t="s">
        <v>15</v>
      </c>
      <c r="D369" t="s">
        <v>9</v>
      </c>
      <c r="E369" s="16">
        <v>46320</v>
      </c>
      <c r="F369">
        <v>120</v>
      </c>
      <c r="G369" t="s">
        <v>120</v>
      </c>
      <c r="H369">
        <v>175</v>
      </c>
      <c r="I369">
        <v>162</v>
      </c>
      <c r="J369">
        <v>566838</v>
      </c>
      <c r="K369">
        <v>43465</v>
      </c>
      <c r="L369" t="e">
        <f>[1]!Table1[[#This Row],[Revenue]]-[1]!Table1[[#This Row],[OperationalCost]]</f>
        <v>#REF!</v>
      </c>
      <c r="M369" t="str">
        <f t="shared" si="5"/>
        <v>Oct</v>
      </c>
      <c r="N369" s="15">
        <f>Table11[[#This Row],[SeatsSold]]/Table11[[#This Row],[SeatsAvailable]]</f>
        <v>0.92571428571428571</v>
      </c>
      <c r="O369" s="10"/>
    </row>
    <row r="370" spans="1:15" x14ac:dyDescent="0.3">
      <c r="A370" t="s">
        <v>486</v>
      </c>
      <c r="B370" t="s">
        <v>10</v>
      </c>
      <c r="C370" t="s">
        <v>17</v>
      </c>
      <c r="D370" t="s">
        <v>14</v>
      </c>
      <c r="E370" s="16">
        <v>46087</v>
      </c>
      <c r="F370">
        <v>96</v>
      </c>
      <c r="G370" t="s">
        <v>116</v>
      </c>
      <c r="H370">
        <v>133</v>
      </c>
      <c r="I370">
        <v>120</v>
      </c>
      <c r="J370">
        <v>1368840</v>
      </c>
      <c r="K370">
        <v>35445</v>
      </c>
      <c r="L370" t="e">
        <f>[1]!Table1[[#This Row],[Revenue]]-[1]!Table1[[#This Row],[OperationalCost]]</f>
        <v>#REF!</v>
      </c>
      <c r="M370" t="str">
        <f t="shared" si="5"/>
        <v>Mar</v>
      </c>
      <c r="N370" s="15">
        <f>Table11[[#This Row],[SeatsSold]]/Table11[[#This Row],[SeatsAvailable]]</f>
        <v>0.90225563909774431</v>
      </c>
      <c r="O370" s="10"/>
    </row>
    <row r="371" spans="1:15" x14ac:dyDescent="0.3">
      <c r="A371" t="s">
        <v>487</v>
      </c>
      <c r="B371" t="s">
        <v>89</v>
      </c>
      <c r="C371" t="s">
        <v>21</v>
      </c>
      <c r="D371" t="s">
        <v>11</v>
      </c>
      <c r="E371" s="16">
        <v>46215</v>
      </c>
      <c r="F371">
        <v>169</v>
      </c>
      <c r="G371" t="s">
        <v>118</v>
      </c>
      <c r="H371">
        <v>214</v>
      </c>
      <c r="I371">
        <v>168</v>
      </c>
      <c r="J371">
        <v>1305192</v>
      </c>
      <c r="K371">
        <v>68897</v>
      </c>
      <c r="L371" t="e">
        <f>[1]!Table1[[#This Row],[Revenue]]-[1]!Table1[[#This Row],[OperationalCost]]</f>
        <v>#REF!</v>
      </c>
      <c r="M371" t="str">
        <f t="shared" si="5"/>
        <v>Jul</v>
      </c>
      <c r="N371" s="15">
        <f>Table11[[#This Row],[SeatsSold]]/Table11[[#This Row],[SeatsAvailable]]</f>
        <v>0.78504672897196259</v>
      </c>
      <c r="O371" s="10"/>
    </row>
    <row r="372" spans="1:15" x14ac:dyDescent="0.3">
      <c r="A372" t="s">
        <v>488</v>
      </c>
      <c r="B372" t="s">
        <v>39</v>
      </c>
      <c r="C372" t="s">
        <v>14</v>
      </c>
      <c r="D372" t="s">
        <v>20</v>
      </c>
      <c r="E372" s="16">
        <v>45984</v>
      </c>
      <c r="F372">
        <v>197</v>
      </c>
      <c r="G372" t="s">
        <v>113</v>
      </c>
      <c r="H372">
        <v>77</v>
      </c>
      <c r="I372">
        <v>57</v>
      </c>
      <c r="J372">
        <v>197163</v>
      </c>
      <c r="K372">
        <v>63835</v>
      </c>
      <c r="L372" t="e">
        <f>[1]!Table1[[#This Row],[Revenue]]-[1]!Table1[[#This Row],[OperationalCost]]</f>
        <v>#REF!</v>
      </c>
      <c r="M372" t="str">
        <f t="shared" si="5"/>
        <v>Nov</v>
      </c>
      <c r="N372" s="15">
        <f>Table11[[#This Row],[SeatsSold]]/Table11[[#This Row],[SeatsAvailable]]</f>
        <v>0.74025974025974028</v>
      </c>
      <c r="O372" s="10"/>
    </row>
    <row r="373" spans="1:15" x14ac:dyDescent="0.3">
      <c r="A373" t="s">
        <v>489</v>
      </c>
      <c r="B373" t="s">
        <v>86</v>
      </c>
      <c r="C373" t="s">
        <v>21</v>
      </c>
      <c r="D373" t="s">
        <v>9</v>
      </c>
      <c r="E373" s="16">
        <v>45821</v>
      </c>
      <c r="F373">
        <v>70</v>
      </c>
      <c r="G373" t="s">
        <v>113</v>
      </c>
      <c r="H373">
        <v>131</v>
      </c>
      <c r="I373">
        <v>74</v>
      </c>
      <c r="J373">
        <v>831982</v>
      </c>
      <c r="K373">
        <v>27196</v>
      </c>
      <c r="L373" t="e">
        <f>[1]!Table1[[#This Row],[Revenue]]-[1]!Table1[[#This Row],[OperationalCost]]</f>
        <v>#REF!</v>
      </c>
      <c r="M373" t="str">
        <f t="shared" si="5"/>
        <v>Jun</v>
      </c>
      <c r="N373" s="15">
        <f>Table11[[#This Row],[SeatsSold]]/Table11[[#This Row],[SeatsAvailable]]</f>
        <v>0.56488549618320616</v>
      </c>
      <c r="O373" s="10"/>
    </row>
    <row r="374" spans="1:15" x14ac:dyDescent="0.3">
      <c r="A374" t="s">
        <v>490</v>
      </c>
      <c r="B374" t="s">
        <v>108</v>
      </c>
      <c r="C374" t="s">
        <v>15</v>
      </c>
      <c r="D374" t="s">
        <v>17</v>
      </c>
      <c r="E374" s="16">
        <v>46021</v>
      </c>
      <c r="F374">
        <v>89</v>
      </c>
      <c r="G374" t="s">
        <v>113</v>
      </c>
      <c r="H374">
        <v>130</v>
      </c>
      <c r="I374">
        <v>115</v>
      </c>
      <c r="J374">
        <v>886650</v>
      </c>
      <c r="K374">
        <v>48752</v>
      </c>
      <c r="L374" t="e">
        <f>[1]!Table1[[#This Row],[Revenue]]-[1]!Table1[[#This Row],[OperationalCost]]</f>
        <v>#REF!</v>
      </c>
      <c r="M374" t="str">
        <f t="shared" si="5"/>
        <v>Dec</v>
      </c>
      <c r="N374" s="15">
        <f>Table11[[#This Row],[SeatsSold]]/Table11[[#This Row],[SeatsAvailable]]</f>
        <v>0.88461538461538458</v>
      </c>
      <c r="O374" s="10"/>
    </row>
    <row r="375" spans="1:15" x14ac:dyDescent="0.3">
      <c r="A375" t="s">
        <v>491</v>
      </c>
      <c r="B375" t="s">
        <v>64</v>
      </c>
      <c r="C375" t="s">
        <v>15</v>
      </c>
      <c r="D375" t="s">
        <v>20</v>
      </c>
      <c r="E375" s="16">
        <v>46378</v>
      </c>
      <c r="F375">
        <v>224</v>
      </c>
      <c r="G375" t="s">
        <v>118</v>
      </c>
      <c r="H375">
        <v>215</v>
      </c>
      <c r="I375">
        <v>184</v>
      </c>
      <c r="J375">
        <v>888352</v>
      </c>
      <c r="K375">
        <v>86656</v>
      </c>
      <c r="L375" t="e">
        <f>[1]!Table1[[#This Row],[Revenue]]-[1]!Table1[[#This Row],[OperationalCost]]</f>
        <v>#REF!</v>
      </c>
      <c r="M375" t="str">
        <f t="shared" si="5"/>
        <v>Dec</v>
      </c>
      <c r="N375" s="15">
        <f>Table11[[#This Row],[SeatsSold]]/Table11[[#This Row],[SeatsAvailable]]</f>
        <v>0.85581395348837208</v>
      </c>
      <c r="O375" s="10"/>
    </row>
    <row r="376" spans="1:15" x14ac:dyDescent="0.3">
      <c r="A376" t="s">
        <v>492</v>
      </c>
      <c r="B376" t="s">
        <v>97</v>
      </c>
      <c r="C376" t="s">
        <v>6</v>
      </c>
      <c r="D376" t="s">
        <v>15</v>
      </c>
      <c r="E376" s="16">
        <v>45974</v>
      </c>
      <c r="F376">
        <v>89</v>
      </c>
      <c r="G376" t="s">
        <v>120</v>
      </c>
      <c r="H376">
        <v>79</v>
      </c>
      <c r="I376">
        <v>45</v>
      </c>
      <c r="J376">
        <v>153900</v>
      </c>
      <c r="K376">
        <v>34417</v>
      </c>
      <c r="L376" t="e">
        <f>[1]!Table1[[#This Row],[Revenue]]-[1]!Table1[[#This Row],[OperationalCost]]</f>
        <v>#REF!</v>
      </c>
      <c r="M376" t="str">
        <f t="shared" si="5"/>
        <v>Nov</v>
      </c>
      <c r="N376" s="15">
        <f>Table11[[#This Row],[SeatsSold]]/Table11[[#This Row],[SeatsAvailable]]</f>
        <v>0.569620253164557</v>
      </c>
      <c r="O376" s="10"/>
    </row>
    <row r="377" spans="1:15" x14ac:dyDescent="0.3">
      <c r="A377" t="s">
        <v>493</v>
      </c>
      <c r="B377" t="s">
        <v>60</v>
      </c>
      <c r="C377" t="s">
        <v>9</v>
      </c>
      <c r="D377" t="s">
        <v>20</v>
      </c>
      <c r="E377" s="16">
        <v>46197</v>
      </c>
      <c r="F377">
        <v>167</v>
      </c>
      <c r="G377" t="s">
        <v>122</v>
      </c>
      <c r="H377">
        <v>154</v>
      </c>
      <c r="I377">
        <v>118</v>
      </c>
      <c r="J377">
        <v>684400</v>
      </c>
      <c r="K377">
        <v>51269</v>
      </c>
      <c r="L377" t="e">
        <f>[1]!Table1[[#This Row],[Revenue]]-[1]!Table1[[#This Row],[OperationalCost]]</f>
        <v>#REF!</v>
      </c>
      <c r="M377" t="str">
        <f t="shared" si="5"/>
        <v>Jun</v>
      </c>
      <c r="N377" s="15">
        <f>Table11[[#This Row],[SeatsSold]]/Table11[[#This Row],[SeatsAvailable]]</f>
        <v>0.76623376623376627</v>
      </c>
      <c r="O377" s="10"/>
    </row>
    <row r="378" spans="1:15" x14ac:dyDescent="0.3">
      <c r="A378" t="s">
        <v>494</v>
      </c>
      <c r="B378" t="s">
        <v>40</v>
      </c>
      <c r="C378" t="s">
        <v>14</v>
      </c>
      <c r="D378" t="s">
        <v>17</v>
      </c>
      <c r="E378" s="16">
        <v>45718</v>
      </c>
      <c r="F378">
        <v>50</v>
      </c>
      <c r="G378" t="s">
        <v>113</v>
      </c>
      <c r="H378">
        <v>220</v>
      </c>
      <c r="I378">
        <v>220</v>
      </c>
      <c r="J378">
        <v>1060400</v>
      </c>
      <c r="K378">
        <v>54480</v>
      </c>
      <c r="L378" t="e">
        <f>[1]!Table1[[#This Row],[Revenue]]-[1]!Table1[[#This Row],[OperationalCost]]</f>
        <v>#REF!</v>
      </c>
      <c r="M378" t="str">
        <f t="shared" si="5"/>
        <v>Mar</v>
      </c>
      <c r="N378" s="15">
        <f>Table11[[#This Row],[SeatsSold]]/Table11[[#This Row],[SeatsAvailable]]</f>
        <v>1</v>
      </c>
      <c r="O378" s="10"/>
    </row>
    <row r="379" spans="1:15" x14ac:dyDescent="0.3">
      <c r="A379" t="s">
        <v>495</v>
      </c>
      <c r="B379" t="s">
        <v>12</v>
      </c>
      <c r="C379" t="s">
        <v>21</v>
      </c>
      <c r="D379" t="s">
        <v>3</v>
      </c>
      <c r="E379" s="16">
        <v>46040</v>
      </c>
      <c r="F379">
        <v>225</v>
      </c>
      <c r="G379" t="s">
        <v>120</v>
      </c>
      <c r="H379">
        <v>220</v>
      </c>
      <c r="I379">
        <v>65</v>
      </c>
      <c r="J379">
        <v>520910</v>
      </c>
      <c r="K379">
        <v>79965</v>
      </c>
      <c r="L379" t="e">
        <f>[1]!Table1[[#This Row],[Revenue]]-[1]!Table1[[#This Row],[OperationalCost]]</f>
        <v>#REF!</v>
      </c>
      <c r="M379" t="str">
        <f t="shared" si="5"/>
        <v>Jan</v>
      </c>
      <c r="N379" s="15">
        <f>Table11[[#This Row],[SeatsSold]]/Table11[[#This Row],[SeatsAvailable]]</f>
        <v>0.29545454545454547</v>
      </c>
      <c r="O379" s="10"/>
    </row>
    <row r="380" spans="1:15" x14ac:dyDescent="0.3">
      <c r="A380" t="s">
        <v>496</v>
      </c>
      <c r="B380" t="s">
        <v>34</v>
      </c>
      <c r="C380" t="s">
        <v>14</v>
      </c>
      <c r="D380" t="s">
        <v>9</v>
      </c>
      <c r="E380" s="16">
        <v>46105</v>
      </c>
      <c r="F380">
        <v>208</v>
      </c>
      <c r="G380" t="s">
        <v>120</v>
      </c>
      <c r="H380">
        <v>151</v>
      </c>
      <c r="I380">
        <v>62</v>
      </c>
      <c r="J380">
        <v>725834</v>
      </c>
      <c r="K380">
        <v>97563</v>
      </c>
      <c r="L380" t="e">
        <f>[1]!Table1[[#This Row],[Revenue]]-[1]!Table1[[#This Row],[OperationalCost]]</f>
        <v>#REF!</v>
      </c>
      <c r="M380" t="str">
        <f t="shared" si="5"/>
        <v>Mar</v>
      </c>
      <c r="N380" s="15">
        <f>Table11[[#This Row],[SeatsSold]]/Table11[[#This Row],[SeatsAvailable]]</f>
        <v>0.41059602649006621</v>
      </c>
      <c r="O380" s="10"/>
    </row>
    <row r="381" spans="1:15" x14ac:dyDescent="0.3">
      <c r="A381" t="s">
        <v>497</v>
      </c>
      <c r="B381" t="s">
        <v>86</v>
      </c>
      <c r="C381" t="s">
        <v>21</v>
      </c>
      <c r="D381" t="s">
        <v>9</v>
      </c>
      <c r="E381" s="16">
        <v>46339</v>
      </c>
      <c r="F381">
        <v>195</v>
      </c>
      <c r="G381" t="s">
        <v>113</v>
      </c>
      <c r="H381">
        <v>166</v>
      </c>
      <c r="I381">
        <v>79</v>
      </c>
      <c r="J381">
        <v>578675</v>
      </c>
      <c r="K381">
        <v>50390</v>
      </c>
      <c r="L381" t="e">
        <f>[1]!Table1[[#This Row],[Revenue]]-[1]!Table1[[#This Row],[OperationalCost]]</f>
        <v>#REF!</v>
      </c>
      <c r="M381" t="str">
        <f t="shared" si="5"/>
        <v>Nov</v>
      </c>
      <c r="N381" s="15">
        <f>Table11[[#This Row],[SeatsSold]]/Table11[[#This Row],[SeatsAvailable]]</f>
        <v>0.4759036144578313</v>
      </c>
      <c r="O381" s="10"/>
    </row>
    <row r="382" spans="1:15" x14ac:dyDescent="0.3">
      <c r="A382" t="s">
        <v>498</v>
      </c>
      <c r="B382" t="s">
        <v>85</v>
      </c>
      <c r="C382" t="s">
        <v>20</v>
      </c>
      <c r="D382" t="s">
        <v>6</v>
      </c>
      <c r="E382" s="16">
        <v>46239</v>
      </c>
      <c r="F382">
        <v>53</v>
      </c>
      <c r="G382" t="s">
        <v>113</v>
      </c>
      <c r="H382">
        <v>151</v>
      </c>
      <c r="I382">
        <v>143</v>
      </c>
      <c r="J382">
        <v>875017</v>
      </c>
      <c r="K382">
        <v>48823</v>
      </c>
      <c r="L382" t="e">
        <f>[1]!Table1[[#This Row],[Revenue]]-[1]!Table1[[#This Row],[OperationalCost]]</f>
        <v>#REF!</v>
      </c>
      <c r="M382" t="str">
        <f t="shared" si="5"/>
        <v>Aug</v>
      </c>
      <c r="N382" s="15">
        <f>Table11[[#This Row],[SeatsSold]]/Table11[[#This Row],[SeatsAvailable]]</f>
        <v>0.94701986754966883</v>
      </c>
      <c r="O382" s="10"/>
    </row>
    <row r="383" spans="1:15" x14ac:dyDescent="0.3">
      <c r="A383" t="s">
        <v>499</v>
      </c>
      <c r="B383" t="s">
        <v>8</v>
      </c>
      <c r="C383" t="s">
        <v>3</v>
      </c>
      <c r="D383" t="s">
        <v>11</v>
      </c>
      <c r="E383" s="16">
        <v>45802</v>
      </c>
      <c r="F383">
        <v>129</v>
      </c>
      <c r="G383" t="s">
        <v>122</v>
      </c>
      <c r="H383">
        <v>130</v>
      </c>
      <c r="I383">
        <v>84</v>
      </c>
      <c r="J383">
        <v>649656</v>
      </c>
      <c r="K383">
        <v>52358</v>
      </c>
      <c r="L383" t="e">
        <f>[1]!Table1[[#This Row],[Revenue]]-[1]!Table1[[#This Row],[OperationalCost]]</f>
        <v>#REF!</v>
      </c>
      <c r="M383" t="str">
        <f t="shared" si="5"/>
        <v>May</v>
      </c>
      <c r="N383" s="15">
        <f>Table11[[#This Row],[SeatsSold]]/Table11[[#This Row],[SeatsAvailable]]</f>
        <v>0.64615384615384619</v>
      </c>
      <c r="O383" s="10"/>
    </row>
    <row r="384" spans="1:15" x14ac:dyDescent="0.3">
      <c r="A384" t="s">
        <v>500</v>
      </c>
      <c r="B384" t="s">
        <v>56</v>
      </c>
      <c r="C384" t="s">
        <v>3</v>
      </c>
      <c r="D384" t="s">
        <v>17</v>
      </c>
      <c r="E384" s="16">
        <v>46115</v>
      </c>
      <c r="F384">
        <v>47</v>
      </c>
      <c r="G384" t="s">
        <v>118</v>
      </c>
      <c r="H384">
        <v>123</v>
      </c>
      <c r="I384">
        <v>71</v>
      </c>
      <c r="J384">
        <v>256310</v>
      </c>
      <c r="K384">
        <v>27658</v>
      </c>
      <c r="L384" t="e">
        <f>[1]!Table1[[#This Row],[Revenue]]-[1]!Table1[[#This Row],[OperationalCost]]</f>
        <v>#REF!</v>
      </c>
      <c r="M384" t="str">
        <f t="shared" si="5"/>
        <v>Apr</v>
      </c>
      <c r="N384" s="15">
        <f>Table11[[#This Row],[SeatsSold]]/Table11[[#This Row],[SeatsAvailable]]</f>
        <v>0.57723577235772361</v>
      </c>
      <c r="O384" s="10"/>
    </row>
    <row r="385" spans="1:15" x14ac:dyDescent="0.3">
      <c r="A385" t="s">
        <v>501</v>
      </c>
      <c r="B385" t="s">
        <v>5</v>
      </c>
      <c r="C385" t="s">
        <v>3</v>
      </c>
      <c r="D385" t="s">
        <v>20</v>
      </c>
      <c r="E385" s="16">
        <v>45707</v>
      </c>
      <c r="F385">
        <v>143</v>
      </c>
      <c r="G385" t="s">
        <v>120</v>
      </c>
      <c r="H385">
        <v>177</v>
      </c>
      <c r="I385">
        <v>82</v>
      </c>
      <c r="J385">
        <v>761206</v>
      </c>
      <c r="K385">
        <v>66330</v>
      </c>
      <c r="L385" t="e">
        <f>[1]!Table1[[#This Row],[Revenue]]-[1]!Table1[[#This Row],[OperationalCost]]</f>
        <v>#REF!</v>
      </c>
      <c r="M385" t="str">
        <f t="shared" ref="M385:M448" si="6">TEXT(E385,"MMM")</f>
        <v>Feb</v>
      </c>
      <c r="N385" s="15">
        <f>Table11[[#This Row],[SeatsSold]]/Table11[[#This Row],[SeatsAvailable]]</f>
        <v>0.4632768361581921</v>
      </c>
      <c r="O385" s="10"/>
    </row>
    <row r="386" spans="1:15" x14ac:dyDescent="0.3">
      <c r="A386" t="s">
        <v>502</v>
      </c>
      <c r="B386" t="s">
        <v>33</v>
      </c>
      <c r="C386" t="s">
        <v>21</v>
      </c>
      <c r="D386" t="s">
        <v>15</v>
      </c>
      <c r="E386" s="16">
        <v>46042</v>
      </c>
      <c r="F386">
        <v>70</v>
      </c>
      <c r="G386" t="s">
        <v>120</v>
      </c>
      <c r="H386">
        <v>217</v>
      </c>
      <c r="I386">
        <v>206</v>
      </c>
      <c r="J386">
        <v>1276170</v>
      </c>
      <c r="K386">
        <v>53585</v>
      </c>
      <c r="L386" t="e">
        <f>[1]!Table1[[#This Row],[Revenue]]-[1]!Table1[[#This Row],[OperationalCost]]</f>
        <v>#REF!</v>
      </c>
      <c r="M386" t="str">
        <f t="shared" si="6"/>
        <v>Jan</v>
      </c>
      <c r="N386" s="15">
        <f>Table11[[#This Row],[SeatsSold]]/Table11[[#This Row],[SeatsAvailable]]</f>
        <v>0.94930875576036866</v>
      </c>
      <c r="O386" s="10"/>
    </row>
    <row r="387" spans="1:15" x14ac:dyDescent="0.3">
      <c r="A387" t="s">
        <v>503</v>
      </c>
      <c r="B387" t="s">
        <v>5</v>
      </c>
      <c r="C387" t="s">
        <v>3</v>
      </c>
      <c r="D387" t="s">
        <v>20</v>
      </c>
      <c r="E387" s="16">
        <v>45959</v>
      </c>
      <c r="F387">
        <v>50</v>
      </c>
      <c r="G387" t="s">
        <v>118</v>
      </c>
      <c r="H387">
        <v>136</v>
      </c>
      <c r="I387">
        <v>53</v>
      </c>
      <c r="J387">
        <v>196895</v>
      </c>
      <c r="K387">
        <v>27078</v>
      </c>
      <c r="L387" t="e">
        <f>[1]!Table1[[#This Row],[Revenue]]-[1]!Table1[[#This Row],[OperationalCost]]</f>
        <v>#REF!</v>
      </c>
      <c r="M387" t="str">
        <f t="shared" si="6"/>
        <v>Oct</v>
      </c>
      <c r="N387" s="15">
        <f>Table11[[#This Row],[SeatsSold]]/Table11[[#This Row],[SeatsAvailable]]</f>
        <v>0.38970588235294118</v>
      </c>
      <c r="O387" s="10"/>
    </row>
    <row r="388" spans="1:15" x14ac:dyDescent="0.3">
      <c r="A388" t="s">
        <v>504</v>
      </c>
      <c r="B388" t="s">
        <v>10</v>
      </c>
      <c r="C388" t="s">
        <v>17</v>
      </c>
      <c r="D388" t="s">
        <v>14</v>
      </c>
      <c r="E388" s="16">
        <v>45734</v>
      </c>
      <c r="F388">
        <v>185</v>
      </c>
      <c r="G388" t="s">
        <v>122</v>
      </c>
      <c r="H388">
        <v>156</v>
      </c>
      <c r="I388">
        <v>116</v>
      </c>
      <c r="J388">
        <v>1207444</v>
      </c>
      <c r="K388">
        <v>69072</v>
      </c>
      <c r="L388" t="e">
        <f>[1]!Table1[[#This Row],[Revenue]]-[1]!Table1[[#This Row],[OperationalCost]]</f>
        <v>#REF!</v>
      </c>
      <c r="M388" t="str">
        <f t="shared" si="6"/>
        <v>Mar</v>
      </c>
      <c r="N388" s="15">
        <f>Table11[[#This Row],[SeatsSold]]/Table11[[#This Row],[SeatsAvailable]]</f>
        <v>0.74358974358974361</v>
      </c>
      <c r="O388" s="10"/>
    </row>
    <row r="389" spans="1:15" x14ac:dyDescent="0.3">
      <c r="A389" t="s">
        <v>505</v>
      </c>
      <c r="B389" t="s">
        <v>10</v>
      </c>
      <c r="C389" t="s">
        <v>17</v>
      </c>
      <c r="D389" t="s">
        <v>14</v>
      </c>
      <c r="E389" s="16">
        <v>46279</v>
      </c>
      <c r="F389">
        <v>156</v>
      </c>
      <c r="G389" t="s">
        <v>113</v>
      </c>
      <c r="H389">
        <v>83</v>
      </c>
      <c r="I389">
        <v>46</v>
      </c>
      <c r="J389">
        <v>364504</v>
      </c>
      <c r="K389">
        <v>37456</v>
      </c>
      <c r="L389" t="e">
        <f>[1]!Table1[[#This Row],[Revenue]]-[1]!Table1[[#This Row],[OperationalCost]]</f>
        <v>#REF!</v>
      </c>
      <c r="M389" t="str">
        <f t="shared" si="6"/>
        <v>Sep</v>
      </c>
      <c r="N389" s="15">
        <f>Table11[[#This Row],[SeatsSold]]/Table11[[#This Row],[SeatsAvailable]]</f>
        <v>0.55421686746987953</v>
      </c>
      <c r="O389" s="10"/>
    </row>
    <row r="390" spans="1:15" x14ac:dyDescent="0.3">
      <c r="A390" t="s">
        <v>506</v>
      </c>
      <c r="B390" t="s">
        <v>106</v>
      </c>
      <c r="C390" t="s">
        <v>17</v>
      </c>
      <c r="D390" t="s">
        <v>15</v>
      </c>
      <c r="E390" s="16">
        <v>46211</v>
      </c>
      <c r="F390">
        <v>112</v>
      </c>
      <c r="G390" t="s">
        <v>118</v>
      </c>
      <c r="H390">
        <v>146</v>
      </c>
      <c r="I390">
        <v>70</v>
      </c>
      <c r="J390">
        <v>284970</v>
      </c>
      <c r="K390">
        <v>41064</v>
      </c>
      <c r="L390" t="e">
        <f>[1]!Table1[[#This Row],[Revenue]]-[1]!Table1[[#This Row],[OperationalCost]]</f>
        <v>#REF!</v>
      </c>
      <c r="M390" t="str">
        <f t="shared" si="6"/>
        <v>Jul</v>
      </c>
      <c r="N390" s="15">
        <f>Table11[[#This Row],[SeatsSold]]/Table11[[#This Row],[SeatsAvailable]]</f>
        <v>0.47945205479452052</v>
      </c>
      <c r="O390" s="10"/>
    </row>
    <row r="391" spans="1:15" x14ac:dyDescent="0.3">
      <c r="A391" t="s">
        <v>507</v>
      </c>
      <c r="B391" t="s">
        <v>110</v>
      </c>
      <c r="C391" t="s">
        <v>15</v>
      </c>
      <c r="D391" t="s">
        <v>11</v>
      </c>
      <c r="E391" s="16">
        <v>46160</v>
      </c>
      <c r="F391">
        <v>84</v>
      </c>
      <c r="G391" t="s">
        <v>122</v>
      </c>
      <c r="H391">
        <v>162</v>
      </c>
      <c r="I391">
        <v>40</v>
      </c>
      <c r="J391">
        <v>380200</v>
      </c>
      <c r="K391">
        <v>37038</v>
      </c>
      <c r="L391" t="e">
        <f>[1]!Table1[[#This Row],[Revenue]]-[1]!Table1[[#This Row],[OperationalCost]]</f>
        <v>#REF!</v>
      </c>
      <c r="M391" t="str">
        <f t="shared" si="6"/>
        <v>May</v>
      </c>
      <c r="N391" s="15">
        <f>Table11[[#This Row],[SeatsSold]]/Table11[[#This Row],[SeatsAvailable]]</f>
        <v>0.24691358024691357</v>
      </c>
      <c r="O391" s="10"/>
    </row>
    <row r="392" spans="1:15" x14ac:dyDescent="0.3">
      <c r="A392" t="s">
        <v>508</v>
      </c>
      <c r="B392" t="s">
        <v>90</v>
      </c>
      <c r="C392" t="s">
        <v>15</v>
      </c>
      <c r="D392" t="s">
        <v>6</v>
      </c>
      <c r="E392" s="16">
        <v>45862</v>
      </c>
      <c r="F392">
        <v>69</v>
      </c>
      <c r="G392" t="s">
        <v>122</v>
      </c>
      <c r="H392">
        <v>122</v>
      </c>
      <c r="I392">
        <v>61</v>
      </c>
      <c r="J392">
        <v>444141</v>
      </c>
      <c r="K392">
        <v>34182</v>
      </c>
      <c r="L392" t="e">
        <f>[1]!Table1[[#This Row],[Revenue]]-[1]!Table1[[#This Row],[OperationalCost]]</f>
        <v>#REF!</v>
      </c>
      <c r="M392" t="str">
        <f t="shared" si="6"/>
        <v>Jul</v>
      </c>
      <c r="N392" s="15">
        <f>Table11[[#This Row],[SeatsSold]]/Table11[[#This Row],[SeatsAvailable]]</f>
        <v>0.5</v>
      </c>
      <c r="O392" s="10"/>
    </row>
    <row r="393" spans="1:15" x14ac:dyDescent="0.3">
      <c r="A393" t="s">
        <v>509</v>
      </c>
      <c r="B393" t="s">
        <v>96</v>
      </c>
      <c r="C393" t="s">
        <v>3</v>
      </c>
      <c r="D393" t="s">
        <v>21</v>
      </c>
      <c r="E393" s="16">
        <v>46065</v>
      </c>
      <c r="F393">
        <v>165</v>
      </c>
      <c r="G393" t="s">
        <v>120</v>
      </c>
      <c r="H393">
        <v>137</v>
      </c>
      <c r="I393">
        <v>51</v>
      </c>
      <c r="J393">
        <v>582114</v>
      </c>
      <c r="K393">
        <v>53534</v>
      </c>
      <c r="L393" t="e">
        <f>[1]!Table1[[#This Row],[Revenue]]-[1]!Table1[[#This Row],[OperationalCost]]</f>
        <v>#REF!</v>
      </c>
      <c r="M393" t="str">
        <f t="shared" si="6"/>
        <v>Feb</v>
      </c>
      <c r="N393" s="15">
        <f>Table11[[#This Row],[SeatsSold]]/Table11[[#This Row],[SeatsAvailable]]</f>
        <v>0.37226277372262773</v>
      </c>
      <c r="O393" s="10"/>
    </row>
    <row r="394" spans="1:15" x14ac:dyDescent="0.3">
      <c r="A394" t="s">
        <v>510</v>
      </c>
      <c r="B394" t="s">
        <v>61</v>
      </c>
      <c r="C394" t="s">
        <v>21</v>
      </c>
      <c r="D394" t="s">
        <v>6</v>
      </c>
      <c r="E394" s="16">
        <v>46036</v>
      </c>
      <c r="F394">
        <v>92</v>
      </c>
      <c r="G394" t="s">
        <v>120</v>
      </c>
      <c r="H394">
        <v>81</v>
      </c>
      <c r="I394">
        <v>56</v>
      </c>
      <c r="J394">
        <v>543424</v>
      </c>
      <c r="K394">
        <v>33895</v>
      </c>
      <c r="L394" t="e">
        <f>[1]!Table1[[#This Row],[Revenue]]-[1]!Table1[[#This Row],[OperationalCost]]</f>
        <v>#REF!</v>
      </c>
      <c r="M394" t="str">
        <f t="shared" si="6"/>
        <v>Jan</v>
      </c>
      <c r="N394" s="15">
        <f>Table11[[#This Row],[SeatsSold]]/Table11[[#This Row],[SeatsAvailable]]</f>
        <v>0.69135802469135799</v>
      </c>
      <c r="O394" s="10"/>
    </row>
    <row r="395" spans="1:15" x14ac:dyDescent="0.3">
      <c r="A395" t="s">
        <v>511</v>
      </c>
      <c r="B395" t="s">
        <v>4</v>
      </c>
      <c r="C395" t="s">
        <v>9</v>
      </c>
      <c r="D395" t="s">
        <v>21</v>
      </c>
      <c r="E395" s="16">
        <v>46235</v>
      </c>
      <c r="F395">
        <v>60</v>
      </c>
      <c r="G395" t="s">
        <v>113</v>
      </c>
      <c r="H395">
        <v>94</v>
      </c>
      <c r="I395">
        <v>45</v>
      </c>
      <c r="J395">
        <v>365940</v>
      </c>
      <c r="K395">
        <v>32870</v>
      </c>
      <c r="L395" t="e">
        <f>[1]!Table1[[#This Row],[Revenue]]-[1]!Table1[[#This Row],[OperationalCost]]</f>
        <v>#REF!</v>
      </c>
      <c r="M395" t="str">
        <f t="shared" si="6"/>
        <v>Aug</v>
      </c>
      <c r="N395" s="15">
        <f>Table11[[#This Row],[SeatsSold]]/Table11[[#This Row],[SeatsAvailable]]</f>
        <v>0.47872340425531917</v>
      </c>
      <c r="O395" s="10"/>
    </row>
    <row r="396" spans="1:15" x14ac:dyDescent="0.3">
      <c r="A396" t="s">
        <v>512</v>
      </c>
      <c r="B396" t="s">
        <v>81</v>
      </c>
      <c r="C396" t="s">
        <v>15</v>
      </c>
      <c r="D396" t="s">
        <v>9</v>
      </c>
      <c r="E396" s="16">
        <v>46224</v>
      </c>
      <c r="F396">
        <v>60</v>
      </c>
      <c r="G396" t="s">
        <v>120</v>
      </c>
      <c r="H396">
        <v>203</v>
      </c>
      <c r="I396">
        <v>147</v>
      </c>
      <c r="J396">
        <v>1657131</v>
      </c>
      <c r="K396">
        <v>58503</v>
      </c>
      <c r="L396" t="e">
        <f>[1]!Table1[[#This Row],[Revenue]]-[1]!Table1[[#This Row],[OperationalCost]]</f>
        <v>#REF!</v>
      </c>
      <c r="M396" t="str">
        <f t="shared" si="6"/>
        <v>Jul</v>
      </c>
      <c r="N396" s="15">
        <f>Table11[[#This Row],[SeatsSold]]/Table11[[#This Row],[SeatsAvailable]]</f>
        <v>0.72413793103448276</v>
      </c>
      <c r="O396" s="10"/>
    </row>
    <row r="397" spans="1:15" x14ac:dyDescent="0.3">
      <c r="A397" t="s">
        <v>513</v>
      </c>
      <c r="B397" t="s">
        <v>81</v>
      </c>
      <c r="C397" t="s">
        <v>15</v>
      </c>
      <c r="D397" t="s">
        <v>9</v>
      </c>
      <c r="E397" s="16">
        <v>46145</v>
      </c>
      <c r="F397">
        <v>121</v>
      </c>
      <c r="G397" t="s">
        <v>122</v>
      </c>
      <c r="H397">
        <v>171</v>
      </c>
      <c r="I397">
        <v>48</v>
      </c>
      <c r="J397">
        <v>514848</v>
      </c>
      <c r="K397">
        <v>68438</v>
      </c>
      <c r="L397" t="e">
        <f>[1]!Table1[[#This Row],[Revenue]]-[1]!Table1[[#This Row],[OperationalCost]]</f>
        <v>#REF!</v>
      </c>
      <c r="M397" t="str">
        <f t="shared" si="6"/>
        <v>May</v>
      </c>
      <c r="N397" s="15">
        <f>Table11[[#This Row],[SeatsSold]]/Table11[[#This Row],[SeatsAvailable]]</f>
        <v>0.2807017543859649</v>
      </c>
      <c r="O397" s="10"/>
    </row>
    <row r="398" spans="1:15" x14ac:dyDescent="0.3">
      <c r="A398" t="s">
        <v>514</v>
      </c>
      <c r="B398" t="s">
        <v>63</v>
      </c>
      <c r="C398" t="s">
        <v>15</v>
      </c>
      <c r="D398" t="s">
        <v>14</v>
      </c>
      <c r="E398" s="16">
        <v>45781</v>
      </c>
      <c r="F398">
        <v>238</v>
      </c>
      <c r="G398" t="s">
        <v>120</v>
      </c>
      <c r="H398">
        <v>114</v>
      </c>
      <c r="I398">
        <v>61</v>
      </c>
      <c r="J398">
        <v>364231</v>
      </c>
      <c r="K398">
        <v>52990</v>
      </c>
      <c r="L398" t="e">
        <f>[1]!Table1[[#This Row],[Revenue]]-[1]!Table1[[#This Row],[OperationalCost]]</f>
        <v>#REF!</v>
      </c>
      <c r="M398" t="str">
        <f t="shared" si="6"/>
        <v>May</v>
      </c>
      <c r="N398" s="15">
        <f>Table11[[#This Row],[SeatsSold]]/Table11[[#This Row],[SeatsAvailable]]</f>
        <v>0.53508771929824561</v>
      </c>
      <c r="O398" s="10"/>
    </row>
    <row r="399" spans="1:15" x14ac:dyDescent="0.3">
      <c r="A399" t="s">
        <v>515</v>
      </c>
      <c r="B399" t="s">
        <v>85</v>
      </c>
      <c r="C399" t="s">
        <v>20</v>
      </c>
      <c r="D399" t="s">
        <v>6</v>
      </c>
      <c r="E399" s="16">
        <v>45738</v>
      </c>
      <c r="F399">
        <v>219</v>
      </c>
      <c r="G399" t="s">
        <v>120</v>
      </c>
      <c r="H399">
        <v>121</v>
      </c>
      <c r="I399">
        <v>120</v>
      </c>
      <c r="J399">
        <v>590640</v>
      </c>
      <c r="K399">
        <v>77234</v>
      </c>
      <c r="L399" t="e">
        <f>[1]!Table1[[#This Row],[Revenue]]-[1]!Table1[[#This Row],[OperationalCost]]</f>
        <v>#REF!</v>
      </c>
      <c r="M399" t="str">
        <f t="shared" si="6"/>
        <v>Mar</v>
      </c>
      <c r="N399" s="15">
        <f>Table11[[#This Row],[SeatsSold]]/Table11[[#This Row],[SeatsAvailable]]</f>
        <v>0.99173553719008267</v>
      </c>
      <c r="O399" s="10"/>
    </row>
    <row r="400" spans="1:15" x14ac:dyDescent="0.3">
      <c r="A400" t="s">
        <v>516</v>
      </c>
      <c r="B400" t="s">
        <v>12</v>
      </c>
      <c r="C400" t="s">
        <v>21</v>
      </c>
      <c r="D400" t="s">
        <v>3</v>
      </c>
      <c r="E400" s="16">
        <v>45747</v>
      </c>
      <c r="F400">
        <v>144</v>
      </c>
      <c r="G400" t="s">
        <v>116</v>
      </c>
      <c r="H400">
        <v>171</v>
      </c>
      <c r="I400">
        <v>123</v>
      </c>
      <c r="J400">
        <v>864075</v>
      </c>
      <c r="K400">
        <v>70119</v>
      </c>
      <c r="L400" t="e">
        <f>[1]!Table1[[#This Row],[Revenue]]-[1]!Table1[[#This Row],[OperationalCost]]</f>
        <v>#REF!</v>
      </c>
      <c r="M400" t="str">
        <f t="shared" si="6"/>
        <v>Mar</v>
      </c>
      <c r="N400" s="15">
        <f>Table11[[#This Row],[SeatsSold]]/Table11[[#This Row],[SeatsAvailable]]</f>
        <v>0.7192982456140351</v>
      </c>
      <c r="O400" s="10"/>
    </row>
    <row r="401" spans="1:15" x14ac:dyDescent="0.3">
      <c r="A401" t="s">
        <v>517</v>
      </c>
      <c r="B401" t="s">
        <v>80</v>
      </c>
      <c r="C401" t="s">
        <v>20</v>
      </c>
      <c r="D401" t="s">
        <v>15</v>
      </c>
      <c r="E401" s="16">
        <v>46087</v>
      </c>
      <c r="F401">
        <v>73</v>
      </c>
      <c r="G401" t="s">
        <v>120</v>
      </c>
      <c r="H401">
        <v>108</v>
      </c>
      <c r="I401">
        <v>58</v>
      </c>
      <c r="J401">
        <v>683414</v>
      </c>
      <c r="K401">
        <v>44442</v>
      </c>
      <c r="L401" t="e">
        <f>[1]!Table1[[#This Row],[Revenue]]-[1]!Table1[[#This Row],[OperationalCost]]</f>
        <v>#REF!</v>
      </c>
      <c r="M401" t="str">
        <f t="shared" si="6"/>
        <v>Mar</v>
      </c>
      <c r="N401" s="15">
        <f>Table11[[#This Row],[SeatsSold]]/Table11[[#This Row],[SeatsAvailable]]</f>
        <v>0.53703703703703709</v>
      </c>
      <c r="O401" s="10"/>
    </row>
    <row r="402" spans="1:15" x14ac:dyDescent="0.3">
      <c r="A402" t="s">
        <v>518</v>
      </c>
      <c r="B402" t="s">
        <v>95</v>
      </c>
      <c r="C402" t="s">
        <v>3</v>
      </c>
      <c r="D402" t="s">
        <v>14</v>
      </c>
      <c r="E402" s="16">
        <v>46234</v>
      </c>
      <c r="F402">
        <v>70</v>
      </c>
      <c r="G402" t="s">
        <v>118</v>
      </c>
      <c r="H402">
        <v>207</v>
      </c>
      <c r="I402">
        <v>128</v>
      </c>
      <c r="J402">
        <v>1181696</v>
      </c>
      <c r="K402">
        <v>49936</v>
      </c>
      <c r="L402" t="e">
        <f>[1]!Table1[[#This Row],[Revenue]]-[1]!Table1[[#This Row],[OperationalCost]]</f>
        <v>#REF!</v>
      </c>
      <c r="M402" t="str">
        <f t="shared" si="6"/>
        <v>Jul</v>
      </c>
      <c r="N402" s="15">
        <f>Table11[[#This Row],[SeatsSold]]/Table11[[#This Row],[SeatsAvailable]]</f>
        <v>0.61835748792270528</v>
      </c>
      <c r="O402" s="10"/>
    </row>
    <row r="403" spans="1:15" x14ac:dyDescent="0.3">
      <c r="A403" t="s">
        <v>519</v>
      </c>
      <c r="B403" t="s">
        <v>36</v>
      </c>
      <c r="C403" t="s">
        <v>6</v>
      </c>
      <c r="D403" t="s">
        <v>11</v>
      </c>
      <c r="E403" s="16">
        <v>45696</v>
      </c>
      <c r="F403">
        <v>89</v>
      </c>
      <c r="G403" t="s">
        <v>118</v>
      </c>
      <c r="H403">
        <v>173</v>
      </c>
      <c r="I403">
        <v>76</v>
      </c>
      <c r="J403">
        <v>690156</v>
      </c>
      <c r="K403">
        <v>42794</v>
      </c>
      <c r="L403" t="e">
        <f>[1]!Table1[[#This Row],[Revenue]]-[1]!Table1[[#This Row],[OperationalCost]]</f>
        <v>#REF!</v>
      </c>
      <c r="M403" t="str">
        <f t="shared" si="6"/>
        <v>Feb</v>
      </c>
      <c r="N403" s="15">
        <f>Table11[[#This Row],[SeatsSold]]/Table11[[#This Row],[SeatsAvailable]]</f>
        <v>0.43930635838150289</v>
      </c>
      <c r="O403" s="10"/>
    </row>
    <row r="404" spans="1:15" x14ac:dyDescent="0.3">
      <c r="A404" t="s">
        <v>520</v>
      </c>
      <c r="B404" t="s">
        <v>86</v>
      </c>
      <c r="C404" t="s">
        <v>21</v>
      </c>
      <c r="D404" t="s">
        <v>9</v>
      </c>
      <c r="E404" s="16">
        <v>45708</v>
      </c>
      <c r="F404">
        <v>235</v>
      </c>
      <c r="G404" t="s">
        <v>120</v>
      </c>
      <c r="H404">
        <v>138</v>
      </c>
      <c r="I404">
        <v>87</v>
      </c>
      <c r="J404">
        <v>246297</v>
      </c>
      <c r="K404">
        <v>70076</v>
      </c>
      <c r="L404" t="e">
        <f>[1]!Table1[[#This Row],[Revenue]]-[1]!Table1[[#This Row],[OperationalCost]]</f>
        <v>#REF!</v>
      </c>
      <c r="M404" t="str">
        <f t="shared" si="6"/>
        <v>Feb</v>
      </c>
      <c r="N404" s="15">
        <f>Table11[[#This Row],[SeatsSold]]/Table11[[#This Row],[SeatsAvailable]]</f>
        <v>0.63043478260869568</v>
      </c>
      <c r="O404" s="10"/>
    </row>
    <row r="405" spans="1:15" x14ac:dyDescent="0.3">
      <c r="A405" t="s">
        <v>521</v>
      </c>
      <c r="B405" t="s">
        <v>109</v>
      </c>
      <c r="C405" t="s">
        <v>19</v>
      </c>
      <c r="D405" t="s">
        <v>21</v>
      </c>
      <c r="E405" s="16">
        <v>46161</v>
      </c>
      <c r="F405">
        <v>223</v>
      </c>
      <c r="G405" t="s">
        <v>122</v>
      </c>
      <c r="H405">
        <v>128</v>
      </c>
      <c r="I405">
        <v>57</v>
      </c>
      <c r="J405">
        <v>423111</v>
      </c>
      <c r="K405">
        <v>72695</v>
      </c>
      <c r="L405" t="e">
        <f>[1]!Table1[[#This Row],[Revenue]]-[1]!Table1[[#This Row],[OperationalCost]]</f>
        <v>#REF!</v>
      </c>
      <c r="M405" t="str">
        <f t="shared" si="6"/>
        <v>May</v>
      </c>
      <c r="N405" s="15">
        <f>Table11[[#This Row],[SeatsSold]]/Table11[[#This Row],[SeatsAvailable]]</f>
        <v>0.4453125</v>
      </c>
      <c r="O405" s="10"/>
    </row>
    <row r="406" spans="1:15" x14ac:dyDescent="0.3">
      <c r="A406" t="s">
        <v>522</v>
      </c>
      <c r="B406" t="s">
        <v>92</v>
      </c>
      <c r="C406" t="s">
        <v>19</v>
      </c>
      <c r="D406" t="s">
        <v>6</v>
      </c>
      <c r="E406" s="16">
        <v>46277</v>
      </c>
      <c r="F406">
        <v>210</v>
      </c>
      <c r="G406" t="s">
        <v>122</v>
      </c>
      <c r="H406">
        <v>118</v>
      </c>
      <c r="I406">
        <v>96</v>
      </c>
      <c r="J406">
        <v>572448</v>
      </c>
      <c r="K406">
        <v>71112</v>
      </c>
      <c r="L406" t="e">
        <f>[1]!Table1[[#This Row],[Revenue]]-[1]!Table1[[#This Row],[OperationalCost]]</f>
        <v>#REF!</v>
      </c>
      <c r="M406" t="str">
        <f t="shared" si="6"/>
        <v>Sep</v>
      </c>
      <c r="N406" s="15">
        <f>Table11[[#This Row],[SeatsSold]]/Table11[[#This Row],[SeatsAvailable]]</f>
        <v>0.81355932203389836</v>
      </c>
      <c r="O406" s="10"/>
    </row>
    <row r="407" spans="1:15" x14ac:dyDescent="0.3">
      <c r="A407" t="s">
        <v>523</v>
      </c>
      <c r="B407" t="s">
        <v>13</v>
      </c>
      <c r="C407" t="s">
        <v>11</v>
      </c>
      <c r="D407" t="s">
        <v>21</v>
      </c>
      <c r="E407" s="16">
        <v>45715</v>
      </c>
      <c r="F407">
        <v>176</v>
      </c>
      <c r="G407" t="s">
        <v>113</v>
      </c>
      <c r="H407">
        <v>86</v>
      </c>
      <c r="I407">
        <v>59</v>
      </c>
      <c r="J407">
        <v>637377</v>
      </c>
      <c r="K407">
        <v>49052</v>
      </c>
      <c r="L407" t="e">
        <f>[1]!Table1[[#This Row],[Revenue]]-[1]!Table1[[#This Row],[OperationalCost]]</f>
        <v>#REF!</v>
      </c>
      <c r="M407" t="str">
        <f t="shared" si="6"/>
        <v>Feb</v>
      </c>
      <c r="N407" s="15">
        <f>Table11[[#This Row],[SeatsSold]]/Table11[[#This Row],[SeatsAvailable]]</f>
        <v>0.68604651162790697</v>
      </c>
      <c r="O407" s="10"/>
    </row>
    <row r="408" spans="1:15" x14ac:dyDescent="0.3">
      <c r="A408" t="s">
        <v>524</v>
      </c>
      <c r="B408" t="s">
        <v>99</v>
      </c>
      <c r="C408" t="s">
        <v>11</v>
      </c>
      <c r="D408" t="s">
        <v>20</v>
      </c>
      <c r="E408" s="16">
        <v>45835</v>
      </c>
      <c r="F408">
        <v>94</v>
      </c>
      <c r="G408" t="s">
        <v>113</v>
      </c>
      <c r="H408">
        <v>84</v>
      </c>
      <c r="I408">
        <v>55</v>
      </c>
      <c r="J408">
        <v>167255</v>
      </c>
      <c r="K408">
        <v>29912</v>
      </c>
      <c r="L408" t="e">
        <f>[1]!Table1[[#This Row],[Revenue]]-[1]!Table1[[#This Row],[OperationalCost]]</f>
        <v>#REF!</v>
      </c>
      <c r="M408" t="str">
        <f t="shared" si="6"/>
        <v>Jun</v>
      </c>
      <c r="N408" s="15">
        <f>Table11[[#This Row],[SeatsSold]]/Table11[[#This Row],[SeatsAvailable]]</f>
        <v>0.65476190476190477</v>
      </c>
      <c r="O408" s="10"/>
    </row>
    <row r="409" spans="1:15" x14ac:dyDescent="0.3">
      <c r="A409" t="s">
        <v>525</v>
      </c>
      <c r="B409" t="s">
        <v>86</v>
      </c>
      <c r="C409" t="s">
        <v>21</v>
      </c>
      <c r="D409" t="s">
        <v>9</v>
      </c>
      <c r="E409" s="16">
        <v>45938</v>
      </c>
      <c r="F409">
        <v>139</v>
      </c>
      <c r="G409" t="s">
        <v>120</v>
      </c>
      <c r="H409">
        <v>199</v>
      </c>
      <c r="I409">
        <v>141</v>
      </c>
      <c r="J409">
        <v>638589</v>
      </c>
      <c r="K409">
        <v>58179</v>
      </c>
      <c r="L409" t="e">
        <f>[1]!Table1[[#This Row],[Revenue]]-[1]!Table1[[#This Row],[OperationalCost]]</f>
        <v>#REF!</v>
      </c>
      <c r="M409" t="str">
        <f t="shared" si="6"/>
        <v>Oct</v>
      </c>
      <c r="N409" s="15">
        <f>Table11[[#This Row],[SeatsSold]]/Table11[[#This Row],[SeatsAvailable]]</f>
        <v>0.70854271356783916</v>
      </c>
      <c r="O409" s="10"/>
    </row>
    <row r="410" spans="1:15" x14ac:dyDescent="0.3">
      <c r="A410" t="s">
        <v>526</v>
      </c>
      <c r="B410" t="s">
        <v>43</v>
      </c>
      <c r="C410" t="s">
        <v>9</v>
      </c>
      <c r="D410" t="s">
        <v>17</v>
      </c>
      <c r="E410" s="16">
        <v>46158</v>
      </c>
      <c r="F410">
        <v>197</v>
      </c>
      <c r="G410" t="s">
        <v>120</v>
      </c>
      <c r="H410">
        <v>115</v>
      </c>
      <c r="I410">
        <v>100</v>
      </c>
      <c r="J410">
        <v>1153300</v>
      </c>
      <c r="K410">
        <v>60493</v>
      </c>
      <c r="L410" t="e">
        <f>[1]!Table1[[#This Row],[Revenue]]-[1]!Table1[[#This Row],[OperationalCost]]</f>
        <v>#REF!</v>
      </c>
      <c r="M410" t="str">
        <f t="shared" si="6"/>
        <v>May</v>
      </c>
      <c r="N410" s="15">
        <f>Table11[[#This Row],[SeatsSold]]/Table11[[#This Row],[SeatsAvailable]]</f>
        <v>0.86956521739130432</v>
      </c>
      <c r="O410" s="10"/>
    </row>
    <row r="411" spans="1:15" x14ac:dyDescent="0.3">
      <c r="A411" t="s">
        <v>527</v>
      </c>
      <c r="B411" t="s">
        <v>44</v>
      </c>
      <c r="C411" t="s">
        <v>14</v>
      </c>
      <c r="D411" t="s">
        <v>21</v>
      </c>
      <c r="E411" s="16">
        <v>46363</v>
      </c>
      <c r="F411">
        <v>68</v>
      </c>
      <c r="G411" t="s">
        <v>118</v>
      </c>
      <c r="H411">
        <v>77</v>
      </c>
      <c r="I411">
        <v>64</v>
      </c>
      <c r="J411">
        <v>212032</v>
      </c>
      <c r="K411">
        <v>28350</v>
      </c>
      <c r="L411" t="e">
        <f>[1]!Table1[[#This Row],[Revenue]]-[1]!Table1[[#This Row],[OperationalCost]]</f>
        <v>#REF!</v>
      </c>
      <c r="M411" t="str">
        <f t="shared" si="6"/>
        <v>Dec</v>
      </c>
      <c r="N411" s="15">
        <f>Table11[[#This Row],[SeatsSold]]/Table11[[#This Row],[SeatsAvailable]]</f>
        <v>0.83116883116883122</v>
      </c>
      <c r="O411" s="10"/>
    </row>
    <row r="412" spans="1:15" x14ac:dyDescent="0.3">
      <c r="A412" t="s">
        <v>528</v>
      </c>
      <c r="B412" t="s">
        <v>58</v>
      </c>
      <c r="C412" t="s">
        <v>9</v>
      </c>
      <c r="D412" t="s">
        <v>19</v>
      </c>
      <c r="E412" s="16">
        <v>46320</v>
      </c>
      <c r="F412">
        <v>102</v>
      </c>
      <c r="G412" t="s">
        <v>113</v>
      </c>
      <c r="H412">
        <v>138</v>
      </c>
      <c r="I412">
        <v>123</v>
      </c>
      <c r="J412">
        <v>1132707</v>
      </c>
      <c r="K412">
        <v>37332</v>
      </c>
      <c r="L412" t="e">
        <f>[1]!Table1[[#This Row],[Revenue]]-[1]!Table1[[#This Row],[OperationalCost]]</f>
        <v>#REF!</v>
      </c>
      <c r="M412" t="str">
        <f t="shared" si="6"/>
        <v>Oct</v>
      </c>
      <c r="N412" s="15">
        <f>Table11[[#This Row],[SeatsSold]]/Table11[[#This Row],[SeatsAvailable]]</f>
        <v>0.89130434782608692</v>
      </c>
      <c r="O412" s="10"/>
    </row>
    <row r="413" spans="1:15" x14ac:dyDescent="0.3">
      <c r="A413" t="s">
        <v>529</v>
      </c>
      <c r="B413" t="s">
        <v>78</v>
      </c>
      <c r="C413" t="s">
        <v>20</v>
      </c>
      <c r="D413" t="s">
        <v>11</v>
      </c>
      <c r="E413" s="16">
        <v>45793</v>
      </c>
      <c r="F413">
        <v>210</v>
      </c>
      <c r="G413" t="s">
        <v>113</v>
      </c>
      <c r="H413">
        <v>72</v>
      </c>
      <c r="I413">
        <v>54</v>
      </c>
      <c r="J413">
        <v>358290</v>
      </c>
      <c r="K413">
        <v>69126</v>
      </c>
      <c r="L413" t="e">
        <f>[1]!Table1[[#This Row],[Revenue]]-[1]!Table1[[#This Row],[OperationalCost]]</f>
        <v>#REF!</v>
      </c>
      <c r="M413" t="str">
        <f t="shared" si="6"/>
        <v>May</v>
      </c>
      <c r="N413" s="15">
        <f>Table11[[#This Row],[SeatsSold]]/Table11[[#This Row],[SeatsAvailable]]</f>
        <v>0.75</v>
      </c>
      <c r="O413" s="10"/>
    </row>
    <row r="414" spans="1:15" x14ac:dyDescent="0.3">
      <c r="A414" t="s">
        <v>530</v>
      </c>
      <c r="B414" t="s">
        <v>92</v>
      </c>
      <c r="C414" t="s">
        <v>19</v>
      </c>
      <c r="D414" t="s">
        <v>6</v>
      </c>
      <c r="E414" s="16">
        <v>46043</v>
      </c>
      <c r="F414">
        <v>134</v>
      </c>
      <c r="G414" t="s">
        <v>120</v>
      </c>
      <c r="H414">
        <v>134</v>
      </c>
      <c r="I414">
        <v>67</v>
      </c>
      <c r="J414">
        <v>679782</v>
      </c>
      <c r="K414">
        <v>54940</v>
      </c>
      <c r="L414" t="e">
        <f>[1]!Table1[[#This Row],[Revenue]]-[1]!Table1[[#This Row],[OperationalCost]]</f>
        <v>#REF!</v>
      </c>
      <c r="M414" t="str">
        <f t="shared" si="6"/>
        <v>Jan</v>
      </c>
      <c r="N414" s="15">
        <f>Table11[[#This Row],[SeatsSold]]/Table11[[#This Row],[SeatsAvailable]]</f>
        <v>0.5</v>
      </c>
      <c r="O414" s="10"/>
    </row>
    <row r="415" spans="1:15" x14ac:dyDescent="0.3">
      <c r="A415" t="s">
        <v>531</v>
      </c>
      <c r="B415" t="s">
        <v>108</v>
      </c>
      <c r="C415" t="s">
        <v>15</v>
      </c>
      <c r="D415" t="s">
        <v>17</v>
      </c>
      <c r="E415" s="16">
        <v>46256</v>
      </c>
      <c r="F415">
        <v>71</v>
      </c>
      <c r="G415" t="s">
        <v>122</v>
      </c>
      <c r="H415">
        <v>200</v>
      </c>
      <c r="I415">
        <v>135</v>
      </c>
      <c r="J415">
        <v>1579230</v>
      </c>
      <c r="K415">
        <v>66635</v>
      </c>
      <c r="L415" t="e">
        <f>[1]!Table1[[#This Row],[Revenue]]-[1]!Table1[[#This Row],[OperationalCost]]</f>
        <v>#REF!</v>
      </c>
      <c r="M415" t="str">
        <f t="shared" si="6"/>
        <v>Aug</v>
      </c>
      <c r="N415" s="15">
        <f>Table11[[#This Row],[SeatsSold]]/Table11[[#This Row],[SeatsAvailable]]</f>
        <v>0.67500000000000004</v>
      </c>
      <c r="O415" s="10"/>
    </row>
    <row r="416" spans="1:15" x14ac:dyDescent="0.3">
      <c r="A416" t="s">
        <v>532</v>
      </c>
      <c r="B416" t="s">
        <v>91</v>
      </c>
      <c r="C416" t="s">
        <v>15</v>
      </c>
      <c r="D416" t="s">
        <v>19</v>
      </c>
      <c r="E416" s="16">
        <v>45963</v>
      </c>
      <c r="F416">
        <v>220</v>
      </c>
      <c r="G416" t="s">
        <v>122</v>
      </c>
      <c r="H416">
        <v>193</v>
      </c>
      <c r="I416">
        <v>56</v>
      </c>
      <c r="J416">
        <v>448504</v>
      </c>
      <c r="K416">
        <v>88699</v>
      </c>
      <c r="L416" t="e">
        <f>[1]!Table1[[#This Row],[Revenue]]-[1]!Table1[[#This Row],[OperationalCost]]</f>
        <v>#REF!</v>
      </c>
      <c r="M416" t="str">
        <f t="shared" si="6"/>
        <v>Nov</v>
      </c>
      <c r="N416" s="15">
        <f>Table11[[#This Row],[SeatsSold]]/Table11[[#This Row],[SeatsAvailable]]</f>
        <v>0.29015544041450775</v>
      </c>
      <c r="O416" s="10"/>
    </row>
    <row r="417" spans="1:15" x14ac:dyDescent="0.3">
      <c r="A417" t="s">
        <v>533</v>
      </c>
      <c r="B417" t="s">
        <v>79</v>
      </c>
      <c r="C417" t="s">
        <v>21</v>
      </c>
      <c r="D417" t="s">
        <v>19</v>
      </c>
      <c r="E417" s="16">
        <v>45925</v>
      </c>
      <c r="F417">
        <v>212</v>
      </c>
      <c r="G417" t="s">
        <v>118</v>
      </c>
      <c r="H417">
        <v>118</v>
      </c>
      <c r="I417">
        <v>59</v>
      </c>
      <c r="J417">
        <v>647525</v>
      </c>
      <c r="K417">
        <v>49464</v>
      </c>
      <c r="L417" t="e">
        <f>[1]!Table1[[#This Row],[Revenue]]-[1]!Table1[[#This Row],[OperationalCost]]</f>
        <v>#REF!</v>
      </c>
      <c r="M417" t="str">
        <f t="shared" si="6"/>
        <v>Sep</v>
      </c>
      <c r="N417" s="15">
        <f>Table11[[#This Row],[SeatsSold]]/Table11[[#This Row],[SeatsAvailable]]</f>
        <v>0.5</v>
      </c>
      <c r="O417" s="10"/>
    </row>
    <row r="418" spans="1:15" x14ac:dyDescent="0.3">
      <c r="A418" t="s">
        <v>534</v>
      </c>
      <c r="B418" t="s">
        <v>108</v>
      </c>
      <c r="C418" t="s">
        <v>15</v>
      </c>
      <c r="D418" t="s">
        <v>17</v>
      </c>
      <c r="E418" s="16">
        <v>46334</v>
      </c>
      <c r="F418">
        <v>126</v>
      </c>
      <c r="G418" t="s">
        <v>113</v>
      </c>
      <c r="H418">
        <v>76</v>
      </c>
      <c r="I418">
        <v>71</v>
      </c>
      <c r="J418">
        <v>521353</v>
      </c>
      <c r="K418">
        <v>37648</v>
      </c>
      <c r="L418" t="e">
        <f>[1]!Table1[[#This Row],[Revenue]]-[1]!Table1[[#This Row],[OperationalCost]]</f>
        <v>#REF!</v>
      </c>
      <c r="M418" t="str">
        <f t="shared" si="6"/>
        <v>Nov</v>
      </c>
      <c r="N418" s="15">
        <f>Table11[[#This Row],[SeatsSold]]/Table11[[#This Row],[SeatsAvailable]]</f>
        <v>0.93421052631578949</v>
      </c>
      <c r="O418" s="10"/>
    </row>
    <row r="419" spans="1:15" x14ac:dyDescent="0.3">
      <c r="A419" t="s">
        <v>535</v>
      </c>
      <c r="B419" t="s">
        <v>77</v>
      </c>
      <c r="C419" t="s">
        <v>17</v>
      </c>
      <c r="D419" t="s">
        <v>6</v>
      </c>
      <c r="E419" s="16">
        <v>45694</v>
      </c>
      <c r="F419">
        <v>194</v>
      </c>
      <c r="G419" t="s">
        <v>116</v>
      </c>
      <c r="H419">
        <v>118</v>
      </c>
      <c r="I419">
        <v>83</v>
      </c>
      <c r="J419">
        <v>509869</v>
      </c>
      <c r="K419">
        <v>82718</v>
      </c>
      <c r="L419" t="e">
        <f>[1]!Table1[[#This Row],[Revenue]]-[1]!Table1[[#This Row],[OperationalCost]]</f>
        <v>#REF!</v>
      </c>
      <c r="M419" t="str">
        <f t="shared" si="6"/>
        <v>Feb</v>
      </c>
      <c r="N419" s="15">
        <f>Table11[[#This Row],[SeatsSold]]/Table11[[#This Row],[SeatsAvailable]]</f>
        <v>0.70338983050847459</v>
      </c>
      <c r="O419" s="10"/>
    </row>
    <row r="420" spans="1:15" x14ac:dyDescent="0.3">
      <c r="A420" t="s">
        <v>536</v>
      </c>
      <c r="B420" t="s">
        <v>16</v>
      </c>
      <c r="C420" t="s">
        <v>6</v>
      </c>
      <c r="D420" t="s">
        <v>21</v>
      </c>
      <c r="E420" s="16">
        <v>46177</v>
      </c>
      <c r="F420">
        <v>121</v>
      </c>
      <c r="G420" t="s">
        <v>113</v>
      </c>
      <c r="H420">
        <v>212</v>
      </c>
      <c r="I420">
        <v>86</v>
      </c>
      <c r="J420">
        <v>628918</v>
      </c>
      <c r="K420">
        <v>59824</v>
      </c>
      <c r="L420" t="e">
        <f>[1]!Table1[[#This Row],[Revenue]]-[1]!Table1[[#This Row],[OperationalCost]]</f>
        <v>#REF!</v>
      </c>
      <c r="M420" t="str">
        <f t="shared" si="6"/>
        <v>Jun</v>
      </c>
      <c r="N420" s="15">
        <f>Table11[[#This Row],[SeatsSold]]/Table11[[#This Row],[SeatsAvailable]]</f>
        <v>0.40566037735849059</v>
      </c>
      <c r="O420" s="10"/>
    </row>
    <row r="421" spans="1:15" x14ac:dyDescent="0.3">
      <c r="A421" t="s">
        <v>537</v>
      </c>
      <c r="B421" t="s">
        <v>44</v>
      </c>
      <c r="C421" t="s">
        <v>14</v>
      </c>
      <c r="D421" t="s">
        <v>21</v>
      </c>
      <c r="E421" s="16">
        <v>46230</v>
      </c>
      <c r="F421">
        <v>240</v>
      </c>
      <c r="G421" t="s">
        <v>113</v>
      </c>
      <c r="H421">
        <v>155</v>
      </c>
      <c r="I421">
        <v>123</v>
      </c>
      <c r="J421">
        <v>487449</v>
      </c>
      <c r="K421">
        <v>68590</v>
      </c>
      <c r="L421" t="e">
        <f>[1]!Table1[[#This Row],[Revenue]]-[1]!Table1[[#This Row],[OperationalCost]]</f>
        <v>#REF!</v>
      </c>
      <c r="M421" t="str">
        <f t="shared" si="6"/>
        <v>Jul</v>
      </c>
      <c r="N421" s="15">
        <f>Table11[[#This Row],[SeatsSold]]/Table11[[#This Row],[SeatsAvailable]]</f>
        <v>0.79354838709677422</v>
      </c>
      <c r="O421" s="10"/>
    </row>
    <row r="422" spans="1:15" x14ac:dyDescent="0.3">
      <c r="A422" t="s">
        <v>538</v>
      </c>
      <c r="B422" t="s">
        <v>4</v>
      </c>
      <c r="C422" t="s">
        <v>9</v>
      </c>
      <c r="D422" t="s">
        <v>21</v>
      </c>
      <c r="E422" s="16">
        <v>46088</v>
      </c>
      <c r="F422">
        <v>129</v>
      </c>
      <c r="G422" t="s">
        <v>118</v>
      </c>
      <c r="H422">
        <v>136</v>
      </c>
      <c r="I422">
        <v>114</v>
      </c>
      <c r="J422">
        <v>834138</v>
      </c>
      <c r="K422">
        <v>45662</v>
      </c>
      <c r="L422" t="e">
        <f>[1]!Table1[[#This Row],[Revenue]]-[1]!Table1[[#This Row],[OperationalCost]]</f>
        <v>#REF!</v>
      </c>
      <c r="M422" t="str">
        <f t="shared" si="6"/>
        <v>Mar</v>
      </c>
      <c r="N422" s="15">
        <f>Table11[[#This Row],[SeatsSold]]/Table11[[#This Row],[SeatsAvailable]]</f>
        <v>0.83823529411764708</v>
      </c>
      <c r="O422" s="10"/>
    </row>
    <row r="423" spans="1:15" x14ac:dyDescent="0.3">
      <c r="A423" t="s">
        <v>539</v>
      </c>
      <c r="B423" t="s">
        <v>65</v>
      </c>
      <c r="C423" t="s">
        <v>6</v>
      </c>
      <c r="D423" t="s">
        <v>20</v>
      </c>
      <c r="E423" s="16">
        <v>46307</v>
      </c>
      <c r="F423">
        <v>194</v>
      </c>
      <c r="G423" t="s">
        <v>116</v>
      </c>
      <c r="H423">
        <v>88</v>
      </c>
      <c r="I423">
        <v>70</v>
      </c>
      <c r="J423">
        <v>398090</v>
      </c>
      <c r="K423">
        <v>57792</v>
      </c>
      <c r="L423" t="e">
        <f>[1]!Table1[[#This Row],[Revenue]]-[1]!Table1[[#This Row],[OperationalCost]]</f>
        <v>#REF!</v>
      </c>
      <c r="M423" t="str">
        <f t="shared" si="6"/>
        <v>Oct</v>
      </c>
      <c r="N423" s="15">
        <f>Table11[[#This Row],[SeatsSold]]/Table11[[#This Row],[SeatsAvailable]]</f>
        <v>0.79545454545454541</v>
      </c>
      <c r="O423" s="10"/>
    </row>
    <row r="424" spans="1:15" x14ac:dyDescent="0.3">
      <c r="A424" t="s">
        <v>540</v>
      </c>
      <c r="B424" t="s">
        <v>106</v>
      </c>
      <c r="C424" t="s">
        <v>17</v>
      </c>
      <c r="D424" t="s">
        <v>15</v>
      </c>
      <c r="E424" s="16">
        <v>45963</v>
      </c>
      <c r="F424">
        <v>150</v>
      </c>
      <c r="G424" t="s">
        <v>122</v>
      </c>
      <c r="H424">
        <v>108</v>
      </c>
      <c r="I424">
        <v>57</v>
      </c>
      <c r="J424">
        <v>329517</v>
      </c>
      <c r="K424">
        <v>50922</v>
      </c>
      <c r="L424" t="e">
        <f>[1]!Table1[[#This Row],[Revenue]]-[1]!Table1[[#This Row],[OperationalCost]]</f>
        <v>#REF!</v>
      </c>
      <c r="M424" t="str">
        <f t="shared" si="6"/>
        <v>Nov</v>
      </c>
      <c r="N424" s="15">
        <f>Table11[[#This Row],[SeatsSold]]/Table11[[#This Row],[SeatsAvailable]]</f>
        <v>0.52777777777777779</v>
      </c>
      <c r="O424" s="10"/>
    </row>
    <row r="425" spans="1:15" x14ac:dyDescent="0.3">
      <c r="A425" t="s">
        <v>541</v>
      </c>
      <c r="B425" t="s">
        <v>90</v>
      </c>
      <c r="C425" t="s">
        <v>15</v>
      </c>
      <c r="D425" t="s">
        <v>6</v>
      </c>
      <c r="E425" s="16">
        <v>45804</v>
      </c>
      <c r="F425">
        <v>125</v>
      </c>
      <c r="G425" t="s">
        <v>113</v>
      </c>
      <c r="H425">
        <v>90</v>
      </c>
      <c r="I425">
        <v>71</v>
      </c>
      <c r="J425">
        <v>564379</v>
      </c>
      <c r="K425">
        <v>46375</v>
      </c>
      <c r="L425" t="e">
        <f>[1]!Table1[[#This Row],[Revenue]]-[1]!Table1[[#This Row],[OperationalCost]]</f>
        <v>#REF!</v>
      </c>
      <c r="M425" t="str">
        <f t="shared" si="6"/>
        <v>May</v>
      </c>
      <c r="N425" s="15">
        <f>Table11[[#This Row],[SeatsSold]]/Table11[[#This Row],[SeatsAvailable]]</f>
        <v>0.78888888888888886</v>
      </c>
      <c r="O425" s="10"/>
    </row>
    <row r="426" spans="1:15" x14ac:dyDescent="0.3">
      <c r="A426" t="s">
        <v>542</v>
      </c>
      <c r="B426" t="s">
        <v>69</v>
      </c>
      <c r="C426" t="s">
        <v>21</v>
      </c>
      <c r="D426" t="s">
        <v>20</v>
      </c>
      <c r="E426" s="16">
        <v>45662</v>
      </c>
      <c r="F426">
        <v>160</v>
      </c>
      <c r="G426" t="s">
        <v>118</v>
      </c>
      <c r="H426">
        <v>123</v>
      </c>
      <c r="I426">
        <v>61</v>
      </c>
      <c r="J426">
        <v>728401</v>
      </c>
      <c r="K426">
        <v>50815</v>
      </c>
      <c r="L426" t="e">
        <f>[1]!Table1[[#This Row],[Revenue]]-[1]!Table1[[#This Row],[OperationalCost]]</f>
        <v>#REF!</v>
      </c>
      <c r="M426" t="str">
        <f t="shared" si="6"/>
        <v>Jan</v>
      </c>
      <c r="N426" s="15">
        <f>Table11[[#This Row],[SeatsSold]]/Table11[[#This Row],[SeatsAvailable]]</f>
        <v>0.49593495934959347</v>
      </c>
      <c r="O426" s="10"/>
    </row>
    <row r="427" spans="1:15" x14ac:dyDescent="0.3">
      <c r="A427" t="s">
        <v>543</v>
      </c>
      <c r="B427" t="s">
        <v>93</v>
      </c>
      <c r="C427" t="s">
        <v>3</v>
      </c>
      <c r="D427" t="s">
        <v>9</v>
      </c>
      <c r="E427" s="16">
        <v>46287</v>
      </c>
      <c r="F427">
        <v>156</v>
      </c>
      <c r="G427" t="s">
        <v>120</v>
      </c>
      <c r="H427">
        <v>173</v>
      </c>
      <c r="I427">
        <v>149</v>
      </c>
      <c r="J427">
        <v>1537829</v>
      </c>
      <c r="K427">
        <v>48021</v>
      </c>
      <c r="L427" t="e">
        <f>[1]!Table1[[#This Row],[Revenue]]-[1]!Table1[[#This Row],[OperationalCost]]</f>
        <v>#REF!</v>
      </c>
      <c r="M427" t="str">
        <f t="shared" si="6"/>
        <v>Sep</v>
      </c>
      <c r="N427" s="15">
        <f>Table11[[#This Row],[SeatsSold]]/Table11[[#This Row],[SeatsAvailable]]</f>
        <v>0.86127167630057799</v>
      </c>
      <c r="O427" s="10"/>
    </row>
    <row r="428" spans="1:15" x14ac:dyDescent="0.3">
      <c r="A428" t="s">
        <v>544</v>
      </c>
      <c r="B428" t="s">
        <v>80</v>
      </c>
      <c r="C428" t="s">
        <v>20</v>
      </c>
      <c r="D428" t="s">
        <v>15</v>
      </c>
      <c r="E428" s="16">
        <v>45862</v>
      </c>
      <c r="F428">
        <v>232</v>
      </c>
      <c r="G428" t="s">
        <v>118</v>
      </c>
      <c r="H428">
        <v>73</v>
      </c>
      <c r="I428">
        <v>60</v>
      </c>
      <c r="J428">
        <v>672000</v>
      </c>
      <c r="K428">
        <v>45108</v>
      </c>
      <c r="L428" t="e">
        <f>[1]!Table1[[#This Row],[Revenue]]-[1]!Table1[[#This Row],[OperationalCost]]</f>
        <v>#REF!</v>
      </c>
      <c r="M428" t="str">
        <f t="shared" si="6"/>
        <v>Jul</v>
      </c>
      <c r="N428" s="15">
        <f>Table11[[#This Row],[SeatsSold]]/Table11[[#This Row],[SeatsAvailable]]</f>
        <v>0.82191780821917804</v>
      </c>
      <c r="O428" s="10"/>
    </row>
    <row r="429" spans="1:15" x14ac:dyDescent="0.3">
      <c r="A429" t="s">
        <v>545</v>
      </c>
      <c r="B429" t="s">
        <v>82</v>
      </c>
      <c r="C429" t="s">
        <v>20</v>
      </c>
      <c r="D429" t="s">
        <v>19</v>
      </c>
      <c r="E429" s="16">
        <v>45889</v>
      </c>
      <c r="F429">
        <v>222</v>
      </c>
      <c r="G429" t="s">
        <v>118</v>
      </c>
      <c r="H429">
        <v>149</v>
      </c>
      <c r="I429">
        <v>56</v>
      </c>
      <c r="J429">
        <v>234192</v>
      </c>
      <c r="K429">
        <v>79388</v>
      </c>
      <c r="L429" t="e">
        <f>[1]!Table1[[#This Row],[Revenue]]-[1]!Table1[[#This Row],[OperationalCost]]</f>
        <v>#REF!</v>
      </c>
      <c r="M429" t="str">
        <f t="shared" si="6"/>
        <v>Aug</v>
      </c>
      <c r="N429" s="15">
        <f>Table11[[#This Row],[SeatsSold]]/Table11[[#This Row],[SeatsAvailable]]</f>
        <v>0.37583892617449666</v>
      </c>
      <c r="O429" s="10"/>
    </row>
    <row r="430" spans="1:15" x14ac:dyDescent="0.3">
      <c r="A430" t="s">
        <v>546</v>
      </c>
      <c r="B430" t="s">
        <v>91</v>
      </c>
      <c r="C430" t="s">
        <v>15</v>
      </c>
      <c r="D430" t="s">
        <v>19</v>
      </c>
      <c r="E430" s="16">
        <v>45829</v>
      </c>
      <c r="F430">
        <v>61</v>
      </c>
      <c r="G430" t="s">
        <v>122</v>
      </c>
      <c r="H430">
        <v>146</v>
      </c>
      <c r="I430">
        <v>77</v>
      </c>
      <c r="J430">
        <v>767613</v>
      </c>
      <c r="K430">
        <v>49305</v>
      </c>
      <c r="L430" t="e">
        <f>[1]!Table1[[#This Row],[Revenue]]-[1]!Table1[[#This Row],[OperationalCost]]</f>
        <v>#REF!</v>
      </c>
      <c r="M430" t="str">
        <f t="shared" si="6"/>
        <v>Jun</v>
      </c>
      <c r="N430" s="15">
        <f>Table11[[#This Row],[SeatsSold]]/Table11[[#This Row],[SeatsAvailable]]</f>
        <v>0.5273972602739726</v>
      </c>
      <c r="O430" s="10"/>
    </row>
    <row r="431" spans="1:15" x14ac:dyDescent="0.3">
      <c r="A431" t="s">
        <v>547</v>
      </c>
      <c r="B431" t="s">
        <v>13</v>
      </c>
      <c r="C431" t="s">
        <v>11</v>
      </c>
      <c r="D431" t="s">
        <v>21</v>
      </c>
      <c r="E431" s="16">
        <v>46102</v>
      </c>
      <c r="F431">
        <v>220</v>
      </c>
      <c r="G431" t="s">
        <v>113</v>
      </c>
      <c r="H431">
        <v>157</v>
      </c>
      <c r="I431">
        <v>155</v>
      </c>
      <c r="J431">
        <v>1632305</v>
      </c>
      <c r="K431">
        <v>66516</v>
      </c>
      <c r="L431" t="e">
        <f>[1]!Table1[[#This Row],[Revenue]]-[1]!Table1[[#This Row],[OperationalCost]]</f>
        <v>#REF!</v>
      </c>
      <c r="M431" t="str">
        <f t="shared" si="6"/>
        <v>Mar</v>
      </c>
      <c r="N431" s="15">
        <f>Table11[[#This Row],[SeatsSold]]/Table11[[#This Row],[SeatsAvailable]]</f>
        <v>0.98726114649681529</v>
      </c>
      <c r="O431" s="10"/>
    </row>
    <row r="432" spans="1:15" x14ac:dyDescent="0.3">
      <c r="A432" t="s">
        <v>548</v>
      </c>
      <c r="B432" t="s">
        <v>55</v>
      </c>
      <c r="C432" t="s">
        <v>14</v>
      </c>
      <c r="D432" t="s">
        <v>6</v>
      </c>
      <c r="E432" s="16">
        <v>45677</v>
      </c>
      <c r="F432">
        <v>103</v>
      </c>
      <c r="G432" t="s">
        <v>113</v>
      </c>
      <c r="H432">
        <v>103</v>
      </c>
      <c r="I432">
        <v>67</v>
      </c>
      <c r="J432">
        <v>191553</v>
      </c>
      <c r="K432">
        <v>49337</v>
      </c>
      <c r="L432" t="e">
        <f>[1]!Table1[[#This Row],[Revenue]]-[1]!Table1[[#This Row],[OperationalCost]]</f>
        <v>#REF!</v>
      </c>
      <c r="M432" t="str">
        <f t="shared" si="6"/>
        <v>Jan</v>
      </c>
      <c r="N432" s="15">
        <f>Table11[[#This Row],[SeatsSold]]/Table11[[#This Row],[SeatsAvailable]]</f>
        <v>0.65048543689320393</v>
      </c>
      <c r="O432" s="10"/>
    </row>
    <row r="433" spans="1:15" x14ac:dyDescent="0.3">
      <c r="A433" t="s">
        <v>549</v>
      </c>
      <c r="B433" t="s">
        <v>47</v>
      </c>
      <c r="C433" t="s">
        <v>14</v>
      </c>
      <c r="D433" t="s">
        <v>3</v>
      </c>
      <c r="E433" s="16">
        <v>46033</v>
      </c>
      <c r="F433">
        <v>227</v>
      </c>
      <c r="G433" t="s">
        <v>122</v>
      </c>
      <c r="H433">
        <v>166</v>
      </c>
      <c r="I433">
        <v>152</v>
      </c>
      <c r="J433">
        <v>1016880</v>
      </c>
      <c r="K433">
        <v>97786</v>
      </c>
      <c r="L433" t="e">
        <f>[1]!Table1[[#This Row],[Revenue]]-[1]!Table1[[#This Row],[OperationalCost]]</f>
        <v>#REF!</v>
      </c>
      <c r="M433" t="str">
        <f t="shared" si="6"/>
        <v>Jan</v>
      </c>
      <c r="N433" s="15">
        <f>Table11[[#This Row],[SeatsSold]]/Table11[[#This Row],[SeatsAvailable]]</f>
        <v>0.91566265060240959</v>
      </c>
      <c r="O433" s="10"/>
    </row>
    <row r="434" spans="1:15" x14ac:dyDescent="0.3">
      <c r="A434" t="s">
        <v>550</v>
      </c>
      <c r="B434" t="s">
        <v>31</v>
      </c>
      <c r="C434" t="s">
        <v>20</v>
      </c>
      <c r="D434" t="s">
        <v>3</v>
      </c>
      <c r="E434" s="16">
        <v>46335</v>
      </c>
      <c r="F434">
        <v>72</v>
      </c>
      <c r="G434" t="s">
        <v>122</v>
      </c>
      <c r="H434">
        <v>82</v>
      </c>
      <c r="I434">
        <v>47</v>
      </c>
      <c r="J434">
        <v>438416</v>
      </c>
      <c r="K434">
        <v>31290</v>
      </c>
      <c r="L434" t="e">
        <f>[1]!Table1[[#This Row],[Revenue]]-[1]!Table1[[#This Row],[OperationalCost]]</f>
        <v>#REF!</v>
      </c>
      <c r="M434" t="str">
        <f t="shared" si="6"/>
        <v>Nov</v>
      </c>
      <c r="N434" s="15">
        <f>Table11[[#This Row],[SeatsSold]]/Table11[[#This Row],[SeatsAvailable]]</f>
        <v>0.57317073170731703</v>
      </c>
      <c r="O434" s="10"/>
    </row>
    <row r="435" spans="1:15" x14ac:dyDescent="0.3">
      <c r="A435" t="s">
        <v>551</v>
      </c>
      <c r="B435" t="s">
        <v>46</v>
      </c>
      <c r="C435" t="s">
        <v>3</v>
      </c>
      <c r="D435" t="s">
        <v>15</v>
      </c>
      <c r="E435" s="16">
        <v>45916</v>
      </c>
      <c r="F435">
        <v>166</v>
      </c>
      <c r="G435" t="s">
        <v>113</v>
      </c>
      <c r="H435">
        <v>122</v>
      </c>
      <c r="I435">
        <v>120</v>
      </c>
      <c r="J435">
        <v>318240</v>
      </c>
      <c r="K435">
        <v>55516</v>
      </c>
      <c r="L435" t="e">
        <f>[1]!Table1[[#This Row],[Revenue]]-[1]!Table1[[#This Row],[OperationalCost]]</f>
        <v>#REF!</v>
      </c>
      <c r="M435" t="str">
        <f t="shared" si="6"/>
        <v>Sep</v>
      </c>
      <c r="N435" s="15">
        <f>Table11[[#This Row],[SeatsSold]]/Table11[[#This Row],[SeatsAvailable]]</f>
        <v>0.98360655737704916</v>
      </c>
      <c r="O435" s="10"/>
    </row>
    <row r="436" spans="1:15" x14ac:dyDescent="0.3">
      <c r="A436" t="s">
        <v>552</v>
      </c>
      <c r="B436" t="s">
        <v>46</v>
      </c>
      <c r="C436" t="s">
        <v>3</v>
      </c>
      <c r="D436" t="s">
        <v>15</v>
      </c>
      <c r="E436" s="16">
        <v>45934</v>
      </c>
      <c r="F436">
        <v>204</v>
      </c>
      <c r="G436" t="s">
        <v>116</v>
      </c>
      <c r="H436">
        <v>105</v>
      </c>
      <c r="I436">
        <v>93</v>
      </c>
      <c r="J436">
        <v>392274</v>
      </c>
      <c r="K436">
        <v>75990</v>
      </c>
      <c r="L436" t="e">
        <f>[1]!Table1[[#This Row],[Revenue]]-[1]!Table1[[#This Row],[OperationalCost]]</f>
        <v>#REF!</v>
      </c>
      <c r="M436" t="str">
        <f t="shared" si="6"/>
        <v>Oct</v>
      </c>
      <c r="N436" s="15">
        <f>Table11[[#This Row],[SeatsSold]]/Table11[[#This Row],[SeatsAvailable]]</f>
        <v>0.88571428571428568</v>
      </c>
      <c r="O436" s="10"/>
    </row>
    <row r="437" spans="1:15" x14ac:dyDescent="0.3">
      <c r="A437" t="s">
        <v>553</v>
      </c>
      <c r="B437" t="s">
        <v>96</v>
      </c>
      <c r="C437" t="s">
        <v>3</v>
      </c>
      <c r="D437" t="s">
        <v>21</v>
      </c>
      <c r="E437" s="16">
        <v>45774</v>
      </c>
      <c r="F437">
        <v>72</v>
      </c>
      <c r="G437" t="s">
        <v>120</v>
      </c>
      <c r="H437">
        <v>120</v>
      </c>
      <c r="I437">
        <v>117</v>
      </c>
      <c r="J437">
        <v>675324</v>
      </c>
      <c r="K437">
        <v>39024</v>
      </c>
      <c r="L437" t="e">
        <f>[1]!Table1[[#This Row],[Revenue]]-[1]!Table1[[#This Row],[OperationalCost]]</f>
        <v>#REF!</v>
      </c>
      <c r="M437" t="str">
        <f t="shared" si="6"/>
        <v>Apr</v>
      </c>
      <c r="N437" s="15">
        <f>Table11[[#This Row],[SeatsSold]]/Table11[[#This Row],[SeatsAvailable]]</f>
        <v>0.97499999999999998</v>
      </c>
      <c r="O437" s="10"/>
    </row>
    <row r="438" spans="1:15" x14ac:dyDescent="0.3">
      <c r="A438" t="s">
        <v>554</v>
      </c>
      <c r="B438" t="s">
        <v>43</v>
      </c>
      <c r="C438" t="s">
        <v>9</v>
      </c>
      <c r="D438" t="s">
        <v>17</v>
      </c>
      <c r="E438" s="16">
        <v>46378</v>
      </c>
      <c r="F438">
        <v>149</v>
      </c>
      <c r="G438" t="s">
        <v>118</v>
      </c>
      <c r="H438">
        <v>111</v>
      </c>
      <c r="I438">
        <v>45</v>
      </c>
      <c r="J438">
        <v>516600</v>
      </c>
      <c r="K438">
        <v>51566</v>
      </c>
      <c r="L438" t="e">
        <f>[1]!Table1[[#This Row],[Revenue]]-[1]!Table1[[#This Row],[OperationalCost]]</f>
        <v>#REF!</v>
      </c>
      <c r="M438" t="str">
        <f t="shared" si="6"/>
        <v>Dec</v>
      </c>
      <c r="N438" s="15">
        <f>Table11[[#This Row],[SeatsSold]]/Table11[[#This Row],[SeatsAvailable]]</f>
        <v>0.40540540540540543</v>
      </c>
      <c r="O438" s="10"/>
    </row>
    <row r="439" spans="1:15" x14ac:dyDescent="0.3">
      <c r="A439" t="s">
        <v>555</v>
      </c>
      <c r="B439" t="s">
        <v>16</v>
      </c>
      <c r="C439" t="s">
        <v>6</v>
      </c>
      <c r="D439" t="s">
        <v>21</v>
      </c>
      <c r="E439" s="16">
        <v>45898</v>
      </c>
      <c r="F439">
        <v>45</v>
      </c>
      <c r="G439" t="s">
        <v>122</v>
      </c>
      <c r="H439">
        <v>92</v>
      </c>
      <c r="I439">
        <v>47</v>
      </c>
      <c r="J439">
        <v>559582</v>
      </c>
      <c r="K439">
        <v>32047</v>
      </c>
      <c r="L439" t="e">
        <f>[1]!Table1[[#This Row],[Revenue]]-[1]!Table1[[#This Row],[OperationalCost]]</f>
        <v>#REF!</v>
      </c>
      <c r="M439" t="str">
        <f t="shared" si="6"/>
        <v>Aug</v>
      </c>
      <c r="N439" s="15">
        <f>Table11[[#This Row],[SeatsSold]]/Table11[[#This Row],[SeatsAvailable]]</f>
        <v>0.51086956521739135</v>
      </c>
      <c r="O439" s="10"/>
    </row>
    <row r="440" spans="1:15" x14ac:dyDescent="0.3">
      <c r="A440" t="s">
        <v>556</v>
      </c>
      <c r="B440" t="s">
        <v>47</v>
      </c>
      <c r="C440" t="s">
        <v>14</v>
      </c>
      <c r="D440" t="s">
        <v>3</v>
      </c>
      <c r="E440" s="16">
        <v>46181</v>
      </c>
      <c r="F440">
        <v>64</v>
      </c>
      <c r="G440" t="s">
        <v>122</v>
      </c>
      <c r="H440">
        <v>135</v>
      </c>
      <c r="I440">
        <v>122</v>
      </c>
      <c r="J440">
        <v>767014</v>
      </c>
      <c r="K440">
        <v>36029</v>
      </c>
      <c r="L440" t="e">
        <f>[1]!Table1[[#This Row],[Revenue]]-[1]!Table1[[#This Row],[OperationalCost]]</f>
        <v>#REF!</v>
      </c>
      <c r="M440" t="str">
        <f t="shared" si="6"/>
        <v>Jun</v>
      </c>
      <c r="N440" s="15">
        <f>Table11[[#This Row],[SeatsSold]]/Table11[[#This Row],[SeatsAvailable]]</f>
        <v>0.90370370370370368</v>
      </c>
      <c r="O440" s="10"/>
    </row>
    <row r="441" spans="1:15" x14ac:dyDescent="0.3">
      <c r="A441" t="s">
        <v>557</v>
      </c>
      <c r="B441" t="s">
        <v>101</v>
      </c>
      <c r="C441" t="s">
        <v>19</v>
      </c>
      <c r="D441" t="s">
        <v>11</v>
      </c>
      <c r="E441" s="16">
        <v>45709</v>
      </c>
      <c r="F441">
        <v>70</v>
      </c>
      <c r="G441" t="s">
        <v>113</v>
      </c>
      <c r="H441">
        <v>80</v>
      </c>
      <c r="I441">
        <v>58</v>
      </c>
      <c r="J441">
        <v>487258</v>
      </c>
      <c r="K441">
        <v>33310</v>
      </c>
      <c r="L441" t="e">
        <f>[1]!Table1[[#This Row],[Revenue]]-[1]!Table1[[#This Row],[OperationalCost]]</f>
        <v>#REF!</v>
      </c>
      <c r="M441" t="str">
        <f t="shared" si="6"/>
        <v>Feb</v>
      </c>
      <c r="N441" s="15">
        <f>Table11[[#This Row],[SeatsSold]]/Table11[[#This Row],[SeatsAvailable]]</f>
        <v>0.72499999999999998</v>
      </c>
      <c r="O441" s="10"/>
    </row>
    <row r="442" spans="1:15" x14ac:dyDescent="0.3">
      <c r="A442" t="s">
        <v>558</v>
      </c>
      <c r="B442" t="s">
        <v>41</v>
      </c>
      <c r="C442" t="s">
        <v>17</v>
      </c>
      <c r="D442" t="s">
        <v>3</v>
      </c>
      <c r="E442" s="16">
        <v>45755</v>
      </c>
      <c r="F442">
        <v>239</v>
      </c>
      <c r="G442" t="s">
        <v>122</v>
      </c>
      <c r="H442">
        <v>72</v>
      </c>
      <c r="I442">
        <v>48</v>
      </c>
      <c r="J442">
        <v>254064</v>
      </c>
      <c r="K442">
        <v>61068</v>
      </c>
      <c r="L442" t="e">
        <f>[1]!Table1[[#This Row],[Revenue]]-[1]!Table1[[#This Row],[OperationalCost]]</f>
        <v>#REF!</v>
      </c>
      <c r="M442" t="str">
        <f t="shared" si="6"/>
        <v>Apr</v>
      </c>
      <c r="N442" s="15">
        <f>Table11[[#This Row],[SeatsSold]]/Table11[[#This Row],[SeatsAvailable]]</f>
        <v>0.66666666666666663</v>
      </c>
      <c r="O442" s="10"/>
    </row>
    <row r="443" spans="1:15" x14ac:dyDescent="0.3">
      <c r="A443" t="s">
        <v>559</v>
      </c>
      <c r="B443" t="s">
        <v>102</v>
      </c>
      <c r="C443" t="s">
        <v>6</v>
      </c>
      <c r="D443" t="s">
        <v>19</v>
      </c>
      <c r="E443" s="16">
        <v>45753</v>
      </c>
      <c r="F443">
        <v>140</v>
      </c>
      <c r="G443" t="s">
        <v>118</v>
      </c>
      <c r="H443">
        <v>116</v>
      </c>
      <c r="I443">
        <v>54</v>
      </c>
      <c r="J443">
        <v>489564</v>
      </c>
      <c r="K443">
        <v>53816</v>
      </c>
      <c r="L443" t="e">
        <f>[1]!Table1[[#This Row],[Revenue]]-[1]!Table1[[#This Row],[OperationalCost]]</f>
        <v>#REF!</v>
      </c>
      <c r="M443" t="str">
        <f t="shared" si="6"/>
        <v>Apr</v>
      </c>
      <c r="N443" s="15">
        <f>Table11[[#This Row],[SeatsSold]]/Table11[[#This Row],[SeatsAvailable]]</f>
        <v>0.46551724137931033</v>
      </c>
      <c r="O443" s="10"/>
    </row>
    <row r="444" spans="1:15" x14ac:dyDescent="0.3">
      <c r="A444" t="s">
        <v>560</v>
      </c>
      <c r="B444" t="s">
        <v>92</v>
      </c>
      <c r="C444" t="s">
        <v>19</v>
      </c>
      <c r="D444" t="s">
        <v>6</v>
      </c>
      <c r="E444" s="16">
        <v>46364</v>
      </c>
      <c r="F444">
        <v>167</v>
      </c>
      <c r="G444" t="s">
        <v>120</v>
      </c>
      <c r="H444">
        <v>112</v>
      </c>
      <c r="I444">
        <v>54</v>
      </c>
      <c r="J444">
        <v>252234</v>
      </c>
      <c r="K444">
        <v>60406</v>
      </c>
      <c r="L444" t="e">
        <f>[1]!Table1[[#This Row],[Revenue]]-[1]!Table1[[#This Row],[OperationalCost]]</f>
        <v>#REF!</v>
      </c>
      <c r="M444" t="str">
        <f t="shared" si="6"/>
        <v>Dec</v>
      </c>
      <c r="N444" s="15">
        <f>Table11[[#This Row],[SeatsSold]]/Table11[[#This Row],[SeatsAvailable]]</f>
        <v>0.48214285714285715</v>
      </c>
      <c r="O444" s="10"/>
    </row>
    <row r="445" spans="1:15" x14ac:dyDescent="0.3">
      <c r="A445" t="s">
        <v>561</v>
      </c>
      <c r="B445" t="s">
        <v>47</v>
      </c>
      <c r="C445" t="s">
        <v>14</v>
      </c>
      <c r="D445" t="s">
        <v>3</v>
      </c>
      <c r="E445" s="16">
        <v>46084</v>
      </c>
      <c r="F445">
        <v>196</v>
      </c>
      <c r="G445" t="s">
        <v>120</v>
      </c>
      <c r="H445">
        <v>215</v>
      </c>
      <c r="I445">
        <v>213</v>
      </c>
      <c r="J445">
        <v>2061414</v>
      </c>
      <c r="K445">
        <v>83276</v>
      </c>
      <c r="L445" t="e">
        <f>[1]!Table1[[#This Row],[Revenue]]-[1]!Table1[[#This Row],[OperationalCost]]</f>
        <v>#REF!</v>
      </c>
      <c r="M445" t="str">
        <f t="shared" si="6"/>
        <v>Mar</v>
      </c>
      <c r="N445" s="15">
        <f>Table11[[#This Row],[SeatsSold]]/Table11[[#This Row],[SeatsAvailable]]</f>
        <v>0.99069767441860468</v>
      </c>
      <c r="O445" s="10"/>
    </row>
    <row r="446" spans="1:15" x14ac:dyDescent="0.3">
      <c r="A446" t="s">
        <v>562</v>
      </c>
      <c r="B446" t="s">
        <v>104</v>
      </c>
      <c r="C446" t="s">
        <v>17</v>
      </c>
      <c r="D446" t="s">
        <v>21</v>
      </c>
      <c r="E446" s="16">
        <v>46284</v>
      </c>
      <c r="F446">
        <v>52</v>
      </c>
      <c r="G446" t="s">
        <v>113</v>
      </c>
      <c r="H446">
        <v>193</v>
      </c>
      <c r="I446">
        <v>164</v>
      </c>
      <c r="J446">
        <v>713400</v>
      </c>
      <c r="K446">
        <v>48756</v>
      </c>
      <c r="L446" t="e">
        <f>[1]!Table1[[#This Row],[Revenue]]-[1]!Table1[[#This Row],[OperationalCost]]</f>
        <v>#REF!</v>
      </c>
      <c r="M446" t="str">
        <f t="shared" si="6"/>
        <v>Sep</v>
      </c>
      <c r="N446" s="15">
        <f>Table11[[#This Row],[SeatsSold]]/Table11[[#This Row],[SeatsAvailable]]</f>
        <v>0.84974093264248707</v>
      </c>
      <c r="O446" s="10"/>
    </row>
    <row r="447" spans="1:15" x14ac:dyDescent="0.3">
      <c r="A447" t="s">
        <v>563</v>
      </c>
      <c r="B447" t="s">
        <v>71</v>
      </c>
      <c r="C447" t="s">
        <v>20</v>
      </c>
      <c r="D447" t="s">
        <v>14</v>
      </c>
      <c r="E447" s="16">
        <v>45925</v>
      </c>
      <c r="F447">
        <v>212</v>
      </c>
      <c r="G447" t="s">
        <v>118</v>
      </c>
      <c r="H447">
        <v>73</v>
      </c>
      <c r="I447">
        <v>73</v>
      </c>
      <c r="J447">
        <v>872131</v>
      </c>
      <c r="K447">
        <v>65969</v>
      </c>
      <c r="L447" t="e">
        <f>[1]!Table1[[#This Row],[Revenue]]-[1]!Table1[[#This Row],[OperationalCost]]</f>
        <v>#REF!</v>
      </c>
      <c r="M447" t="str">
        <f t="shared" si="6"/>
        <v>Sep</v>
      </c>
      <c r="N447" s="15">
        <f>Table11[[#This Row],[SeatsSold]]/Table11[[#This Row],[SeatsAvailable]]</f>
        <v>1</v>
      </c>
      <c r="O447" s="10"/>
    </row>
    <row r="448" spans="1:15" x14ac:dyDescent="0.3">
      <c r="A448" t="s">
        <v>564</v>
      </c>
      <c r="B448" t="s">
        <v>33</v>
      </c>
      <c r="C448" t="s">
        <v>21</v>
      </c>
      <c r="D448" t="s">
        <v>15</v>
      </c>
      <c r="E448" s="16">
        <v>46193</v>
      </c>
      <c r="F448">
        <v>221</v>
      </c>
      <c r="G448" t="s">
        <v>116</v>
      </c>
      <c r="H448">
        <v>94</v>
      </c>
      <c r="I448">
        <v>67</v>
      </c>
      <c r="J448">
        <v>440324</v>
      </c>
      <c r="K448">
        <v>69495</v>
      </c>
      <c r="L448" t="e">
        <f>[1]!Table1[[#This Row],[Revenue]]-[1]!Table1[[#This Row],[OperationalCost]]</f>
        <v>#REF!</v>
      </c>
      <c r="M448" t="str">
        <f t="shared" si="6"/>
        <v>Jun</v>
      </c>
      <c r="N448" s="15">
        <f>Table11[[#This Row],[SeatsSold]]/Table11[[#This Row],[SeatsAvailable]]</f>
        <v>0.71276595744680848</v>
      </c>
      <c r="O448" s="10"/>
    </row>
    <row r="449" spans="1:15" x14ac:dyDescent="0.3">
      <c r="A449" t="s">
        <v>565</v>
      </c>
      <c r="B449" t="s">
        <v>10</v>
      </c>
      <c r="C449" t="s">
        <v>17</v>
      </c>
      <c r="D449" t="s">
        <v>14</v>
      </c>
      <c r="E449" s="16">
        <v>46229</v>
      </c>
      <c r="F449">
        <v>201</v>
      </c>
      <c r="G449" t="s">
        <v>122</v>
      </c>
      <c r="H449">
        <v>72</v>
      </c>
      <c r="I449">
        <v>50</v>
      </c>
      <c r="J449">
        <v>539150</v>
      </c>
      <c r="K449">
        <v>63072</v>
      </c>
      <c r="L449" t="e">
        <f>[1]!Table1[[#This Row],[Revenue]]-[1]!Table1[[#This Row],[OperationalCost]]</f>
        <v>#REF!</v>
      </c>
      <c r="M449" t="str">
        <f t="shared" ref="M449:M512" si="7">TEXT(E449,"MMM")</f>
        <v>Jul</v>
      </c>
      <c r="N449" s="15">
        <f>Table11[[#This Row],[SeatsSold]]/Table11[[#This Row],[SeatsAvailable]]</f>
        <v>0.69444444444444442</v>
      </c>
      <c r="O449" s="10"/>
    </row>
    <row r="450" spans="1:15" x14ac:dyDescent="0.3">
      <c r="A450" t="s">
        <v>566</v>
      </c>
      <c r="B450" t="s">
        <v>47</v>
      </c>
      <c r="C450" t="s">
        <v>14</v>
      </c>
      <c r="D450" t="s">
        <v>3</v>
      </c>
      <c r="E450" s="16">
        <v>46161</v>
      </c>
      <c r="F450">
        <v>127</v>
      </c>
      <c r="G450" t="s">
        <v>113</v>
      </c>
      <c r="H450">
        <v>154</v>
      </c>
      <c r="I450">
        <v>75</v>
      </c>
      <c r="J450">
        <v>249300</v>
      </c>
      <c r="K450">
        <v>52721</v>
      </c>
      <c r="L450" t="e">
        <f>[1]!Table1[[#This Row],[Revenue]]-[1]!Table1[[#This Row],[OperationalCost]]</f>
        <v>#REF!</v>
      </c>
      <c r="M450" t="str">
        <f t="shared" si="7"/>
        <v>May</v>
      </c>
      <c r="N450" s="15">
        <f>Table11[[#This Row],[SeatsSold]]/Table11[[#This Row],[SeatsAvailable]]</f>
        <v>0.48701298701298701</v>
      </c>
      <c r="O450" s="10"/>
    </row>
    <row r="451" spans="1:15" x14ac:dyDescent="0.3">
      <c r="A451" t="s">
        <v>567</v>
      </c>
      <c r="B451" t="s">
        <v>70</v>
      </c>
      <c r="C451" t="s">
        <v>11</v>
      </c>
      <c r="D451" t="s">
        <v>17</v>
      </c>
      <c r="E451" s="16">
        <v>46070</v>
      </c>
      <c r="F451">
        <v>105</v>
      </c>
      <c r="G451" t="s">
        <v>122</v>
      </c>
      <c r="H451">
        <v>187</v>
      </c>
      <c r="I451">
        <v>153</v>
      </c>
      <c r="J451">
        <v>1818864</v>
      </c>
      <c r="K451">
        <v>43644</v>
      </c>
      <c r="L451" t="e">
        <f>[1]!Table1[[#This Row],[Revenue]]-[1]!Table1[[#This Row],[OperationalCost]]</f>
        <v>#REF!</v>
      </c>
      <c r="M451" t="str">
        <f t="shared" si="7"/>
        <v>Feb</v>
      </c>
      <c r="N451" s="15">
        <f>Table11[[#This Row],[SeatsSold]]/Table11[[#This Row],[SeatsAvailable]]</f>
        <v>0.81818181818181823</v>
      </c>
      <c r="O451" s="10"/>
    </row>
    <row r="452" spans="1:15" x14ac:dyDescent="0.3">
      <c r="A452" t="s">
        <v>568</v>
      </c>
      <c r="B452" t="s">
        <v>36</v>
      </c>
      <c r="C452" t="s">
        <v>6</v>
      </c>
      <c r="D452" t="s">
        <v>11</v>
      </c>
      <c r="E452" s="16">
        <v>45981</v>
      </c>
      <c r="F452">
        <v>75</v>
      </c>
      <c r="G452" t="s">
        <v>120</v>
      </c>
      <c r="H452">
        <v>74</v>
      </c>
      <c r="I452">
        <v>46</v>
      </c>
      <c r="J452">
        <v>419014</v>
      </c>
      <c r="K452">
        <v>23461</v>
      </c>
      <c r="L452" t="e">
        <f>[1]!Table1[[#This Row],[Revenue]]-[1]!Table1[[#This Row],[OperationalCost]]</f>
        <v>#REF!</v>
      </c>
      <c r="M452" t="str">
        <f t="shared" si="7"/>
        <v>Nov</v>
      </c>
      <c r="N452" s="15">
        <f>Table11[[#This Row],[SeatsSold]]/Table11[[#This Row],[SeatsAvailable]]</f>
        <v>0.6216216216216216</v>
      </c>
      <c r="O452" s="10"/>
    </row>
    <row r="453" spans="1:15" x14ac:dyDescent="0.3">
      <c r="A453" t="s">
        <v>569</v>
      </c>
      <c r="B453" t="s">
        <v>38</v>
      </c>
      <c r="C453" t="s">
        <v>11</v>
      </c>
      <c r="D453" t="s">
        <v>15</v>
      </c>
      <c r="E453" s="16">
        <v>45658</v>
      </c>
      <c r="F453">
        <v>68</v>
      </c>
      <c r="G453" t="s">
        <v>116</v>
      </c>
      <c r="H453">
        <v>147</v>
      </c>
      <c r="I453">
        <v>105</v>
      </c>
      <c r="J453">
        <v>1229865</v>
      </c>
      <c r="K453">
        <v>48005</v>
      </c>
      <c r="L453" t="e">
        <f>[1]!Table1[[#This Row],[Revenue]]-[1]!Table1[[#This Row],[OperationalCost]]</f>
        <v>#REF!</v>
      </c>
      <c r="M453" t="str">
        <f t="shared" si="7"/>
        <v>Jan</v>
      </c>
      <c r="N453" s="15">
        <f>Table11[[#This Row],[SeatsSold]]/Table11[[#This Row],[SeatsAvailable]]</f>
        <v>0.7142857142857143</v>
      </c>
      <c r="O453" s="10"/>
    </row>
    <row r="454" spans="1:15" x14ac:dyDescent="0.3">
      <c r="A454" t="s">
        <v>570</v>
      </c>
      <c r="B454" t="s">
        <v>16</v>
      </c>
      <c r="C454" t="s">
        <v>6</v>
      </c>
      <c r="D454" t="s">
        <v>21</v>
      </c>
      <c r="E454" s="16">
        <v>46030</v>
      </c>
      <c r="F454">
        <v>58</v>
      </c>
      <c r="G454" t="s">
        <v>113</v>
      </c>
      <c r="H454">
        <v>186</v>
      </c>
      <c r="I454">
        <v>124</v>
      </c>
      <c r="J454">
        <v>1447948</v>
      </c>
      <c r="K454">
        <v>59462</v>
      </c>
      <c r="L454" t="e">
        <f>[1]!Table1[[#This Row],[Revenue]]-[1]!Table1[[#This Row],[OperationalCost]]</f>
        <v>#REF!</v>
      </c>
      <c r="M454" t="str">
        <f t="shared" si="7"/>
        <v>Jan</v>
      </c>
      <c r="N454" s="15">
        <f>Table11[[#This Row],[SeatsSold]]/Table11[[#This Row],[SeatsAvailable]]</f>
        <v>0.66666666666666663</v>
      </c>
      <c r="O454" s="10"/>
    </row>
    <row r="455" spans="1:15" x14ac:dyDescent="0.3">
      <c r="A455" t="s">
        <v>571</v>
      </c>
      <c r="B455" t="s">
        <v>16</v>
      </c>
      <c r="C455" t="s">
        <v>6</v>
      </c>
      <c r="D455" t="s">
        <v>21</v>
      </c>
      <c r="E455" s="16">
        <v>46121</v>
      </c>
      <c r="F455">
        <v>74</v>
      </c>
      <c r="G455" t="s">
        <v>122</v>
      </c>
      <c r="H455">
        <v>126</v>
      </c>
      <c r="I455">
        <v>40</v>
      </c>
      <c r="J455">
        <v>323680</v>
      </c>
      <c r="K455">
        <v>46032</v>
      </c>
      <c r="L455" t="e">
        <f>[1]!Table1[[#This Row],[Revenue]]-[1]!Table1[[#This Row],[OperationalCost]]</f>
        <v>#REF!</v>
      </c>
      <c r="M455" t="str">
        <f t="shared" si="7"/>
        <v>Apr</v>
      </c>
      <c r="N455" s="15">
        <f>Table11[[#This Row],[SeatsSold]]/Table11[[#This Row],[SeatsAvailable]]</f>
        <v>0.31746031746031744</v>
      </c>
      <c r="O455" s="10"/>
    </row>
    <row r="456" spans="1:15" x14ac:dyDescent="0.3">
      <c r="A456" t="s">
        <v>572</v>
      </c>
      <c r="B456" t="s">
        <v>94</v>
      </c>
      <c r="C456" t="s">
        <v>19</v>
      </c>
      <c r="D456" t="s">
        <v>15</v>
      </c>
      <c r="E456" s="16">
        <v>46192</v>
      </c>
      <c r="F456">
        <v>140</v>
      </c>
      <c r="G456" t="s">
        <v>122</v>
      </c>
      <c r="H456">
        <v>81</v>
      </c>
      <c r="I456">
        <v>50</v>
      </c>
      <c r="J456">
        <v>528350</v>
      </c>
      <c r="K456">
        <v>36604</v>
      </c>
      <c r="L456" t="e">
        <f>[1]!Table1[[#This Row],[Revenue]]-[1]!Table1[[#This Row],[OperationalCost]]</f>
        <v>#REF!</v>
      </c>
      <c r="M456" t="str">
        <f t="shared" si="7"/>
        <v>Jun</v>
      </c>
      <c r="N456" s="15">
        <f>Table11[[#This Row],[SeatsSold]]/Table11[[#This Row],[SeatsAvailable]]</f>
        <v>0.61728395061728392</v>
      </c>
      <c r="O456" s="10"/>
    </row>
    <row r="457" spans="1:15" x14ac:dyDescent="0.3">
      <c r="A457" t="s">
        <v>573</v>
      </c>
      <c r="B457" t="s">
        <v>96</v>
      </c>
      <c r="C457" t="s">
        <v>3</v>
      </c>
      <c r="D457" t="s">
        <v>21</v>
      </c>
      <c r="E457" s="16">
        <v>46283</v>
      </c>
      <c r="F457">
        <v>95</v>
      </c>
      <c r="G457" t="s">
        <v>113</v>
      </c>
      <c r="H457">
        <v>100</v>
      </c>
      <c r="I457">
        <v>99</v>
      </c>
      <c r="J457">
        <v>884763</v>
      </c>
      <c r="K457">
        <v>36325</v>
      </c>
      <c r="L457" t="e">
        <f>[1]!Table1[[#This Row],[Revenue]]-[1]!Table1[[#This Row],[OperationalCost]]</f>
        <v>#REF!</v>
      </c>
      <c r="M457" t="str">
        <f t="shared" si="7"/>
        <v>Sep</v>
      </c>
      <c r="N457" s="15">
        <f>Table11[[#This Row],[SeatsSold]]/Table11[[#This Row],[SeatsAvailable]]</f>
        <v>0.99</v>
      </c>
      <c r="O457" s="10"/>
    </row>
    <row r="458" spans="1:15" x14ac:dyDescent="0.3">
      <c r="A458" t="s">
        <v>574</v>
      </c>
      <c r="B458" t="s">
        <v>43</v>
      </c>
      <c r="C458" t="s">
        <v>9</v>
      </c>
      <c r="D458" t="s">
        <v>17</v>
      </c>
      <c r="E458" s="16">
        <v>45768</v>
      </c>
      <c r="F458">
        <v>238</v>
      </c>
      <c r="G458" t="s">
        <v>120</v>
      </c>
      <c r="H458">
        <v>81</v>
      </c>
      <c r="I458">
        <v>80</v>
      </c>
      <c r="J458">
        <v>361440</v>
      </c>
      <c r="K458">
        <v>71887</v>
      </c>
      <c r="L458" t="e">
        <f>[1]!Table1[[#This Row],[Revenue]]-[1]!Table1[[#This Row],[OperationalCost]]</f>
        <v>#REF!</v>
      </c>
      <c r="M458" t="str">
        <f t="shared" si="7"/>
        <v>Apr</v>
      </c>
      <c r="N458" s="15">
        <f>Table11[[#This Row],[SeatsSold]]/Table11[[#This Row],[SeatsAvailable]]</f>
        <v>0.98765432098765427</v>
      </c>
      <c r="O458" s="10"/>
    </row>
    <row r="459" spans="1:15" x14ac:dyDescent="0.3">
      <c r="A459" t="s">
        <v>575</v>
      </c>
      <c r="B459" t="s">
        <v>110</v>
      </c>
      <c r="C459" t="s">
        <v>15</v>
      </c>
      <c r="D459" t="s">
        <v>11</v>
      </c>
      <c r="E459" s="16">
        <v>45795</v>
      </c>
      <c r="F459">
        <v>172</v>
      </c>
      <c r="G459" t="s">
        <v>122</v>
      </c>
      <c r="H459">
        <v>205</v>
      </c>
      <c r="I459">
        <v>52</v>
      </c>
      <c r="J459">
        <v>601328</v>
      </c>
      <c r="K459">
        <v>86505</v>
      </c>
      <c r="L459" t="e">
        <f>[1]!Table1[[#This Row],[Revenue]]-[1]!Table1[[#This Row],[OperationalCost]]</f>
        <v>#REF!</v>
      </c>
      <c r="M459" t="str">
        <f t="shared" si="7"/>
        <v>May</v>
      </c>
      <c r="N459" s="15">
        <f>Table11[[#This Row],[SeatsSold]]/Table11[[#This Row],[SeatsAvailable]]</f>
        <v>0.25365853658536586</v>
      </c>
      <c r="O459" s="10"/>
    </row>
    <row r="460" spans="1:15" x14ac:dyDescent="0.3">
      <c r="A460" t="s">
        <v>576</v>
      </c>
      <c r="B460" t="s">
        <v>97</v>
      </c>
      <c r="C460" t="s">
        <v>6</v>
      </c>
      <c r="D460" t="s">
        <v>15</v>
      </c>
      <c r="E460" s="16">
        <v>45839</v>
      </c>
      <c r="F460">
        <v>222</v>
      </c>
      <c r="G460" t="s">
        <v>116</v>
      </c>
      <c r="H460">
        <v>114</v>
      </c>
      <c r="I460">
        <v>56</v>
      </c>
      <c r="J460">
        <v>234976</v>
      </c>
      <c r="K460">
        <v>76890</v>
      </c>
      <c r="L460" t="e">
        <f>[1]!Table1[[#This Row],[Revenue]]-[1]!Table1[[#This Row],[OperationalCost]]</f>
        <v>#REF!</v>
      </c>
      <c r="M460" t="str">
        <f t="shared" si="7"/>
        <v>Jul</v>
      </c>
      <c r="N460" s="15">
        <f>Table11[[#This Row],[SeatsSold]]/Table11[[#This Row],[SeatsAvailable]]</f>
        <v>0.49122807017543857</v>
      </c>
      <c r="O460" s="10"/>
    </row>
    <row r="461" spans="1:15" x14ac:dyDescent="0.3">
      <c r="A461" t="s">
        <v>577</v>
      </c>
      <c r="B461" t="s">
        <v>45</v>
      </c>
      <c r="C461" t="s">
        <v>15</v>
      </c>
      <c r="D461" t="s">
        <v>21</v>
      </c>
      <c r="E461" s="16">
        <v>46174</v>
      </c>
      <c r="F461">
        <v>143</v>
      </c>
      <c r="G461" t="s">
        <v>120</v>
      </c>
      <c r="H461">
        <v>133</v>
      </c>
      <c r="I461">
        <v>75</v>
      </c>
      <c r="J461">
        <v>676350</v>
      </c>
      <c r="K461">
        <v>50216</v>
      </c>
      <c r="L461" t="e">
        <f>[1]!Table1[[#This Row],[Revenue]]-[1]!Table1[[#This Row],[OperationalCost]]</f>
        <v>#REF!</v>
      </c>
      <c r="M461" t="str">
        <f t="shared" si="7"/>
        <v>Jun</v>
      </c>
      <c r="N461" s="15">
        <f>Table11[[#This Row],[SeatsSold]]/Table11[[#This Row],[SeatsAvailable]]</f>
        <v>0.56390977443609025</v>
      </c>
      <c r="O461" s="10"/>
    </row>
    <row r="462" spans="1:15" x14ac:dyDescent="0.3">
      <c r="A462" t="s">
        <v>578</v>
      </c>
      <c r="B462" t="s">
        <v>18</v>
      </c>
      <c r="C462" t="s">
        <v>6</v>
      </c>
      <c r="D462" t="s">
        <v>14</v>
      </c>
      <c r="E462" s="16">
        <v>45799</v>
      </c>
      <c r="F462">
        <v>150</v>
      </c>
      <c r="G462" t="s">
        <v>116</v>
      </c>
      <c r="H462">
        <v>201</v>
      </c>
      <c r="I462">
        <v>116</v>
      </c>
      <c r="J462">
        <v>1331100</v>
      </c>
      <c r="K462">
        <v>74421</v>
      </c>
      <c r="L462" t="e">
        <f>[1]!Table1[[#This Row],[Revenue]]-[1]!Table1[[#This Row],[OperationalCost]]</f>
        <v>#REF!</v>
      </c>
      <c r="M462" t="str">
        <f t="shared" si="7"/>
        <v>May</v>
      </c>
      <c r="N462" s="15">
        <f>Table11[[#This Row],[SeatsSold]]/Table11[[#This Row],[SeatsAvailable]]</f>
        <v>0.57711442786069655</v>
      </c>
      <c r="O462" s="10"/>
    </row>
    <row r="463" spans="1:15" x14ac:dyDescent="0.3">
      <c r="A463" t="s">
        <v>579</v>
      </c>
      <c r="B463" t="s">
        <v>58</v>
      </c>
      <c r="C463" t="s">
        <v>9</v>
      </c>
      <c r="D463" t="s">
        <v>19</v>
      </c>
      <c r="E463" s="16">
        <v>45872</v>
      </c>
      <c r="F463">
        <v>204</v>
      </c>
      <c r="G463" t="s">
        <v>118</v>
      </c>
      <c r="H463">
        <v>158</v>
      </c>
      <c r="I463">
        <v>157</v>
      </c>
      <c r="J463">
        <v>733661</v>
      </c>
      <c r="K463">
        <v>78094</v>
      </c>
      <c r="L463" t="e">
        <f>[1]!Table1[[#This Row],[Revenue]]-[1]!Table1[[#This Row],[OperationalCost]]</f>
        <v>#REF!</v>
      </c>
      <c r="M463" t="str">
        <f t="shared" si="7"/>
        <v>Aug</v>
      </c>
      <c r="N463" s="15">
        <f>Table11[[#This Row],[SeatsSold]]/Table11[[#This Row],[SeatsAvailable]]</f>
        <v>0.99367088607594933</v>
      </c>
      <c r="O463" s="10"/>
    </row>
    <row r="464" spans="1:15" x14ac:dyDescent="0.3">
      <c r="A464" t="s">
        <v>580</v>
      </c>
      <c r="B464" t="s">
        <v>38</v>
      </c>
      <c r="C464" t="s">
        <v>11</v>
      </c>
      <c r="D464" t="s">
        <v>15</v>
      </c>
      <c r="E464" s="16">
        <v>46368</v>
      </c>
      <c r="F464">
        <v>208</v>
      </c>
      <c r="G464" t="s">
        <v>118</v>
      </c>
      <c r="H464">
        <v>99</v>
      </c>
      <c r="I464">
        <v>88</v>
      </c>
      <c r="J464">
        <v>727848</v>
      </c>
      <c r="K464">
        <v>74702</v>
      </c>
      <c r="L464" t="e">
        <f>[1]!Table1[[#This Row],[Revenue]]-[1]!Table1[[#This Row],[OperationalCost]]</f>
        <v>#REF!</v>
      </c>
      <c r="M464" t="str">
        <f t="shared" si="7"/>
        <v>Dec</v>
      </c>
      <c r="N464" s="15">
        <f>Table11[[#This Row],[SeatsSold]]/Table11[[#This Row],[SeatsAvailable]]</f>
        <v>0.88888888888888884</v>
      </c>
      <c r="O464" s="10"/>
    </row>
    <row r="465" spans="1:15" x14ac:dyDescent="0.3">
      <c r="A465" t="s">
        <v>581</v>
      </c>
      <c r="B465" t="s">
        <v>108</v>
      </c>
      <c r="C465" t="s">
        <v>15</v>
      </c>
      <c r="D465" t="s">
        <v>17</v>
      </c>
      <c r="E465" s="16">
        <v>46348</v>
      </c>
      <c r="F465">
        <v>236</v>
      </c>
      <c r="G465" t="s">
        <v>116</v>
      </c>
      <c r="H465">
        <v>143</v>
      </c>
      <c r="I465">
        <v>94</v>
      </c>
      <c r="J465">
        <v>254646</v>
      </c>
      <c r="K465">
        <v>75009</v>
      </c>
      <c r="L465" t="e">
        <f>[1]!Table1[[#This Row],[Revenue]]-[1]!Table1[[#This Row],[OperationalCost]]</f>
        <v>#REF!</v>
      </c>
      <c r="M465" t="str">
        <f t="shared" si="7"/>
        <v>Nov</v>
      </c>
      <c r="N465" s="15">
        <f>Table11[[#This Row],[SeatsSold]]/Table11[[#This Row],[SeatsAvailable]]</f>
        <v>0.65734265734265729</v>
      </c>
      <c r="O465" s="10"/>
    </row>
    <row r="466" spans="1:15" x14ac:dyDescent="0.3">
      <c r="A466" t="s">
        <v>582</v>
      </c>
      <c r="B466" t="s">
        <v>85</v>
      </c>
      <c r="C466" t="s">
        <v>20</v>
      </c>
      <c r="D466" t="s">
        <v>6</v>
      </c>
      <c r="E466" s="16">
        <v>45806</v>
      </c>
      <c r="F466">
        <v>58</v>
      </c>
      <c r="G466" t="s">
        <v>122</v>
      </c>
      <c r="H466">
        <v>121</v>
      </c>
      <c r="I466">
        <v>74</v>
      </c>
      <c r="J466">
        <v>380064</v>
      </c>
      <c r="K466">
        <v>28618</v>
      </c>
      <c r="L466" t="e">
        <f>[1]!Table1[[#This Row],[Revenue]]-[1]!Table1[[#This Row],[OperationalCost]]</f>
        <v>#REF!</v>
      </c>
      <c r="M466" t="str">
        <f t="shared" si="7"/>
        <v>May</v>
      </c>
      <c r="N466" s="15">
        <f>Table11[[#This Row],[SeatsSold]]/Table11[[#This Row],[SeatsAvailable]]</f>
        <v>0.61157024793388426</v>
      </c>
      <c r="O466" s="10"/>
    </row>
    <row r="467" spans="1:15" x14ac:dyDescent="0.3">
      <c r="A467" t="s">
        <v>583</v>
      </c>
      <c r="B467" t="s">
        <v>39</v>
      </c>
      <c r="C467" t="s">
        <v>14</v>
      </c>
      <c r="D467" t="s">
        <v>20</v>
      </c>
      <c r="E467" s="16">
        <v>46365</v>
      </c>
      <c r="F467">
        <v>120</v>
      </c>
      <c r="G467" t="s">
        <v>113</v>
      </c>
      <c r="H467">
        <v>208</v>
      </c>
      <c r="I467">
        <v>48</v>
      </c>
      <c r="J467">
        <v>402048</v>
      </c>
      <c r="K467">
        <v>50248</v>
      </c>
      <c r="L467" t="e">
        <f>[1]!Table1[[#This Row],[Revenue]]-[1]!Table1[[#This Row],[OperationalCost]]</f>
        <v>#REF!</v>
      </c>
      <c r="M467" t="str">
        <f t="shared" si="7"/>
        <v>Dec</v>
      </c>
      <c r="N467" s="15">
        <f>Table11[[#This Row],[SeatsSold]]/Table11[[#This Row],[SeatsAvailable]]</f>
        <v>0.23076923076923078</v>
      </c>
      <c r="O467" s="10"/>
    </row>
    <row r="468" spans="1:15" x14ac:dyDescent="0.3">
      <c r="A468" t="s">
        <v>584</v>
      </c>
      <c r="B468" t="s">
        <v>110</v>
      </c>
      <c r="C468" t="s">
        <v>15</v>
      </c>
      <c r="D468" t="s">
        <v>11</v>
      </c>
      <c r="E468" s="16">
        <v>45887</v>
      </c>
      <c r="F468">
        <v>235</v>
      </c>
      <c r="G468" t="s">
        <v>116</v>
      </c>
      <c r="H468">
        <v>169</v>
      </c>
      <c r="I468">
        <v>100</v>
      </c>
      <c r="J468">
        <v>1087000</v>
      </c>
      <c r="K468">
        <v>95887</v>
      </c>
      <c r="L468" t="e">
        <f>[1]!Table1[[#This Row],[Revenue]]-[1]!Table1[[#This Row],[OperationalCost]]</f>
        <v>#REF!</v>
      </c>
      <c r="M468" t="str">
        <f t="shared" si="7"/>
        <v>Aug</v>
      </c>
      <c r="N468" s="15">
        <f>Table11[[#This Row],[SeatsSold]]/Table11[[#This Row],[SeatsAvailable]]</f>
        <v>0.59171597633136097</v>
      </c>
      <c r="O468" s="10"/>
    </row>
    <row r="469" spans="1:15" x14ac:dyDescent="0.3">
      <c r="A469" t="s">
        <v>585</v>
      </c>
      <c r="B469" t="s">
        <v>85</v>
      </c>
      <c r="C469" t="s">
        <v>20</v>
      </c>
      <c r="D469" t="s">
        <v>6</v>
      </c>
      <c r="E469" s="16">
        <v>46054</v>
      </c>
      <c r="F469">
        <v>151</v>
      </c>
      <c r="G469" t="s">
        <v>118</v>
      </c>
      <c r="H469">
        <v>211</v>
      </c>
      <c r="I469">
        <v>53</v>
      </c>
      <c r="J469">
        <v>143736</v>
      </c>
      <c r="K469">
        <v>55425</v>
      </c>
      <c r="L469" t="e">
        <f>[1]!Table1[[#This Row],[Revenue]]-[1]!Table1[[#This Row],[OperationalCost]]</f>
        <v>#REF!</v>
      </c>
      <c r="M469" t="str">
        <f t="shared" si="7"/>
        <v>Feb</v>
      </c>
      <c r="N469" s="15">
        <f>Table11[[#This Row],[SeatsSold]]/Table11[[#This Row],[SeatsAvailable]]</f>
        <v>0.25118483412322273</v>
      </c>
      <c r="O469" s="10"/>
    </row>
    <row r="470" spans="1:15" x14ac:dyDescent="0.3">
      <c r="A470" t="s">
        <v>586</v>
      </c>
      <c r="B470" t="s">
        <v>90</v>
      </c>
      <c r="C470" t="s">
        <v>15</v>
      </c>
      <c r="D470" t="s">
        <v>6</v>
      </c>
      <c r="E470" s="16">
        <v>45888</v>
      </c>
      <c r="F470">
        <v>207</v>
      </c>
      <c r="G470" t="s">
        <v>118</v>
      </c>
      <c r="H470">
        <v>220</v>
      </c>
      <c r="I470">
        <v>179</v>
      </c>
      <c r="J470">
        <v>1023522</v>
      </c>
      <c r="K470">
        <v>69083</v>
      </c>
      <c r="L470" t="e">
        <f>[1]!Table1[[#This Row],[Revenue]]-[1]!Table1[[#This Row],[OperationalCost]]</f>
        <v>#REF!</v>
      </c>
      <c r="M470" t="str">
        <f t="shared" si="7"/>
        <v>Aug</v>
      </c>
      <c r="N470" s="15">
        <f>Table11[[#This Row],[SeatsSold]]/Table11[[#This Row],[SeatsAvailable]]</f>
        <v>0.8136363636363636</v>
      </c>
      <c r="O470" s="10"/>
    </row>
    <row r="471" spans="1:15" x14ac:dyDescent="0.3">
      <c r="A471" t="s">
        <v>587</v>
      </c>
      <c r="B471" t="s">
        <v>18</v>
      </c>
      <c r="C471" t="s">
        <v>6</v>
      </c>
      <c r="D471" t="s">
        <v>14</v>
      </c>
      <c r="E471" s="16">
        <v>46357</v>
      </c>
      <c r="F471">
        <v>64</v>
      </c>
      <c r="G471" t="s">
        <v>113</v>
      </c>
      <c r="H471">
        <v>114</v>
      </c>
      <c r="I471">
        <v>105</v>
      </c>
      <c r="J471">
        <v>467775</v>
      </c>
      <c r="K471">
        <v>24084</v>
      </c>
      <c r="L471" t="e">
        <f>[1]!Table1[[#This Row],[Revenue]]-[1]!Table1[[#This Row],[OperationalCost]]</f>
        <v>#REF!</v>
      </c>
      <c r="M471" t="str">
        <f t="shared" si="7"/>
        <v>Dec</v>
      </c>
      <c r="N471" s="15">
        <f>Table11[[#This Row],[SeatsSold]]/Table11[[#This Row],[SeatsAvailable]]</f>
        <v>0.92105263157894735</v>
      </c>
      <c r="O471" s="10"/>
    </row>
    <row r="472" spans="1:15" x14ac:dyDescent="0.3">
      <c r="A472" t="s">
        <v>588</v>
      </c>
      <c r="B472" t="s">
        <v>107</v>
      </c>
      <c r="C472" t="s">
        <v>17</v>
      </c>
      <c r="D472" t="s">
        <v>19</v>
      </c>
      <c r="E472" s="16">
        <v>46227</v>
      </c>
      <c r="F472">
        <v>112</v>
      </c>
      <c r="G472" t="s">
        <v>113</v>
      </c>
      <c r="H472">
        <v>111</v>
      </c>
      <c r="I472">
        <v>72</v>
      </c>
      <c r="J472">
        <v>186624</v>
      </c>
      <c r="K472">
        <v>44937</v>
      </c>
      <c r="L472" t="e">
        <f>[1]!Table1[[#This Row],[Revenue]]-[1]!Table1[[#This Row],[OperationalCost]]</f>
        <v>#REF!</v>
      </c>
      <c r="M472" t="str">
        <f t="shared" si="7"/>
        <v>Jul</v>
      </c>
      <c r="N472" s="15">
        <f>Table11[[#This Row],[SeatsSold]]/Table11[[#This Row],[SeatsAvailable]]</f>
        <v>0.64864864864864868</v>
      </c>
      <c r="O472" s="10"/>
    </row>
    <row r="473" spans="1:15" x14ac:dyDescent="0.3">
      <c r="A473" t="s">
        <v>589</v>
      </c>
      <c r="B473" t="s">
        <v>39</v>
      </c>
      <c r="C473" t="s">
        <v>14</v>
      </c>
      <c r="D473" t="s">
        <v>20</v>
      </c>
      <c r="E473" s="16">
        <v>45815</v>
      </c>
      <c r="F473">
        <v>127</v>
      </c>
      <c r="G473" t="s">
        <v>116</v>
      </c>
      <c r="H473">
        <v>83</v>
      </c>
      <c r="I473">
        <v>80</v>
      </c>
      <c r="J473">
        <v>594720</v>
      </c>
      <c r="K473">
        <v>49873</v>
      </c>
      <c r="L473" t="e">
        <f>[1]!Table1[[#This Row],[Revenue]]-[1]!Table1[[#This Row],[OperationalCost]]</f>
        <v>#REF!</v>
      </c>
      <c r="M473" t="str">
        <f t="shared" si="7"/>
        <v>Jun</v>
      </c>
      <c r="N473" s="15">
        <f>Table11[[#This Row],[SeatsSold]]/Table11[[#This Row],[SeatsAvailable]]</f>
        <v>0.96385542168674698</v>
      </c>
      <c r="O473" s="10"/>
    </row>
    <row r="474" spans="1:15" x14ac:dyDescent="0.3">
      <c r="A474" t="s">
        <v>590</v>
      </c>
      <c r="B474" t="s">
        <v>13</v>
      </c>
      <c r="C474" t="s">
        <v>11</v>
      </c>
      <c r="D474" t="s">
        <v>21</v>
      </c>
      <c r="E474" s="16">
        <v>45732</v>
      </c>
      <c r="F474">
        <v>226</v>
      </c>
      <c r="G474" t="s">
        <v>118</v>
      </c>
      <c r="H474">
        <v>204</v>
      </c>
      <c r="I474">
        <v>96</v>
      </c>
      <c r="J474">
        <v>529152</v>
      </c>
      <c r="K474">
        <v>76966</v>
      </c>
      <c r="L474" t="e">
        <f>[1]!Table1[[#This Row],[Revenue]]-[1]!Table1[[#This Row],[OperationalCost]]</f>
        <v>#REF!</v>
      </c>
      <c r="M474" t="str">
        <f t="shared" si="7"/>
        <v>Mar</v>
      </c>
      <c r="N474" s="15">
        <f>Table11[[#This Row],[SeatsSold]]/Table11[[#This Row],[SeatsAvailable]]</f>
        <v>0.47058823529411764</v>
      </c>
      <c r="O474" s="10"/>
    </row>
    <row r="475" spans="1:15" x14ac:dyDescent="0.3">
      <c r="A475" t="s">
        <v>591</v>
      </c>
      <c r="B475" t="s">
        <v>57</v>
      </c>
      <c r="C475" t="s">
        <v>11</v>
      </c>
      <c r="D475" t="s">
        <v>14</v>
      </c>
      <c r="E475" s="16">
        <v>46083</v>
      </c>
      <c r="F475">
        <v>184</v>
      </c>
      <c r="G475" t="s">
        <v>116</v>
      </c>
      <c r="H475">
        <v>173</v>
      </c>
      <c r="I475">
        <v>63</v>
      </c>
      <c r="J475">
        <v>518112</v>
      </c>
      <c r="K475">
        <v>55566</v>
      </c>
      <c r="L475" t="e">
        <f>[1]!Table1[[#This Row],[Revenue]]-[1]!Table1[[#This Row],[OperationalCost]]</f>
        <v>#REF!</v>
      </c>
      <c r="M475" t="str">
        <f t="shared" si="7"/>
        <v>Mar</v>
      </c>
      <c r="N475" s="15">
        <f>Table11[[#This Row],[SeatsSold]]/Table11[[#This Row],[SeatsAvailable]]</f>
        <v>0.36416184971098264</v>
      </c>
      <c r="O475" s="10"/>
    </row>
    <row r="476" spans="1:15" x14ac:dyDescent="0.3">
      <c r="A476" t="s">
        <v>592</v>
      </c>
      <c r="B476" t="s">
        <v>52</v>
      </c>
      <c r="C476" t="s">
        <v>21</v>
      </c>
      <c r="D476" t="s">
        <v>17</v>
      </c>
      <c r="E476" s="16">
        <v>46027</v>
      </c>
      <c r="F476">
        <v>120</v>
      </c>
      <c r="G476" t="s">
        <v>113</v>
      </c>
      <c r="H476">
        <v>205</v>
      </c>
      <c r="I476">
        <v>161</v>
      </c>
      <c r="J476">
        <v>1883056</v>
      </c>
      <c r="K476">
        <v>51130</v>
      </c>
      <c r="L476" t="e">
        <f>[1]!Table1[[#This Row],[Revenue]]-[1]!Table1[[#This Row],[OperationalCost]]</f>
        <v>#REF!</v>
      </c>
      <c r="M476" t="str">
        <f t="shared" si="7"/>
        <v>Jan</v>
      </c>
      <c r="N476" s="15">
        <f>Table11[[#This Row],[SeatsSold]]/Table11[[#This Row],[SeatsAvailable]]</f>
        <v>0.78536585365853662</v>
      </c>
      <c r="O476" s="10"/>
    </row>
    <row r="477" spans="1:15" x14ac:dyDescent="0.3">
      <c r="A477" t="s">
        <v>593</v>
      </c>
      <c r="B477" t="s">
        <v>56</v>
      </c>
      <c r="C477" t="s">
        <v>3</v>
      </c>
      <c r="D477" t="s">
        <v>17</v>
      </c>
      <c r="E477" s="16">
        <v>46114</v>
      </c>
      <c r="F477">
        <v>106</v>
      </c>
      <c r="G477" t="s">
        <v>116</v>
      </c>
      <c r="H477">
        <v>132</v>
      </c>
      <c r="I477">
        <v>45</v>
      </c>
      <c r="J477">
        <v>349110</v>
      </c>
      <c r="K477">
        <v>37390</v>
      </c>
      <c r="L477" t="e">
        <f>[1]!Table1[[#This Row],[Revenue]]-[1]!Table1[[#This Row],[OperationalCost]]</f>
        <v>#REF!</v>
      </c>
      <c r="M477" t="str">
        <f t="shared" si="7"/>
        <v>Apr</v>
      </c>
      <c r="N477" s="15">
        <f>Table11[[#This Row],[SeatsSold]]/Table11[[#This Row],[SeatsAvailable]]</f>
        <v>0.34090909090909088</v>
      </c>
      <c r="O477" s="10"/>
    </row>
    <row r="478" spans="1:15" x14ac:dyDescent="0.3">
      <c r="A478" t="s">
        <v>594</v>
      </c>
      <c r="B478" t="s">
        <v>107</v>
      </c>
      <c r="C478" t="s">
        <v>17</v>
      </c>
      <c r="D478" t="s">
        <v>19</v>
      </c>
      <c r="E478" s="16">
        <v>46211</v>
      </c>
      <c r="F478">
        <v>230</v>
      </c>
      <c r="G478" t="s">
        <v>118</v>
      </c>
      <c r="H478">
        <v>76</v>
      </c>
      <c r="I478">
        <v>73</v>
      </c>
      <c r="J478">
        <v>630939</v>
      </c>
      <c r="K478">
        <v>73690</v>
      </c>
      <c r="L478" t="e">
        <f>[1]!Table1[[#This Row],[Revenue]]-[1]!Table1[[#This Row],[OperationalCost]]</f>
        <v>#REF!</v>
      </c>
      <c r="M478" t="str">
        <f t="shared" si="7"/>
        <v>Jul</v>
      </c>
      <c r="N478" s="15">
        <f>Table11[[#This Row],[SeatsSold]]/Table11[[#This Row],[SeatsAvailable]]</f>
        <v>0.96052631578947367</v>
      </c>
      <c r="O478" s="10"/>
    </row>
    <row r="479" spans="1:15" x14ac:dyDescent="0.3">
      <c r="A479" t="s">
        <v>595</v>
      </c>
      <c r="B479" t="s">
        <v>36</v>
      </c>
      <c r="C479" t="s">
        <v>6</v>
      </c>
      <c r="D479" t="s">
        <v>11</v>
      </c>
      <c r="E479" s="16">
        <v>45702</v>
      </c>
      <c r="F479">
        <v>120</v>
      </c>
      <c r="G479" t="s">
        <v>113</v>
      </c>
      <c r="H479">
        <v>152</v>
      </c>
      <c r="I479">
        <v>105</v>
      </c>
      <c r="J479">
        <v>404145</v>
      </c>
      <c r="K479">
        <v>35824</v>
      </c>
      <c r="L479" t="e">
        <f>[1]!Table1[[#This Row],[Revenue]]-[1]!Table1[[#This Row],[OperationalCost]]</f>
        <v>#REF!</v>
      </c>
      <c r="M479" t="str">
        <f t="shared" si="7"/>
        <v>Feb</v>
      </c>
      <c r="N479" s="15">
        <f>Table11[[#This Row],[SeatsSold]]/Table11[[#This Row],[SeatsAvailable]]</f>
        <v>0.69078947368421051</v>
      </c>
      <c r="O479" s="10"/>
    </row>
    <row r="480" spans="1:15" x14ac:dyDescent="0.3">
      <c r="A480" t="s">
        <v>596</v>
      </c>
      <c r="B480" t="s">
        <v>38</v>
      </c>
      <c r="C480" t="s">
        <v>11</v>
      </c>
      <c r="D480" t="s">
        <v>15</v>
      </c>
      <c r="E480" s="16">
        <v>45665</v>
      </c>
      <c r="F480">
        <v>205</v>
      </c>
      <c r="G480" t="s">
        <v>122</v>
      </c>
      <c r="H480">
        <v>123</v>
      </c>
      <c r="I480">
        <v>120</v>
      </c>
      <c r="J480">
        <v>719040</v>
      </c>
      <c r="K480">
        <v>83599</v>
      </c>
      <c r="L480" t="e">
        <f>[1]!Table1[[#This Row],[Revenue]]-[1]!Table1[[#This Row],[OperationalCost]]</f>
        <v>#REF!</v>
      </c>
      <c r="M480" t="str">
        <f t="shared" si="7"/>
        <v>Jan</v>
      </c>
      <c r="N480" s="15">
        <f>Table11[[#This Row],[SeatsSold]]/Table11[[#This Row],[SeatsAvailable]]</f>
        <v>0.97560975609756095</v>
      </c>
      <c r="O480" s="10"/>
    </row>
    <row r="481" spans="1:15" x14ac:dyDescent="0.3">
      <c r="A481" t="s">
        <v>597</v>
      </c>
      <c r="B481" t="s">
        <v>98</v>
      </c>
      <c r="C481" t="s">
        <v>3</v>
      </c>
      <c r="D481" t="s">
        <v>19</v>
      </c>
      <c r="E481" s="16">
        <v>46208</v>
      </c>
      <c r="F481">
        <v>224</v>
      </c>
      <c r="G481" t="s">
        <v>120</v>
      </c>
      <c r="H481">
        <v>88</v>
      </c>
      <c r="I481">
        <v>87</v>
      </c>
      <c r="J481">
        <v>436653</v>
      </c>
      <c r="K481">
        <v>45560</v>
      </c>
      <c r="L481" t="e">
        <f>[1]!Table1[[#This Row],[Revenue]]-[1]!Table1[[#This Row],[OperationalCost]]</f>
        <v>#REF!</v>
      </c>
      <c r="M481" t="str">
        <f t="shared" si="7"/>
        <v>Jul</v>
      </c>
      <c r="N481" s="15">
        <f>Table11[[#This Row],[SeatsSold]]/Table11[[#This Row],[SeatsAvailable]]</f>
        <v>0.98863636363636365</v>
      </c>
      <c r="O481" s="10"/>
    </row>
    <row r="482" spans="1:15" x14ac:dyDescent="0.3">
      <c r="A482" t="s">
        <v>598</v>
      </c>
      <c r="B482" t="s">
        <v>69</v>
      </c>
      <c r="C482" t="s">
        <v>21</v>
      </c>
      <c r="D482" t="s">
        <v>20</v>
      </c>
      <c r="E482" s="16">
        <v>45747</v>
      </c>
      <c r="F482">
        <v>63</v>
      </c>
      <c r="G482" t="s">
        <v>122</v>
      </c>
      <c r="H482">
        <v>115</v>
      </c>
      <c r="I482">
        <v>72</v>
      </c>
      <c r="J482">
        <v>838296</v>
      </c>
      <c r="K482">
        <v>34799</v>
      </c>
      <c r="L482" t="e">
        <f>[1]!Table1[[#This Row],[Revenue]]-[1]!Table1[[#This Row],[OperationalCost]]</f>
        <v>#REF!</v>
      </c>
      <c r="M482" t="str">
        <f t="shared" si="7"/>
        <v>Mar</v>
      </c>
      <c r="N482" s="15">
        <f>Table11[[#This Row],[SeatsSold]]/Table11[[#This Row],[SeatsAvailable]]</f>
        <v>0.62608695652173918</v>
      </c>
      <c r="O482" s="10"/>
    </row>
    <row r="483" spans="1:15" x14ac:dyDescent="0.3">
      <c r="A483" t="s">
        <v>599</v>
      </c>
      <c r="B483" t="s">
        <v>4</v>
      </c>
      <c r="C483" t="s">
        <v>9</v>
      </c>
      <c r="D483" t="s">
        <v>21</v>
      </c>
      <c r="E483" s="16">
        <v>46075</v>
      </c>
      <c r="F483">
        <v>144</v>
      </c>
      <c r="G483" t="s">
        <v>120</v>
      </c>
      <c r="H483">
        <v>173</v>
      </c>
      <c r="I483">
        <v>150</v>
      </c>
      <c r="J483">
        <v>1152450</v>
      </c>
      <c r="K483">
        <v>48823</v>
      </c>
      <c r="L483" t="e">
        <f>[1]!Table1[[#This Row],[Revenue]]-[1]!Table1[[#This Row],[OperationalCost]]</f>
        <v>#REF!</v>
      </c>
      <c r="M483" t="str">
        <f t="shared" si="7"/>
        <v>Feb</v>
      </c>
      <c r="N483" s="15">
        <f>Table11[[#This Row],[SeatsSold]]/Table11[[#This Row],[SeatsAvailable]]</f>
        <v>0.86705202312138729</v>
      </c>
      <c r="O483" s="10"/>
    </row>
    <row r="484" spans="1:15" x14ac:dyDescent="0.3">
      <c r="A484" t="s">
        <v>600</v>
      </c>
      <c r="B484" t="s">
        <v>46</v>
      </c>
      <c r="C484" t="s">
        <v>3</v>
      </c>
      <c r="D484" t="s">
        <v>15</v>
      </c>
      <c r="E484" s="16">
        <v>45664</v>
      </c>
      <c r="F484">
        <v>209</v>
      </c>
      <c r="G484" t="s">
        <v>116</v>
      </c>
      <c r="H484">
        <v>86</v>
      </c>
      <c r="I484">
        <v>77</v>
      </c>
      <c r="J484">
        <v>249865</v>
      </c>
      <c r="K484">
        <v>70919</v>
      </c>
      <c r="L484" t="e">
        <f>[1]!Table1[[#This Row],[Revenue]]-[1]!Table1[[#This Row],[OperationalCost]]</f>
        <v>#REF!</v>
      </c>
      <c r="M484" t="str">
        <f t="shared" si="7"/>
        <v>Jan</v>
      </c>
      <c r="N484" s="15">
        <f>Table11[[#This Row],[SeatsSold]]/Table11[[#This Row],[SeatsAvailable]]</f>
        <v>0.89534883720930236</v>
      </c>
      <c r="O484" s="10"/>
    </row>
    <row r="485" spans="1:15" x14ac:dyDescent="0.3">
      <c r="A485" t="s">
        <v>601</v>
      </c>
      <c r="B485" t="s">
        <v>33</v>
      </c>
      <c r="C485" t="s">
        <v>21</v>
      </c>
      <c r="D485" t="s">
        <v>15</v>
      </c>
      <c r="E485" s="16">
        <v>45766</v>
      </c>
      <c r="F485">
        <v>119</v>
      </c>
      <c r="G485" t="s">
        <v>118</v>
      </c>
      <c r="H485">
        <v>92</v>
      </c>
      <c r="I485">
        <v>58</v>
      </c>
      <c r="J485">
        <v>560860</v>
      </c>
      <c r="K485">
        <v>42475</v>
      </c>
      <c r="L485" t="e">
        <f>[1]!Table1[[#This Row],[Revenue]]-[1]!Table1[[#This Row],[OperationalCost]]</f>
        <v>#REF!</v>
      </c>
      <c r="M485" t="str">
        <f t="shared" si="7"/>
        <v>Apr</v>
      </c>
      <c r="N485" s="15">
        <f>Table11[[#This Row],[SeatsSold]]/Table11[[#This Row],[SeatsAvailable]]</f>
        <v>0.63043478260869568</v>
      </c>
      <c r="O485" s="10"/>
    </row>
    <row r="486" spans="1:15" x14ac:dyDescent="0.3">
      <c r="A486" t="s">
        <v>602</v>
      </c>
      <c r="B486" t="s">
        <v>78</v>
      </c>
      <c r="C486" t="s">
        <v>20</v>
      </c>
      <c r="D486" t="s">
        <v>11</v>
      </c>
      <c r="E486" s="16">
        <v>45818</v>
      </c>
      <c r="F486">
        <v>181</v>
      </c>
      <c r="G486" t="s">
        <v>113</v>
      </c>
      <c r="H486">
        <v>104</v>
      </c>
      <c r="I486">
        <v>90</v>
      </c>
      <c r="J486">
        <v>1029690</v>
      </c>
      <c r="K486">
        <v>60463</v>
      </c>
      <c r="L486" t="e">
        <f>[1]!Table1[[#This Row],[Revenue]]-[1]!Table1[[#This Row],[OperationalCost]]</f>
        <v>#REF!</v>
      </c>
      <c r="M486" t="str">
        <f t="shared" si="7"/>
        <v>Jun</v>
      </c>
      <c r="N486" s="15">
        <f>Table11[[#This Row],[SeatsSold]]/Table11[[#This Row],[SeatsAvailable]]</f>
        <v>0.86538461538461542</v>
      </c>
      <c r="O486" s="10"/>
    </row>
    <row r="487" spans="1:15" x14ac:dyDescent="0.3">
      <c r="A487" t="s">
        <v>603</v>
      </c>
      <c r="B487" t="s">
        <v>44</v>
      </c>
      <c r="C487" t="s">
        <v>14</v>
      </c>
      <c r="D487" t="s">
        <v>21</v>
      </c>
      <c r="E487" s="16">
        <v>46351</v>
      </c>
      <c r="F487">
        <v>231</v>
      </c>
      <c r="G487" t="s">
        <v>118</v>
      </c>
      <c r="H487">
        <v>72</v>
      </c>
      <c r="I487">
        <v>49</v>
      </c>
      <c r="J487">
        <v>221431</v>
      </c>
      <c r="K487">
        <v>35862</v>
      </c>
      <c r="L487" t="e">
        <f>[1]!Table1[[#This Row],[Revenue]]-[1]!Table1[[#This Row],[OperationalCost]]</f>
        <v>#REF!</v>
      </c>
      <c r="M487" t="str">
        <f t="shared" si="7"/>
        <v>Nov</v>
      </c>
      <c r="N487" s="15">
        <f>Table11[[#This Row],[SeatsSold]]/Table11[[#This Row],[SeatsAvailable]]</f>
        <v>0.68055555555555558</v>
      </c>
      <c r="O487" s="10"/>
    </row>
    <row r="488" spans="1:15" x14ac:dyDescent="0.3">
      <c r="A488" t="s">
        <v>604</v>
      </c>
      <c r="B488" t="s">
        <v>108</v>
      </c>
      <c r="C488" t="s">
        <v>15</v>
      </c>
      <c r="D488" t="s">
        <v>17</v>
      </c>
      <c r="E488" s="16">
        <v>46208</v>
      </c>
      <c r="F488">
        <v>185</v>
      </c>
      <c r="G488" t="s">
        <v>122</v>
      </c>
      <c r="H488">
        <v>148</v>
      </c>
      <c r="I488">
        <v>66</v>
      </c>
      <c r="J488">
        <v>536778</v>
      </c>
      <c r="K488">
        <v>59570</v>
      </c>
      <c r="L488" t="e">
        <f>[1]!Table1[[#This Row],[Revenue]]-[1]!Table1[[#This Row],[OperationalCost]]</f>
        <v>#REF!</v>
      </c>
      <c r="M488" t="str">
        <f t="shared" si="7"/>
        <v>Jul</v>
      </c>
      <c r="N488" s="15">
        <f>Table11[[#This Row],[SeatsSold]]/Table11[[#This Row],[SeatsAvailable]]</f>
        <v>0.44594594594594594</v>
      </c>
      <c r="O488" s="10"/>
    </row>
    <row r="489" spans="1:15" x14ac:dyDescent="0.3">
      <c r="A489" t="s">
        <v>605</v>
      </c>
      <c r="B489" t="s">
        <v>57</v>
      </c>
      <c r="C489" t="s">
        <v>11</v>
      </c>
      <c r="D489" t="s">
        <v>14</v>
      </c>
      <c r="E489" s="16">
        <v>45822</v>
      </c>
      <c r="F489">
        <v>92</v>
      </c>
      <c r="G489" t="s">
        <v>113</v>
      </c>
      <c r="H489">
        <v>134</v>
      </c>
      <c r="I489">
        <v>64</v>
      </c>
      <c r="J489">
        <v>280128</v>
      </c>
      <c r="K489">
        <v>45422</v>
      </c>
      <c r="L489" t="e">
        <f>[1]!Table1[[#This Row],[Revenue]]-[1]!Table1[[#This Row],[OperationalCost]]</f>
        <v>#REF!</v>
      </c>
      <c r="M489" t="str">
        <f t="shared" si="7"/>
        <v>Jun</v>
      </c>
      <c r="N489" s="15">
        <f>Table11[[#This Row],[SeatsSold]]/Table11[[#This Row],[SeatsAvailable]]</f>
        <v>0.47761194029850745</v>
      </c>
      <c r="O489" s="10"/>
    </row>
    <row r="490" spans="1:15" x14ac:dyDescent="0.3">
      <c r="A490" t="s">
        <v>606</v>
      </c>
      <c r="B490" t="s">
        <v>80</v>
      </c>
      <c r="C490" t="s">
        <v>20</v>
      </c>
      <c r="D490" t="s">
        <v>15</v>
      </c>
      <c r="E490" s="16">
        <v>46130</v>
      </c>
      <c r="F490">
        <v>210</v>
      </c>
      <c r="G490" t="s">
        <v>116</v>
      </c>
      <c r="H490">
        <v>88</v>
      </c>
      <c r="I490">
        <v>58</v>
      </c>
      <c r="J490">
        <v>208974</v>
      </c>
      <c r="K490">
        <v>47880</v>
      </c>
      <c r="L490" t="e">
        <f>[1]!Table1[[#This Row],[Revenue]]-[1]!Table1[[#This Row],[OperationalCost]]</f>
        <v>#REF!</v>
      </c>
      <c r="M490" t="str">
        <f t="shared" si="7"/>
        <v>Apr</v>
      </c>
      <c r="N490" s="15">
        <f>Table11[[#This Row],[SeatsSold]]/Table11[[#This Row],[SeatsAvailable]]</f>
        <v>0.65909090909090906</v>
      </c>
      <c r="O490" s="10"/>
    </row>
    <row r="491" spans="1:15" x14ac:dyDescent="0.3">
      <c r="A491" t="s">
        <v>607</v>
      </c>
      <c r="B491" t="s">
        <v>2</v>
      </c>
      <c r="C491" t="s">
        <v>9</v>
      </c>
      <c r="D491" t="s">
        <v>11</v>
      </c>
      <c r="E491" s="16">
        <v>45996</v>
      </c>
      <c r="F491">
        <v>136</v>
      </c>
      <c r="G491" t="s">
        <v>113</v>
      </c>
      <c r="H491">
        <v>130</v>
      </c>
      <c r="I491">
        <v>52</v>
      </c>
      <c r="J491">
        <v>372892</v>
      </c>
      <c r="K491">
        <v>50418</v>
      </c>
      <c r="L491" t="e">
        <f>[1]!Table1[[#This Row],[Revenue]]-[1]!Table1[[#This Row],[OperationalCost]]</f>
        <v>#REF!</v>
      </c>
      <c r="M491" t="str">
        <f t="shared" si="7"/>
        <v>Dec</v>
      </c>
      <c r="N491" s="15">
        <f>Table11[[#This Row],[SeatsSold]]/Table11[[#This Row],[SeatsAvailable]]</f>
        <v>0.4</v>
      </c>
      <c r="O491" s="10"/>
    </row>
    <row r="492" spans="1:15" x14ac:dyDescent="0.3">
      <c r="A492" t="s">
        <v>608</v>
      </c>
      <c r="B492" t="s">
        <v>43</v>
      </c>
      <c r="C492" t="s">
        <v>9</v>
      </c>
      <c r="D492" t="s">
        <v>17</v>
      </c>
      <c r="E492" s="16">
        <v>46155</v>
      </c>
      <c r="F492">
        <v>160</v>
      </c>
      <c r="G492" t="s">
        <v>118</v>
      </c>
      <c r="H492">
        <v>148</v>
      </c>
      <c r="I492">
        <v>128</v>
      </c>
      <c r="J492">
        <v>639488</v>
      </c>
      <c r="K492">
        <v>75540</v>
      </c>
      <c r="L492" t="e">
        <f>[1]!Table1[[#This Row],[Revenue]]-[1]!Table1[[#This Row],[OperationalCost]]</f>
        <v>#REF!</v>
      </c>
      <c r="M492" t="str">
        <f t="shared" si="7"/>
        <v>May</v>
      </c>
      <c r="N492" s="15">
        <f>Table11[[#This Row],[SeatsSold]]/Table11[[#This Row],[SeatsAvailable]]</f>
        <v>0.86486486486486491</v>
      </c>
      <c r="O492" s="10"/>
    </row>
    <row r="493" spans="1:15" x14ac:dyDescent="0.3">
      <c r="A493" t="s">
        <v>609</v>
      </c>
      <c r="B493" t="s">
        <v>52</v>
      </c>
      <c r="C493" t="s">
        <v>21</v>
      </c>
      <c r="D493" t="s">
        <v>17</v>
      </c>
      <c r="E493" s="16">
        <v>46096</v>
      </c>
      <c r="F493">
        <v>88</v>
      </c>
      <c r="G493" t="s">
        <v>122</v>
      </c>
      <c r="H493">
        <v>150</v>
      </c>
      <c r="I493">
        <v>71</v>
      </c>
      <c r="J493">
        <v>435159</v>
      </c>
      <c r="K493">
        <v>53642</v>
      </c>
      <c r="L493" t="e">
        <f>[1]!Table1[[#This Row],[Revenue]]-[1]!Table1[[#This Row],[OperationalCost]]</f>
        <v>#REF!</v>
      </c>
      <c r="M493" t="str">
        <f t="shared" si="7"/>
        <v>Mar</v>
      </c>
      <c r="N493" s="15">
        <f>Table11[[#This Row],[SeatsSold]]/Table11[[#This Row],[SeatsAvailable]]</f>
        <v>0.47333333333333333</v>
      </c>
      <c r="O493" s="10"/>
    </row>
    <row r="494" spans="1:15" x14ac:dyDescent="0.3">
      <c r="A494" t="s">
        <v>610</v>
      </c>
      <c r="B494" t="s">
        <v>73</v>
      </c>
      <c r="C494" t="s">
        <v>19</v>
      </c>
      <c r="D494" t="s">
        <v>17</v>
      </c>
      <c r="E494" s="16">
        <v>45795</v>
      </c>
      <c r="F494">
        <v>218</v>
      </c>
      <c r="G494" t="s">
        <v>118</v>
      </c>
      <c r="H494">
        <v>192</v>
      </c>
      <c r="I494">
        <v>158</v>
      </c>
      <c r="J494">
        <v>1547768</v>
      </c>
      <c r="K494">
        <v>76334</v>
      </c>
      <c r="L494" t="e">
        <f>[1]!Table1[[#This Row],[Revenue]]-[1]!Table1[[#This Row],[OperationalCost]]</f>
        <v>#REF!</v>
      </c>
      <c r="M494" t="str">
        <f t="shared" si="7"/>
        <v>May</v>
      </c>
      <c r="N494" s="15">
        <f>Table11[[#This Row],[SeatsSold]]/Table11[[#This Row],[SeatsAvailable]]</f>
        <v>0.82291666666666663</v>
      </c>
      <c r="O494" s="10"/>
    </row>
    <row r="495" spans="1:15" x14ac:dyDescent="0.3">
      <c r="A495" t="s">
        <v>611</v>
      </c>
      <c r="B495" t="s">
        <v>97</v>
      </c>
      <c r="C495" t="s">
        <v>6</v>
      </c>
      <c r="D495" t="s">
        <v>15</v>
      </c>
      <c r="E495" s="16">
        <v>45769</v>
      </c>
      <c r="F495">
        <v>89</v>
      </c>
      <c r="G495" t="s">
        <v>116</v>
      </c>
      <c r="H495">
        <v>90</v>
      </c>
      <c r="I495">
        <v>57</v>
      </c>
      <c r="J495">
        <v>273201</v>
      </c>
      <c r="K495">
        <v>34573</v>
      </c>
      <c r="L495" t="e">
        <f>[1]!Table1[[#This Row],[Revenue]]-[1]!Table1[[#This Row],[OperationalCost]]</f>
        <v>#REF!</v>
      </c>
      <c r="M495" t="str">
        <f t="shared" si="7"/>
        <v>Apr</v>
      </c>
      <c r="N495" s="15">
        <f>Table11[[#This Row],[SeatsSold]]/Table11[[#This Row],[SeatsAvailable]]</f>
        <v>0.6333333333333333</v>
      </c>
      <c r="O495" s="10"/>
    </row>
    <row r="496" spans="1:15" x14ac:dyDescent="0.3">
      <c r="A496" t="s">
        <v>612</v>
      </c>
      <c r="B496" t="s">
        <v>51</v>
      </c>
      <c r="C496" t="s">
        <v>19</v>
      </c>
      <c r="D496" t="s">
        <v>3</v>
      </c>
      <c r="E496" s="16">
        <v>45735</v>
      </c>
      <c r="F496">
        <v>49</v>
      </c>
      <c r="G496" t="s">
        <v>116</v>
      </c>
      <c r="H496">
        <v>77</v>
      </c>
      <c r="I496">
        <v>77</v>
      </c>
      <c r="J496">
        <v>922768</v>
      </c>
      <c r="K496">
        <v>28714</v>
      </c>
      <c r="L496" t="e">
        <f>[1]!Table1[[#This Row],[Revenue]]-[1]!Table1[[#This Row],[OperationalCost]]</f>
        <v>#REF!</v>
      </c>
      <c r="M496" t="str">
        <f t="shared" si="7"/>
        <v>Mar</v>
      </c>
      <c r="N496" s="15">
        <f>Table11[[#This Row],[SeatsSold]]/Table11[[#This Row],[SeatsAvailable]]</f>
        <v>1</v>
      </c>
      <c r="O496" s="10"/>
    </row>
    <row r="497" spans="1:15" x14ac:dyDescent="0.3">
      <c r="A497" t="s">
        <v>613</v>
      </c>
      <c r="B497" t="s">
        <v>60</v>
      </c>
      <c r="C497" t="s">
        <v>9</v>
      </c>
      <c r="D497" t="s">
        <v>20</v>
      </c>
      <c r="E497" s="16">
        <v>46222</v>
      </c>
      <c r="F497">
        <v>111</v>
      </c>
      <c r="G497" t="s">
        <v>116</v>
      </c>
      <c r="H497">
        <v>208</v>
      </c>
      <c r="I497">
        <v>160</v>
      </c>
      <c r="J497">
        <v>789600</v>
      </c>
      <c r="K497">
        <v>61083</v>
      </c>
      <c r="L497" t="e">
        <f>[1]!Table1[[#This Row],[Revenue]]-[1]!Table1[[#This Row],[OperationalCost]]</f>
        <v>#REF!</v>
      </c>
      <c r="M497" t="str">
        <f t="shared" si="7"/>
        <v>Jul</v>
      </c>
      <c r="N497" s="15">
        <f>Table11[[#This Row],[SeatsSold]]/Table11[[#This Row],[SeatsAvailable]]</f>
        <v>0.76923076923076927</v>
      </c>
      <c r="O497" s="10"/>
    </row>
    <row r="498" spans="1:15" x14ac:dyDescent="0.3">
      <c r="A498" t="s">
        <v>614</v>
      </c>
      <c r="B498" t="s">
        <v>4</v>
      </c>
      <c r="C498" t="s">
        <v>9</v>
      </c>
      <c r="D498" t="s">
        <v>21</v>
      </c>
      <c r="E498" s="16">
        <v>45795</v>
      </c>
      <c r="F498">
        <v>163</v>
      </c>
      <c r="G498" t="s">
        <v>116</v>
      </c>
      <c r="H498">
        <v>200</v>
      </c>
      <c r="I498">
        <v>63</v>
      </c>
      <c r="J498">
        <v>567000</v>
      </c>
      <c r="K498">
        <v>76319</v>
      </c>
      <c r="L498" t="e">
        <f>[1]!Table1[[#This Row],[Revenue]]-[1]!Table1[[#This Row],[OperationalCost]]</f>
        <v>#REF!</v>
      </c>
      <c r="M498" t="str">
        <f t="shared" si="7"/>
        <v>May</v>
      </c>
      <c r="N498" s="15">
        <f>Table11[[#This Row],[SeatsSold]]/Table11[[#This Row],[SeatsAvailable]]</f>
        <v>0.315</v>
      </c>
      <c r="O498" s="10"/>
    </row>
    <row r="499" spans="1:15" x14ac:dyDescent="0.3">
      <c r="A499" t="s">
        <v>615</v>
      </c>
      <c r="B499" t="s">
        <v>82</v>
      </c>
      <c r="C499" t="s">
        <v>20</v>
      </c>
      <c r="D499" t="s">
        <v>19</v>
      </c>
      <c r="E499" s="16">
        <v>46286</v>
      </c>
      <c r="F499">
        <v>220</v>
      </c>
      <c r="G499" t="s">
        <v>113</v>
      </c>
      <c r="H499">
        <v>201</v>
      </c>
      <c r="I499">
        <v>75</v>
      </c>
      <c r="J499">
        <v>735750</v>
      </c>
      <c r="K499">
        <v>60325</v>
      </c>
      <c r="L499" t="e">
        <f>[1]!Table1[[#This Row],[Revenue]]-[1]!Table1[[#This Row],[OperationalCost]]</f>
        <v>#REF!</v>
      </c>
      <c r="M499" t="str">
        <f t="shared" si="7"/>
        <v>Sep</v>
      </c>
      <c r="N499" s="15">
        <f>Table11[[#This Row],[SeatsSold]]/Table11[[#This Row],[SeatsAvailable]]</f>
        <v>0.37313432835820898</v>
      </c>
      <c r="O499" s="10"/>
    </row>
    <row r="500" spans="1:15" x14ac:dyDescent="0.3">
      <c r="A500" t="s">
        <v>616</v>
      </c>
      <c r="B500" t="s">
        <v>63</v>
      </c>
      <c r="C500" t="s">
        <v>15</v>
      </c>
      <c r="D500" t="s">
        <v>14</v>
      </c>
      <c r="E500" s="16">
        <v>46153</v>
      </c>
      <c r="F500">
        <v>136</v>
      </c>
      <c r="G500" t="s">
        <v>122</v>
      </c>
      <c r="H500">
        <v>126</v>
      </c>
      <c r="I500">
        <v>102</v>
      </c>
      <c r="J500">
        <v>642192</v>
      </c>
      <c r="K500">
        <v>37018</v>
      </c>
      <c r="L500" t="e">
        <f>[1]!Table1[[#This Row],[Revenue]]-[1]!Table1[[#This Row],[OperationalCost]]</f>
        <v>#REF!</v>
      </c>
      <c r="M500" t="str">
        <f t="shared" si="7"/>
        <v>May</v>
      </c>
      <c r="N500" s="15">
        <f>Table11[[#This Row],[SeatsSold]]/Table11[[#This Row],[SeatsAvailable]]</f>
        <v>0.80952380952380953</v>
      </c>
      <c r="O500" s="10"/>
    </row>
    <row r="501" spans="1:15" x14ac:dyDescent="0.3">
      <c r="A501" t="s">
        <v>617</v>
      </c>
      <c r="B501" t="s">
        <v>86</v>
      </c>
      <c r="C501" t="s">
        <v>21</v>
      </c>
      <c r="D501" t="s">
        <v>9</v>
      </c>
      <c r="E501" s="16">
        <v>45701</v>
      </c>
      <c r="F501">
        <v>216</v>
      </c>
      <c r="G501" t="s">
        <v>113</v>
      </c>
      <c r="H501">
        <v>202</v>
      </c>
      <c r="I501">
        <v>132</v>
      </c>
      <c r="J501">
        <v>1169256</v>
      </c>
      <c r="K501">
        <v>91432</v>
      </c>
      <c r="L501" t="e">
        <f>[1]!Table1[[#This Row],[Revenue]]-[1]!Table1[[#This Row],[OperationalCost]]</f>
        <v>#REF!</v>
      </c>
      <c r="M501" t="str">
        <f t="shared" si="7"/>
        <v>Feb</v>
      </c>
      <c r="N501" s="15">
        <f>Table11[[#This Row],[SeatsSold]]/Table11[[#This Row],[SeatsAvailable]]</f>
        <v>0.65346534653465349</v>
      </c>
      <c r="O501" s="10"/>
    </row>
    <row r="502" spans="1:15" x14ac:dyDescent="0.3">
      <c r="A502" t="s">
        <v>618</v>
      </c>
      <c r="B502" t="s">
        <v>31</v>
      </c>
      <c r="C502" t="s">
        <v>20</v>
      </c>
      <c r="D502" t="s">
        <v>3</v>
      </c>
      <c r="E502" s="16">
        <v>46322</v>
      </c>
      <c r="F502">
        <v>127</v>
      </c>
      <c r="G502" t="s">
        <v>122</v>
      </c>
      <c r="H502">
        <v>203</v>
      </c>
      <c r="I502">
        <v>202</v>
      </c>
      <c r="J502">
        <v>1409960</v>
      </c>
      <c r="K502">
        <v>70033</v>
      </c>
      <c r="L502" t="e">
        <f>[1]!Table1[[#This Row],[Revenue]]-[1]!Table1[[#This Row],[OperationalCost]]</f>
        <v>#REF!</v>
      </c>
      <c r="M502" t="str">
        <f t="shared" si="7"/>
        <v>Oct</v>
      </c>
      <c r="N502" s="15">
        <f>Table11[[#This Row],[SeatsSold]]/Table11[[#This Row],[SeatsAvailable]]</f>
        <v>0.99507389162561577</v>
      </c>
      <c r="O502" s="10"/>
    </row>
    <row r="503" spans="1:15" x14ac:dyDescent="0.3">
      <c r="A503" t="s">
        <v>619</v>
      </c>
      <c r="B503" t="s">
        <v>57</v>
      </c>
      <c r="C503" t="s">
        <v>11</v>
      </c>
      <c r="D503" t="s">
        <v>14</v>
      </c>
      <c r="E503" s="16">
        <v>46043</v>
      </c>
      <c r="F503">
        <v>212</v>
      </c>
      <c r="G503" t="s">
        <v>120</v>
      </c>
      <c r="H503">
        <v>163</v>
      </c>
      <c r="I503">
        <v>115</v>
      </c>
      <c r="J503">
        <v>434125</v>
      </c>
      <c r="K503">
        <v>76896</v>
      </c>
      <c r="L503" t="e">
        <f>[1]!Table1[[#This Row],[Revenue]]-[1]!Table1[[#This Row],[OperationalCost]]</f>
        <v>#REF!</v>
      </c>
      <c r="M503" t="str">
        <f t="shared" si="7"/>
        <v>Jan</v>
      </c>
      <c r="N503" s="15">
        <f>Table11[[#This Row],[SeatsSold]]/Table11[[#This Row],[SeatsAvailable]]</f>
        <v>0.70552147239263807</v>
      </c>
      <c r="O503" s="10"/>
    </row>
    <row r="504" spans="1:15" x14ac:dyDescent="0.3">
      <c r="A504" t="s">
        <v>620</v>
      </c>
      <c r="B504" t="s">
        <v>72</v>
      </c>
      <c r="C504" t="s">
        <v>17</v>
      </c>
      <c r="D504" t="s">
        <v>9</v>
      </c>
      <c r="E504" s="16">
        <v>46186</v>
      </c>
      <c r="F504">
        <v>148</v>
      </c>
      <c r="G504" t="s">
        <v>118</v>
      </c>
      <c r="H504">
        <v>158</v>
      </c>
      <c r="I504">
        <v>102</v>
      </c>
      <c r="J504">
        <v>1060596</v>
      </c>
      <c r="K504">
        <v>53350</v>
      </c>
      <c r="L504" t="e">
        <f>[1]!Table1[[#This Row],[Revenue]]-[1]!Table1[[#This Row],[OperationalCost]]</f>
        <v>#REF!</v>
      </c>
      <c r="M504" t="str">
        <f t="shared" si="7"/>
        <v>Jun</v>
      </c>
      <c r="N504" s="15">
        <f>Table11[[#This Row],[SeatsSold]]/Table11[[#This Row],[SeatsAvailable]]</f>
        <v>0.64556962025316456</v>
      </c>
      <c r="O504" s="10"/>
    </row>
    <row r="505" spans="1:15" x14ac:dyDescent="0.3">
      <c r="A505" t="s">
        <v>621</v>
      </c>
      <c r="B505" t="s">
        <v>57</v>
      </c>
      <c r="C505" t="s">
        <v>11</v>
      </c>
      <c r="D505" t="s">
        <v>14</v>
      </c>
      <c r="E505" s="16">
        <v>46108</v>
      </c>
      <c r="F505">
        <v>87</v>
      </c>
      <c r="G505" t="s">
        <v>113</v>
      </c>
      <c r="H505">
        <v>89</v>
      </c>
      <c r="I505">
        <v>72</v>
      </c>
      <c r="J505">
        <v>511200</v>
      </c>
      <c r="K505">
        <v>25640</v>
      </c>
      <c r="L505" t="e">
        <f>[1]!Table1[[#This Row],[Revenue]]-[1]!Table1[[#This Row],[OperationalCost]]</f>
        <v>#REF!</v>
      </c>
      <c r="M505" t="str">
        <f t="shared" si="7"/>
        <v>Mar</v>
      </c>
      <c r="N505" s="15">
        <f>Table11[[#This Row],[SeatsSold]]/Table11[[#This Row],[SeatsAvailable]]</f>
        <v>0.8089887640449438</v>
      </c>
      <c r="O505" s="10"/>
    </row>
    <row r="506" spans="1:15" x14ac:dyDescent="0.3">
      <c r="A506" t="s">
        <v>622</v>
      </c>
      <c r="B506" t="s">
        <v>34</v>
      </c>
      <c r="C506" t="s">
        <v>14</v>
      </c>
      <c r="D506" t="s">
        <v>9</v>
      </c>
      <c r="E506" s="16">
        <v>46028</v>
      </c>
      <c r="F506">
        <v>199</v>
      </c>
      <c r="G506" t="s">
        <v>122</v>
      </c>
      <c r="H506">
        <v>128</v>
      </c>
      <c r="I506">
        <v>93</v>
      </c>
      <c r="J506">
        <v>735630</v>
      </c>
      <c r="K506">
        <v>55635</v>
      </c>
      <c r="L506" t="e">
        <f>[1]!Table1[[#This Row],[Revenue]]-[1]!Table1[[#This Row],[OperationalCost]]</f>
        <v>#REF!</v>
      </c>
      <c r="M506" t="str">
        <f t="shared" si="7"/>
        <v>Jan</v>
      </c>
      <c r="N506" s="15">
        <f>Table11[[#This Row],[SeatsSold]]/Table11[[#This Row],[SeatsAvailable]]</f>
        <v>0.7265625</v>
      </c>
      <c r="O506" s="10"/>
    </row>
    <row r="507" spans="1:15" x14ac:dyDescent="0.3">
      <c r="A507" t="s">
        <v>623</v>
      </c>
      <c r="B507" t="s">
        <v>36</v>
      </c>
      <c r="C507" t="s">
        <v>6</v>
      </c>
      <c r="D507" t="s">
        <v>11</v>
      </c>
      <c r="E507" s="16">
        <v>45873</v>
      </c>
      <c r="F507">
        <v>196</v>
      </c>
      <c r="G507" t="s">
        <v>113</v>
      </c>
      <c r="H507">
        <v>175</v>
      </c>
      <c r="I507">
        <v>45</v>
      </c>
      <c r="J507">
        <v>292140</v>
      </c>
      <c r="K507">
        <v>45276</v>
      </c>
      <c r="L507" t="e">
        <f>[1]!Table1[[#This Row],[Revenue]]-[1]!Table1[[#This Row],[OperationalCost]]</f>
        <v>#REF!</v>
      </c>
      <c r="M507" t="str">
        <f t="shared" si="7"/>
        <v>Aug</v>
      </c>
      <c r="N507" s="15">
        <f>Table11[[#This Row],[SeatsSold]]/Table11[[#This Row],[SeatsAvailable]]</f>
        <v>0.25714285714285712</v>
      </c>
      <c r="O507" s="10"/>
    </row>
    <row r="508" spans="1:15" x14ac:dyDescent="0.3">
      <c r="A508" t="s">
        <v>624</v>
      </c>
      <c r="B508" t="s">
        <v>63</v>
      </c>
      <c r="C508" t="s">
        <v>15</v>
      </c>
      <c r="D508" t="s">
        <v>14</v>
      </c>
      <c r="E508" s="16">
        <v>45795</v>
      </c>
      <c r="F508">
        <v>206</v>
      </c>
      <c r="G508" t="s">
        <v>116</v>
      </c>
      <c r="H508">
        <v>80</v>
      </c>
      <c r="I508">
        <v>76</v>
      </c>
      <c r="J508">
        <v>372856</v>
      </c>
      <c r="K508">
        <v>37364</v>
      </c>
      <c r="L508" t="e">
        <f>[1]!Table1[[#This Row],[Revenue]]-[1]!Table1[[#This Row],[OperationalCost]]</f>
        <v>#REF!</v>
      </c>
      <c r="M508" t="str">
        <f t="shared" si="7"/>
        <v>May</v>
      </c>
      <c r="N508" s="15">
        <f>Table11[[#This Row],[SeatsSold]]/Table11[[#This Row],[SeatsAvailable]]</f>
        <v>0.95</v>
      </c>
      <c r="O508" s="10"/>
    </row>
    <row r="509" spans="1:15" x14ac:dyDescent="0.3">
      <c r="A509" t="s">
        <v>625</v>
      </c>
      <c r="B509" t="s">
        <v>112</v>
      </c>
      <c r="C509" t="s">
        <v>19</v>
      </c>
      <c r="D509" t="s">
        <v>14</v>
      </c>
      <c r="E509" s="16">
        <v>46187</v>
      </c>
      <c r="F509">
        <v>148</v>
      </c>
      <c r="G509" t="s">
        <v>116</v>
      </c>
      <c r="H509">
        <v>214</v>
      </c>
      <c r="I509">
        <v>203</v>
      </c>
      <c r="J509">
        <v>569415</v>
      </c>
      <c r="K509">
        <v>75300</v>
      </c>
      <c r="L509" t="e">
        <f>[1]!Table1[[#This Row],[Revenue]]-[1]!Table1[[#This Row],[OperationalCost]]</f>
        <v>#REF!</v>
      </c>
      <c r="M509" t="str">
        <f t="shared" si="7"/>
        <v>Jun</v>
      </c>
      <c r="N509" s="15">
        <f>Table11[[#This Row],[SeatsSold]]/Table11[[#This Row],[SeatsAvailable]]</f>
        <v>0.94859813084112155</v>
      </c>
      <c r="O509" s="10"/>
    </row>
    <row r="510" spans="1:15" x14ac:dyDescent="0.3">
      <c r="A510" t="s">
        <v>626</v>
      </c>
      <c r="B510" t="s">
        <v>98</v>
      </c>
      <c r="C510" t="s">
        <v>3</v>
      </c>
      <c r="D510" t="s">
        <v>19</v>
      </c>
      <c r="E510" s="16">
        <v>46117</v>
      </c>
      <c r="F510">
        <v>200</v>
      </c>
      <c r="G510" t="s">
        <v>120</v>
      </c>
      <c r="H510">
        <v>193</v>
      </c>
      <c r="I510">
        <v>83</v>
      </c>
      <c r="J510">
        <v>505802</v>
      </c>
      <c r="K510">
        <v>89969</v>
      </c>
      <c r="L510" t="e">
        <f>[1]!Table1[[#This Row],[Revenue]]-[1]!Table1[[#This Row],[OperationalCost]]</f>
        <v>#REF!</v>
      </c>
      <c r="M510" t="str">
        <f t="shared" si="7"/>
        <v>Apr</v>
      </c>
      <c r="N510" s="15">
        <f>Table11[[#This Row],[SeatsSold]]/Table11[[#This Row],[SeatsAvailable]]</f>
        <v>0.43005181347150256</v>
      </c>
      <c r="O510" s="10"/>
    </row>
    <row r="511" spans="1:15" x14ac:dyDescent="0.3">
      <c r="A511" t="s">
        <v>627</v>
      </c>
      <c r="B511" t="s">
        <v>34</v>
      </c>
      <c r="C511" t="s">
        <v>14</v>
      </c>
      <c r="D511" t="s">
        <v>9</v>
      </c>
      <c r="E511" s="16">
        <v>46296</v>
      </c>
      <c r="F511">
        <v>213</v>
      </c>
      <c r="G511" t="s">
        <v>116</v>
      </c>
      <c r="H511">
        <v>137</v>
      </c>
      <c r="I511">
        <v>61</v>
      </c>
      <c r="J511">
        <v>494954</v>
      </c>
      <c r="K511">
        <v>82052</v>
      </c>
      <c r="L511" t="e">
        <f>[1]!Table1[[#This Row],[Revenue]]-[1]!Table1[[#This Row],[OperationalCost]]</f>
        <v>#REF!</v>
      </c>
      <c r="M511" t="str">
        <f t="shared" si="7"/>
        <v>Oct</v>
      </c>
      <c r="N511" s="15">
        <f>Table11[[#This Row],[SeatsSold]]/Table11[[#This Row],[SeatsAvailable]]</f>
        <v>0.44525547445255476</v>
      </c>
      <c r="O511" s="10"/>
    </row>
    <row r="512" spans="1:15" x14ac:dyDescent="0.3">
      <c r="A512" t="s">
        <v>628</v>
      </c>
      <c r="B512" t="s">
        <v>111</v>
      </c>
      <c r="C512" t="s">
        <v>15</v>
      </c>
      <c r="D512" t="s">
        <v>3</v>
      </c>
      <c r="E512" s="16">
        <v>45893</v>
      </c>
      <c r="F512">
        <v>141</v>
      </c>
      <c r="G512" t="s">
        <v>120</v>
      </c>
      <c r="H512">
        <v>103</v>
      </c>
      <c r="I512">
        <v>53</v>
      </c>
      <c r="J512">
        <v>146863</v>
      </c>
      <c r="K512">
        <v>46050</v>
      </c>
      <c r="L512" t="e">
        <f>[1]!Table1[[#This Row],[Revenue]]-[1]!Table1[[#This Row],[OperationalCost]]</f>
        <v>#REF!</v>
      </c>
      <c r="M512" t="str">
        <f t="shared" si="7"/>
        <v>Aug</v>
      </c>
      <c r="N512" s="15">
        <f>Table11[[#This Row],[SeatsSold]]/Table11[[#This Row],[SeatsAvailable]]</f>
        <v>0.5145631067961165</v>
      </c>
      <c r="O512" s="10"/>
    </row>
    <row r="513" spans="1:15" x14ac:dyDescent="0.3">
      <c r="A513" t="s">
        <v>629</v>
      </c>
      <c r="B513" t="s">
        <v>70</v>
      </c>
      <c r="C513" t="s">
        <v>11</v>
      </c>
      <c r="D513" t="s">
        <v>17</v>
      </c>
      <c r="E513" s="16">
        <v>45811</v>
      </c>
      <c r="F513">
        <v>200</v>
      </c>
      <c r="G513" t="s">
        <v>122</v>
      </c>
      <c r="H513">
        <v>115</v>
      </c>
      <c r="I513">
        <v>100</v>
      </c>
      <c r="J513">
        <v>313900</v>
      </c>
      <c r="K513">
        <v>75120</v>
      </c>
      <c r="L513" t="e">
        <f>[1]!Table1[[#This Row],[Revenue]]-[1]!Table1[[#This Row],[OperationalCost]]</f>
        <v>#REF!</v>
      </c>
      <c r="M513" t="str">
        <f t="shared" ref="M513:M576" si="8">TEXT(E513,"MMM")</f>
        <v>Jun</v>
      </c>
      <c r="N513" s="15">
        <f>Table11[[#This Row],[SeatsSold]]/Table11[[#This Row],[SeatsAvailable]]</f>
        <v>0.86956521739130432</v>
      </c>
      <c r="O513" s="10"/>
    </row>
    <row r="514" spans="1:15" x14ac:dyDescent="0.3">
      <c r="A514" t="s">
        <v>630</v>
      </c>
      <c r="B514" t="s">
        <v>95</v>
      </c>
      <c r="C514" t="s">
        <v>3</v>
      </c>
      <c r="D514" t="s">
        <v>14</v>
      </c>
      <c r="E514" s="16">
        <v>46151</v>
      </c>
      <c r="F514">
        <v>213</v>
      </c>
      <c r="G514" t="s">
        <v>113</v>
      </c>
      <c r="H514">
        <v>208</v>
      </c>
      <c r="I514">
        <v>40</v>
      </c>
      <c r="J514">
        <v>382760</v>
      </c>
      <c r="K514">
        <v>92785</v>
      </c>
      <c r="L514" t="e">
        <f>[1]!Table1[[#This Row],[Revenue]]-[1]!Table1[[#This Row],[OperationalCost]]</f>
        <v>#REF!</v>
      </c>
      <c r="M514" t="str">
        <f t="shared" si="8"/>
        <v>May</v>
      </c>
      <c r="N514" s="15">
        <f>Table11[[#This Row],[SeatsSold]]/Table11[[#This Row],[SeatsAvailable]]</f>
        <v>0.19230769230769232</v>
      </c>
      <c r="O514" s="10"/>
    </row>
    <row r="515" spans="1:15" x14ac:dyDescent="0.3">
      <c r="A515" t="s">
        <v>631</v>
      </c>
      <c r="B515" t="s">
        <v>69</v>
      </c>
      <c r="C515" t="s">
        <v>21</v>
      </c>
      <c r="D515" t="s">
        <v>20</v>
      </c>
      <c r="E515" s="16">
        <v>46372</v>
      </c>
      <c r="F515">
        <v>180</v>
      </c>
      <c r="G515" t="s">
        <v>120</v>
      </c>
      <c r="H515">
        <v>128</v>
      </c>
      <c r="I515">
        <v>101</v>
      </c>
      <c r="J515">
        <v>883346</v>
      </c>
      <c r="K515">
        <v>67060</v>
      </c>
      <c r="L515" t="e">
        <f>[1]!Table1[[#This Row],[Revenue]]-[1]!Table1[[#This Row],[OperationalCost]]</f>
        <v>#REF!</v>
      </c>
      <c r="M515" t="str">
        <f t="shared" si="8"/>
        <v>Dec</v>
      </c>
      <c r="N515" s="15">
        <f>Table11[[#This Row],[SeatsSold]]/Table11[[#This Row],[SeatsAvailable]]</f>
        <v>0.7890625</v>
      </c>
      <c r="O515" s="10"/>
    </row>
    <row r="516" spans="1:15" x14ac:dyDescent="0.3">
      <c r="A516" t="s">
        <v>632</v>
      </c>
      <c r="B516" t="s">
        <v>111</v>
      </c>
      <c r="C516" t="s">
        <v>15</v>
      </c>
      <c r="D516" t="s">
        <v>3</v>
      </c>
      <c r="E516" s="16">
        <v>46093</v>
      </c>
      <c r="F516">
        <v>79</v>
      </c>
      <c r="G516" t="s">
        <v>118</v>
      </c>
      <c r="H516">
        <v>192</v>
      </c>
      <c r="I516">
        <v>99</v>
      </c>
      <c r="J516">
        <v>383427</v>
      </c>
      <c r="K516">
        <v>59904</v>
      </c>
      <c r="L516" t="e">
        <f>[1]!Table1[[#This Row],[Revenue]]-[1]!Table1[[#This Row],[OperationalCost]]</f>
        <v>#REF!</v>
      </c>
      <c r="M516" t="str">
        <f t="shared" si="8"/>
        <v>Mar</v>
      </c>
      <c r="N516" s="15">
        <f>Table11[[#This Row],[SeatsSold]]/Table11[[#This Row],[SeatsAvailable]]</f>
        <v>0.515625</v>
      </c>
      <c r="O516" s="10"/>
    </row>
    <row r="517" spans="1:15" x14ac:dyDescent="0.3">
      <c r="A517" t="s">
        <v>633</v>
      </c>
      <c r="B517" t="s">
        <v>70</v>
      </c>
      <c r="C517" t="s">
        <v>11</v>
      </c>
      <c r="D517" t="s">
        <v>17</v>
      </c>
      <c r="E517" s="16">
        <v>45921</v>
      </c>
      <c r="F517">
        <v>93</v>
      </c>
      <c r="G517" t="s">
        <v>122</v>
      </c>
      <c r="H517">
        <v>71</v>
      </c>
      <c r="I517">
        <v>47</v>
      </c>
      <c r="J517">
        <v>517705</v>
      </c>
      <c r="K517">
        <v>23749</v>
      </c>
      <c r="L517" t="e">
        <f>[1]!Table1[[#This Row],[Revenue]]-[1]!Table1[[#This Row],[OperationalCost]]</f>
        <v>#REF!</v>
      </c>
      <c r="M517" t="str">
        <f t="shared" si="8"/>
        <v>Sep</v>
      </c>
      <c r="N517" s="15">
        <f>Table11[[#This Row],[SeatsSold]]/Table11[[#This Row],[SeatsAvailable]]</f>
        <v>0.6619718309859155</v>
      </c>
      <c r="O517" s="10"/>
    </row>
    <row r="518" spans="1:15" x14ac:dyDescent="0.3">
      <c r="A518" t="s">
        <v>634</v>
      </c>
      <c r="B518" t="s">
        <v>43</v>
      </c>
      <c r="C518" t="s">
        <v>9</v>
      </c>
      <c r="D518" t="s">
        <v>17</v>
      </c>
      <c r="E518" s="16">
        <v>46076</v>
      </c>
      <c r="F518">
        <v>137</v>
      </c>
      <c r="G518" t="s">
        <v>122</v>
      </c>
      <c r="H518">
        <v>109</v>
      </c>
      <c r="I518">
        <v>94</v>
      </c>
      <c r="J518">
        <v>625570</v>
      </c>
      <c r="K518">
        <v>49135</v>
      </c>
      <c r="L518" t="e">
        <f>[1]!Table1[[#This Row],[Revenue]]-[1]!Table1[[#This Row],[OperationalCost]]</f>
        <v>#REF!</v>
      </c>
      <c r="M518" t="str">
        <f t="shared" si="8"/>
        <v>Feb</v>
      </c>
      <c r="N518" s="15">
        <f>Table11[[#This Row],[SeatsSold]]/Table11[[#This Row],[SeatsAvailable]]</f>
        <v>0.86238532110091748</v>
      </c>
      <c r="O518" s="10"/>
    </row>
    <row r="519" spans="1:15" x14ac:dyDescent="0.3">
      <c r="A519" t="s">
        <v>635</v>
      </c>
      <c r="B519" t="s">
        <v>104</v>
      </c>
      <c r="C519" t="s">
        <v>17</v>
      </c>
      <c r="D519" t="s">
        <v>21</v>
      </c>
      <c r="E519" s="16">
        <v>46284</v>
      </c>
      <c r="F519">
        <v>115</v>
      </c>
      <c r="G519" t="s">
        <v>120</v>
      </c>
      <c r="H519">
        <v>122</v>
      </c>
      <c r="I519">
        <v>92</v>
      </c>
      <c r="J519">
        <v>1062140</v>
      </c>
      <c r="K519">
        <v>54896</v>
      </c>
      <c r="L519" t="e">
        <f>[1]!Table1[[#This Row],[Revenue]]-[1]!Table1[[#This Row],[OperationalCost]]</f>
        <v>#REF!</v>
      </c>
      <c r="M519" t="str">
        <f t="shared" si="8"/>
        <v>Sep</v>
      </c>
      <c r="N519" s="15">
        <f>Table11[[#This Row],[SeatsSold]]/Table11[[#This Row],[SeatsAvailable]]</f>
        <v>0.75409836065573765</v>
      </c>
      <c r="O519" s="10"/>
    </row>
    <row r="520" spans="1:15" x14ac:dyDescent="0.3">
      <c r="A520" t="s">
        <v>636</v>
      </c>
      <c r="B520" t="s">
        <v>40</v>
      </c>
      <c r="C520" t="s">
        <v>14</v>
      </c>
      <c r="D520" t="s">
        <v>17</v>
      </c>
      <c r="E520" s="16">
        <v>46230</v>
      </c>
      <c r="F520">
        <v>187</v>
      </c>
      <c r="G520" t="s">
        <v>120</v>
      </c>
      <c r="H520">
        <v>134</v>
      </c>
      <c r="I520">
        <v>79</v>
      </c>
      <c r="J520">
        <v>945156</v>
      </c>
      <c r="K520">
        <v>63150</v>
      </c>
      <c r="L520" t="e">
        <f>[1]!Table1[[#This Row],[Revenue]]-[1]!Table1[[#This Row],[OperationalCost]]</f>
        <v>#REF!</v>
      </c>
      <c r="M520" t="str">
        <f t="shared" si="8"/>
        <v>Jul</v>
      </c>
      <c r="N520" s="15">
        <f>Table11[[#This Row],[SeatsSold]]/Table11[[#This Row],[SeatsAvailable]]</f>
        <v>0.58955223880597019</v>
      </c>
      <c r="O520" s="10"/>
    </row>
    <row r="521" spans="1:15" x14ac:dyDescent="0.3">
      <c r="A521" t="s">
        <v>637</v>
      </c>
      <c r="B521" t="s">
        <v>47</v>
      </c>
      <c r="C521" t="s">
        <v>14</v>
      </c>
      <c r="D521" t="s">
        <v>3</v>
      </c>
      <c r="E521" s="16">
        <v>45893</v>
      </c>
      <c r="F521">
        <v>159</v>
      </c>
      <c r="G521" t="s">
        <v>113</v>
      </c>
      <c r="H521">
        <v>95</v>
      </c>
      <c r="I521">
        <v>53</v>
      </c>
      <c r="J521">
        <v>573884</v>
      </c>
      <c r="K521">
        <v>51068</v>
      </c>
      <c r="L521" t="e">
        <f>[1]!Table1[[#This Row],[Revenue]]-[1]!Table1[[#This Row],[OperationalCost]]</f>
        <v>#REF!</v>
      </c>
      <c r="M521" t="str">
        <f t="shared" si="8"/>
        <v>Aug</v>
      </c>
      <c r="N521" s="15">
        <f>Table11[[#This Row],[SeatsSold]]/Table11[[#This Row],[SeatsAvailable]]</f>
        <v>0.55789473684210522</v>
      </c>
      <c r="O521" s="10"/>
    </row>
    <row r="522" spans="1:15" x14ac:dyDescent="0.3">
      <c r="A522" t="s">
        <v>638</v>
      </c>
      <c r="B522" t="s">
        <v>99</v>
      </c>
      <c r="C522" t="s">
        <v>11</v>
      </c>
      <c r="D522" t="s">
        <v>20</v>
      </c>
      <c r="E522" s="16">
        <v>45822</v>
      </c>
      <c r="F522">
        <v>144</v>
      </c>
      <c r="G522" t="s">
        <v>122</v>
      </c>
      <c r="H522">
        <v>93</v>
      </c>
      <c r="I522">
        <v>92</v>
      </c>
      <c r="J522">
        <v>449052</v>
      </c>
      <c r="K522">
        <v>56229</v>
      </c>
      <c r="L522" t="e">
        <f>[1]!Table1[[#This Row],[Revenue]]-[1]!Table1[[#This Row],[OperationalCost]]</f>
        <v>#REF!</v>
      </c>
      <c r="M522" t="str">
        <f t="shared" si="8"/>
        <v>Jun</v>
      </c>
      <c r="N522" s="15">
        <f>Table11[[#This Row],[SeatsSold]]/Table11[[#This Row],[SeatsAvailable]]</f>
        <v>0.989247311827957</v>
      </c>
      <c r="O522" s="10"/>
    </row>
    <row r="523" spans="1:15" x14ac:dyDescent="0.3">
      <c r="A523" t="s">
        <v>639</v>
      </c>
      <c r="B523" t="s">
        <v>41</v>
      </c>
      <c r="C523" t="s">
        <v>17</v>
      </c>
      <c r="D523" t="s">
        <v>3</v>
      </c>
      <c r="E523" s="16">
        <v>45723</v>
      </c>
      <c r="F523">
        <v>112</v>
      </c>
      <c r="G523" t="s">
        <v>113</v>
      </c>
      <c r="H523">
        <v>164</v>
      </c>
      <c r="I523">
        <v>50</v>
      </c>
      <c r="J523">
        <v>155900</v>
      </c>
      <c r="K523">
        <v>54264</v>
      </c>
      <c r="L523" t="e">
        <f>[1]!Table1[[#This Row],[Revenue]]-[1]!Table1[[#This Row],[OperationalCost]]</f>
        <v>#REF!</v>
      </c>
      <c r="M523" t="str">
        <f t="shared" si="8"/>
        <v>Mar</v>
      </c>
      <c r="N523" s="15">
        <f>Table11[[#This Row],[SeatsSold]]/Table11[[#This Row],[SeatsAvailable]]</f>
        <v>0.3048780487804878</v>
      </c>
      <c r="O523" s="10"/>
    </row>
    <row r="524" spans="1:15" x14ac:dyDescent="0.3">
      <c r="A524" t="s">
        <v>640</v>
      </c>
      <c r="B524" t="s">
        <v>110</v>
      </c>
      <c r="C524" t="s">
        <v>15</v>
      </c>
      <c r="D524" t="s">
        <v>11</v>
      </c>
      <c r="E524" s="16">
        <v>45951</v>
      </c>
      <c r="F524">
        <v>227</v>
      </c>
      <c r="G524" t="s">
        <v>116</v>
      </c>
      <c r="H524">
        <v>84</v>
      </c>
      <c r="I524">
        <v>51</v>
      </c>
      <c r="J524">
        <v>540549</v>
      </c>
      <c r="K524">
        <v>59552</v>
      </c>
      <c r="L524" t="e">
        <f>[1]!Table1[[#This Row],[Revenue]]-[1]!Table1[[#This Row],[OperationalCost]]</f>
        <v>#REF!</v>
      </c>
      <c r="M524" t="str">
        <f t="shared" si="8"/>
        <v>Oct</v>
      </c>
      <c r="N524" s="15">
        <f>Table11[[#This Row],[SeatsSold]]/Table11[[#This Row],[SeatsAvailable]]</f>
        <v>0.6071428571428571</v>
      </c>
      <c r="O524" s="10"/>
    </row>
    <row r="525" spans="1:15" x14ac:dyDescent="0.3">
      <c r="A525" t="s">
        <v>641</v>
      </c>
      <c r="B525" t="s">
        <v>67</v>
      </c>
      <c r="C525" t="s">
        <v>9</v>
      </c>
      <c r="D525" t="s">
        <v>15</v>
      </c>
      <c r="E525" s="16">
        <v>45950</v>
      </c>
      <c r="F525">
        <v>94</v>
      </c>
      <c r="G525" t="s">
        <v>122</v>
      </c>
      <c r="H525">
        <v>200</v>
      </c>
      <c r="I525">
        <v>172</v>
      </c>
      <c r="J525">
        <v>1082740</v>
      </c>
      <c r="K525">
        <v>50638</v>
      </c>
      <c r="L525" t="e">
        <f>[1]!Table1[[#This Row],[Revenue]]-[1]!Table1[[#This Row],[OperationalCost]]</f>
        <v>#REF!</v>
      </c>
      <c r="M525" t="str">
        <f t="shared" si="8"/>
        <v>Oct</v>
      </c>
      <c r="N525" s="15">
        <f>Table11[[#This Row],[SeatsSold]]/Table11[[#This Row],[SeatsAvailable]]</f>
        <v>0.86</v>
      </c>
      <c r="O525" s="10"/>
    </row>
    <row r="526" spans="1:15" x14ac:dyDescent="0.3">
      <c r="A526" t="s">
        <v>642</v>
      </c>
      <c r="B526" t="s">
        <v>54</v>
      </c>
      <c r="C526" t="s">
        <v>20</v>
      </c>
      <c r="D526" t="s">
        <v>17</v>
      </c>
      <c r="E526" s="16">
        <v>45902</v>
      </c>
      <c r="F526">
        <v>212</v>
      </c>
      <c r="G526" t="s">
        <v>122</v>
      </c>
      <c r="H526">
        <v>110</v>
      </c>
      <c r="I526">
        <v>51</v>
      </c>
      <c r="J526">
        <v>358020</v>
      </c>
      <c r="K526">
        <v>65764</v>
      </c>
      <c r="L526" t="e">
        <f>[1]!Table1[[#This Row],[Revenue]]-[1]!Table1[[#This Row],[OperationalCost]]</f>
        <v>#REF!</v>
      </c>
      <c r="M526" t="str">
        <f t="shared" si="8"/>
        <v>Sep</v>
      </c>
      <c r="N526" s="15">
        <f>Table11[[#This Row],[SeatsSold]]/Table11[[#This Row],[SeatsAvailable]]</f>
        <v>0.46363636363636362</v>
      </c>
      <c r="O526" s="10"/>
    </row>
    <row r="527" spans="1:15" x14ac:dyDescent="0.3">
      <c r="A527" t="s">
        <v>643</v>
      </c>
      <c r="B527" t="s">
        <v>77</v>
      </c>
      <c r="C527" t="s">
        <v>17</v>
      </c>
      <c r="D527" t="s">
        <v>6</v>
      </c>
      <c r="E527" s="16">
        <v>46258</v>
      </c>
      <c r="F527">
        <v>96</v>
      </c>
      <c r="G527" t="s">
        <v>116</v>
      </c>
      <c r="H527">
        <v>73</v>
      </c>
      <c r="I527">
        <v>44</v>
      </c>
      <c r="J527">
        <v>174988</v>
      </c>
      <c r="K527">
        <v>36056</v>
      </c>
      <c r="L527" t="e">
        <f>[1]!Table1[[#This Row],[Revenue]]-[1]!Table1[[#This Row],[OperationalCost]]</f>
        <v>#REF!</v>
      </c>
      <c r="M527" t="str">
        <f t="shared" si="8"/>
        <v>Aug</v>
      </c>
      <c r="N527" s="15">
        <f>Table11[[#This Row],[SeatsSold]]/Table11[[#This Row],[SeatsAvailable]]</f>
        <v>0.60273972602739723</v>
      </c>
      <c r="O527" s="10"/>
    </row>
    <row r="528" spans="1:15" x14ac:dyDescent="0.3">
      <c r="A528" t="s">
        <v>644</v>
      </c>
      <c r="B528" t="s">
        <v>13</v>
      </c>
      <c r="C528" t="s">
        <v>11</v>
      </c>
      <c r="D528" t="s">
        <v>21</v>
      </c>
      <c r="E528" s="16">
        <v>46013</v>
      </c>
      <c r="F528">
        <v>115</v>
      </c>
      <c r="G528" t="s">
        <v>113</v>
      </c>
      <c r="H528">
        <v>119</v>
      </c>
      <c r="I528">
        <v>98</v>
      </c>
      <c r="J528">
        <v>893564</v>
      </c>
      <c r="K528">
        <v>40344</v>
      </c>
      <c r="L528" t="e">
        <f>[1]!Table1[[#This Row],[Revenue]]-[1]!Table1[[#This Row],[OperationalCost]]</f>
        <v>#REF!</v>
      </c>
      <c r="M528" t="str">
        <f t="shared" si="8"/>
        <v>Dec</v>
      </c>
      <c r="N528" s="15">
        <f>Table11[[#This Row],[SeatsSold]]/Table11[[#This Row],[SeatsAvailable]]</f>
        <v>0.82352941176470584</v>
      </c>
      <c r="O528" s="10"/>
    </row>
    <row r="529" spans="1:15" x14ac:dyDescent="0.3">
      <c r="A529" t="s">
        <v>645</v>
      </c>
      <c r="B529" t="s">
        <v>112</v>
      </c>
      <c r="C529" t="s">
        <v>19</v>
      </c>
      <c r="D529" t="s">
        <v>14</v>
      </c>
      <c r="E529" s="16">
        <v>46074</v>
      </c>
      <c r="F529">
        <v>174</v>
      </c>
      <c r="G529" t="s">
        <v>122</v>
      </c>
      <c r="H529">
        <v>213</v>
      </c>
      <c r="I529">
        <v>58</v>
      </c>
      <c r="J529">
        <v>623094</v>
      </c>
      <c r="K529">
        <v>69501</v>
      </c>
      <c r="L529" t="e">
        <f>[1]!Table1[[#This Row],[Revenue]]-[1]!Table1[[#This Row],[OperationalCost]]</f>
        <v>#REF!</v>
      </c>
      <c r="M529" t="str">
        <f t="shared" si="8"/>
        <v>Feb</v>
      </c>
      <c r="N529" s="15">
        <f>Table11[[#This Row],[SeatsSold]]/Table11[[#This Row],[SeatsAvailable]]</f>
        <v>0.27230046948356806</v>
      </c>
      <c r="O529" s="10"/>
    </row>
    <row r="530" spans="1:15" x14ac:dyDescent="0.3">
      <c r="A530" t="s">
        <v>646</v>
      </c>
      <c r="B530" t="s">
        <v>46</v>
      </c>
      <c r="C530" t="s">
        <v>3</v>
      </c>
      <c r="D530" t="s">
        <v>15</v>
      </c>
      <c r="E530" s="16">
        <v>45921</v>
      </c>
      <c r="F530">
        <v>182</v>
      </c>
      <c r="G530" t="s">
        <v>116</v>
      </c>
      <c r="H530">
        <v>134</v>
      </c>
      <c r="I530">
        <v>128</v>
      </c>
      <c r="J530">
        <v>1248512</v>
      </c>
      <c r="K530">
        <v>69328</v>
      </c>
      <c r="L530" t="e">
        <f>[1]!Table1[[#This Row],[Revenue]]-[1]!Table1[[#This Row],[OperationalCost]]</f>
        <v>#REF!</v>
      </c>
      <c r="M530" t="str">
        <f t="shared" si="8"/>
        <v>Sep</v>
      </c>
      <c r="N530" s="15">
        <f>Table11[[#This Row],[SeatsSold]]/Table11[[#This Row],[SeatsAvailable]]</f>
        <v>0.95522388059701491</v>
      </c>
      <c r="O530" s="10"/>
    </row>
    <row r="531" spans="1:15" x14ac:dyDescent="0.3">
      <c r="A531" t="s">
        <v>647</v>
      </c>
      <c r="B531" t="s">
        <v>62</v>
      </c>
      <c r="C531" t="s">
        <v>6</v>
      </c>
      <c r="D531" t="s">
        <v>9</v>
      </c>
      <c r="E531" s="16">
        <v>46005</v>
      </c>
      <c r="F531">
        <v>162</v>
      </c>
      <c r="G531" t="s">
        <v>120</v>
      </c>
      <c r="H531">
        <v>220</v>
      </c>
      <c r="I531">
        <v>47</v>
      </c>
      <c r="J531">
        <v>488612</v>
      </c>
      <c r="K531">
        <v>56258</v>
      </c>
      <c r="L531" t="e">
        <f>[1]!Table1[[#This Row],[Revenue]]-[1]!Table1[[#This Row],[OperationalCost]]</f>
        <v>#REF!</v>
      </c>
      <c r="M531" t="str">
        <f t="shared" si="8"/>
        <v>Dec</v>
      </c>
      <c r="N531" s="15">
        <f>Table11[[#This Row],[SeatsSold]]/Table11[[#This Row],[SeatsAvailable]]</f>
        <v>0.21363636363636362</v>
      </c>
      <c r="O531" s="10"/>
    </row>
    <row r="532" spans="1:15" x14ac:dyDescent="0.3">
      <c r="A532" t="s">
        <v>648</v>
      </c>
      <c r="B532" t="s">
        <v>48</v>
      </c>
      <c r="C532" t="s">
        <v>3</v>
      </c>
      <c r="D532" t="s">
        <v>6</v>
      </c>
      <c r="E532" s="16">
        <v>46306</v>
      </c>
      <c r="F532">
        <v>101</v>
      </c>
      <c r="G532" t="s">
        <v>113</v>
      </c>
      <c r="H532">
        <v>150</v>
      </c>
      <c r="I532">
        <v>92</v>
      </c>
      <c r="J532">
        <v>762220</v>
      </c>
      <c r="K532">
        <v>58002</v>
      </c>
      <c r="L532" t="e">
        <f>[1]!Table1[[#This Row],[Revenue]]-[1]!Table1[[#This Row],[OperationalCost]]</f>
        <v>#REF!</v>
      </c>
      <c r="M532" t="str">
        <f t="shared" si="8"/>
        <v>Oct</v>
      </c>
      <c r="N532" s="15">
        <f>Table11[[#This Row],[SeatsSold]]/Table11[[#This Row],[SeatsAvailable]]</f>
        <v>0.61333333333333329</v>
      </c>
      <c r="O532" s="10"/>
    </row>
    <row r="533" spans="1:15" x14ac:dyDescent="0.3">
      <c r="A533" t="s">
        <v>649</v>
      </c>
      <c r="B533" t="s">
        <v>76</v>
      </c>
      <c r="C533" t="s">
        <v>20</v>
      </c>
      <c r="D533" t="s">
        <v>21</v>
      </c>
      <c r="E533" s="16">
        <v>45912</v>
      </c>
      <c r="F533">
        <v>118</v>
      </c>
      <c r="G533" t="s">
        <v>122</v>
      </c>
      <c r="H533">
        <v>172</v>
      </c>
      <c r="I533">
        <v>127</v>
      </c>
      <c r="J533">
        <v>475615</v>
      </c>
      <c r="K533">
        <v>52298</v>
      </c>
      <c r="L533" t="e">
        <f>[1]!Table1[[#This Row],[Revenue]]-[1]!Table1[[#This Row],[OperationalCost]]</f>
        <v>#REF!</v>
      </c>
      <c r="M533" t="str">
        <f t="shared" si="8"/>
        <v>Sep</v>
      </c>
      <c r="N533" s="15">
        <f>Table11[[#This Row],[SeatsSold]]/Table11[[#This Row],[SeatsAvailable]]</f>
        <v>0.73837209302325579</v>
      </c>
      <c r="O533" s="10"/>
    </row>
    <row r="534" spans="1:15" x14ac:dyDescent="0.3">
      <c r="A534" t="s">
        <v>650</v>
      </c>
      <c r="B534" t="s">
        <v>16</v>
      </c>
      <c r="C534" t="s">
        <v>6</v>
      </c>
      <c r="D534" t="s">
        <v>21</v>
      </c>
      <c r="E534" s="16">
        <v>46020</v>
      </c>
      <c r="F534">
        <v>100</v>
      </c>
      <c r="G534" t="s">
        <v>116</v>
      </c>
      <c r="H534">
        <v>138</v>
      </c>
      <c r="I534">
        <v>63</v>
      </c>
      <c r="J534">
        <v>353745</v>
      </c>
      <c r="K534">
        <v>42778</v>
      </c>
      <c r="L534" t="e">
        <f>[1]!Table1[[#This Row],[Revenue]]-[1]!Table1[[#This Row],[OperationalCost]]</f>
        <v>#REF!</v>
      </c>
      <c r="M534" t="str">
        <f t="shared" si="8"/>
        <v>Dec</v>
      </c>
      <c r="N534" s="15">
        <f>Table11[[#This Row],[SeatsSold]]/Table11[[#This Row],[SeatsAvailable]]</f>
        <v>0.45652173913043476</v>
      </c>
      <c r="O534" s="10"/>
    </row>
    <row r="535" spans="1:15" x14ac:dyDescent="0.3">
      <c r="A535" t="s">
        <v>651</v>
      </c>
      <c r="B535" t="s">
        <v>58</v>
      </c>
      <c r="C535" t="s">
        <v>9</v>
      </c>
      <c r="D535" t="s">
        <v>19</v>
      </c>
      <c r="E535" s="16">
        <v>45929</v>
      </c>
      <c r="F535">
        <v>97</v>
      </c>
      <c r="G535" t="s">
        <v>113</v>
      </c>
      <c r="H535">
        <v>121</v>
      </c>
      <c r="I535">
        <v>71</v>
      </c>
      <c r="J535">
        <v>591643</v>
      </c>
      <c r="K535">
        <v>28370</v>
      </c>
      <c r="L535" t="e">
        <f>[1]!Table1[[#This Row],[Revenue]]-[1]!Table1[[#This Row],[OperationalCost]]</f>
        <v>#REF!</v>
      </c>
      <c r="M535" t="str">
        <f t="shared" si="8"/>
        <v>Sep</v>
      </c>
      <c r="N535" s="15">
        <f>Table11[[#This Row],[SeatsSold]]/Table11[[#This Row],[SeatsAvailable]]</f>
        <v>0.58677685950413228</v>
      </c>
      <c r="O535" s="10"/>
    </row>
    <row r="536" spans="1:15" x14ac:dyDescent="0.3">
      <c r="A536" t="s">
        <v>652</v>
      </c>
      <c r="B536" t="s">
        <v>95</v>
      </c>
      <c r="C536" t="s">
        <v>3</v>
      </c>
      <c r="D536" t="s">
        <v>14</v>
      </c>
      <c r="E536" s="16">
        <v>46350</v>
      </c>
      <c r="F536">
        <v>214</v>
      </c>
      <c r="G536" t="s">
        <v>120</v>
      </c>
      <c r="H536">
        <v>71</v>
      </c>
      <c r="I536">
        <v>42</v>
      </c>
      <c r="J536">
        <v>436842</v>
      </c>
      <c r="K536">
        <v>62908</v>
      </c>
      <c r="L536" t="e">
        <f>[1]!Table1[[#This Row],[Revenue]]-[1]!Table1[[#This Row],[OperationalCost]]</f>
        <v>#REF!</v>
      </c>
      <c r="M536" t="str">
        <f t="shared" si="8"/>
        <v>Nov</v>
      </c>
      <c r="N536" s="15">
        <f>Table11[[#This Row],[SeatsSold]]/Table11[[#This Row],[SeatsAvailable]]</f>
        <v>0.59154929577464788</v>
      </c>
      <c r="O536" s="10"/>
    </row>
    <row r="537" spans="1:15" x14ac:dyDescent="0.3">
      <c r="A537" t="s">
        <v>653</v>
      </c>
      <c r="B537" t="s">
        <v>89</v>
      </c>
      <c r="C537" t="s">
        <v>21</v>
      </c>
      <c r="D537" t="s">
        <v>11</v>
      </c>
      <c r="E537" s="16">
        <v>46246</v>
      </c>
      <c r="F537">
        <v>115</v>
      </c>
      <c r="G537" t="s">
        <v>120</v>
      </c>
      <c r="H537">
        <v>116</v>
      </c>
      <c r="I537">
        <v>105</v>
      </c>
      <c r="J537">
        <v>744555</v>
      </c>
      <c r="K537">
        <v>41191</v>
      </c>
      <c r="L537" t="e">
        <f>[1]!Table1[[#This Row],[Revenue]]-[1]!Table1[[#This Row],[OperationalCost]]</f>
        <v>#REF!</v>
      </c>
      <c r="M537" t="str">
        <f t="shared" si="8"/>
        <v>Aug</v>
      </c>
      <c r="N537" s="15">
        <f>Table11[[#This Row],[SeatsSold]]/Table11[[#This Row],[SeatsAvailable]]</f>
        <v>0.90517241379310343</v>
      </c>
      <c r="O537" s="10"/>
    </row>
    <row r="538" spans="1:15" x14ac:dyDescent="0.3">
      <c r="A538" t="s">
        <v>654</v>
      </c>
      <c r="B538" t="s">
        <v>63</v>
      </c>
      <c r="C538" t="s">
        <v>15</v>
      </c>
      <c r="D538" t="s">
        <v>14</v>
      </c>
      <c r="E538" s="16">
        <v>45713</v>
      </c>
      <c r="F538">
        <v>179</v>
      </c>
      <c r="G538" t="s">
        <v>120</v>
      </c>
      <c r="H538">
        <v>192</v>
      </c>
      <c r="I538">
        <v>178</v>
      </c>
      <c r="J538">
        <v>539874</v>
      </c>
      <c r="K538">
        <v>76648</v>
      </c>
      <c r="L538" t="e">
        <f>[1]!Table1[[#This Row],[Revenue]]-[1]!Table1[[#This Row],[OperationalCost]]</f>
        <v>#REF!</v>
      </c>
      <c r="M538" t="str">
        <f t="shared" si="8"/>
        <v>Feb</v>
      </c>
      <c r="N538" s="15">
        <f>Table11[[#This Row],[SeatsSold]]/Table11[[#This Row],[SeatsAvailable]]</f>
        <v>0.92708333333333337</v>
      </c>
      <c r="O538" s="10"/>
    </row>
    <row r="539" spans="1:15" x14ac:dyDescent="0.3">
      <c r="A539" t="s">
        <v>655</v>
      </c>
      <c r="B539" t="s">
        <v>10</v>
      </c>
      <c r="C539" t="s">
        <v>17</v>
      </c>
      <c r="D539" t="s">
        <v>14</v>
      </c>
      <c r="E539" s="16">
        <v>46126</v>
      </c>
      <c r="F539">
        <v>75</v>
      </c>
      <c r="G539" t="s">
        <v>116</v>
      </c>
      <c r="H539">
        <v>187</v>
      </c>
      <c r="I539">
        <v>120</v>
      </c>
      <c r="J539">
        <v>316440</v>
      </c>
      <c r="K539">
        <v>34096</v>
      </c>
      <c r="L539" t="e">
        <f>[1]!Table1[[#This Row],[Revenue]]-[1]!Table1[[#This Row],[OperationalCost]]</f>
        <v>#REF!</v>
      </c>
      <c r="M539" t="str">
        <f t="shared" si="8"/>
        <v>Apr</v>
      </c>
      <c r="N539" s="15">
        <f>Table11[[#This Row],[SeatsSold]]/Table11[[#This Row],[SeatsAvailable]]</f>
        <v>0.64171122994652408</v>
      </c>
      <c r="O539" s="10"/>
    </row>
    <row r="540" spans="1:15" x14ac:dyDescent="0.3">
      <c r="A540" t="s">
        <v>656</v>
      </c>
      <c r="B540" t="s">
        <v>41</v>
      </c>
      <c r="C540" t="s">
        <v>17</v>
      </c>
      <c r="D540" t="s">
        <v>3</v>
      </c>
      <c r="E540" s="16">
        <v>45991</v>
      </c>
      <c r="F540">
        <v>137</v>
      </c>
      <c r="G540" t="s">
        <v>116</v>
      </c>
      <c r="H540">
        <v>136</v>
      </c>
      <c r="I540">
        <v>63</v>
      </c>
      <c r="J540">
        <v>723681</v>
      </c>
      <c r="K540">
        <v>44659</v>
      </c>
      <c r="L540" t="e">
        <f>[1]!Table1[[#This Row],[Revenue]]-[1]!Table1[[#This Row],[OperationalCost]]</f>
        <v>#REF!</v>
      </c>
      <c r="M540" t="str">
        <f t="shared" si="8"/>
        <v>Nov</v>
      </c>
      <c r="N540" s="15">
        <f>Table11[[#This Row],[SeatsSold]]/Table11[[#This Row],[SeatsAvailable]]</f>
        <v>0.46323529411764708</v>
      </c>
      <c r="O540" s="10"/>
    </row>
    <row r="541" spans="1:15" x14ac:dyDescent="0.3">
      <c r="A541" t="s">
        <v>657</v>
      </c>
      <c r="B541" t="s">
        <v>101</v>
      </c>
      <c r="C541" t="s">
        <v>19</v>
      </c>
      <c r="D541" t="s">
        <v>11</v>
      </c>
      <c r="E541" s="16">
        <v>46285</v>
      </c>
      <c r="F541">
        <v>132</v>
      </c>
      <c r="G541" t="s">
        <v>118</v>
      </c>
      <c r="H541">
        <v>117</v>
      </c>
      <c r="I541">
        <v>103</v>
      </c>
      <c r="J541">
        <v>972835</v>
      </c>
      <c r="K541">
        <v>44715</v>
      </c>
      <c r="L541" t="e">
        <f>[1]!Table1[[#This Row],[Revenue]]-[1]!Table1[[#This Row],[OperationalCost]]</f>
        <v>#REF!</v>
      </c>
      <c r="M541" t="str">
        <f t="shared" si="8"/>
        <v>Sep</v>
      </c>
      <c r="N541" s="15">
        <f>Table11[[#This Row],[SeatsSold]]/Table11[[#This Row],[SeatsAvailable]]</f>
        <v>0.88034188034188032</v>
      </c>
      <c r="O541" s="10"/>
    </row>
    <row r="542" spans="1:15" x14ac:dyDescent="0.3">
      <c r="A542" t="s">
        <v>658</v>
      </c>
      <c r="B542" t="s">
        <v>52</v>
      </c>
      <c r="C542" t="s">
        <v>21</v>
      </c>
      <c r="D542" t="s">
        <v>17</v>
      </c>
      <c r="E542" s="16">
        <v>46068</v>
      </c>
      <c r="F542">
        <v>116</v>
      </c>
      <c r="G542" t="s">
        <v>120</v>
      </c>
      <c r="H542">
        <v>116</v>
      </c>
      <c r="I542">
        <v>113</v>
      </c>
      <c r="J542">
        <v>525224</v>
      </c>
      <c r="K542">
        <v>46980</v>
      </c>
      <c r="L542" t="e">
        <f>[1]!Table1[[#This Row],[Revenue]]-[1]!Table1[[#This Row],[OperationalCost]]</f>
        <v>#REF!</v>
      </c>
      <c r="M542" t="str">
        <f t="shared" si="8"/>
        <v>Feb</v>
      </c>
      <c r="N542" s="15">
        <f>Table11[[#This Row],[SeatsSold]]/Table11[[#This Row],[SeatsAvailable]]</f>
        <v>0.97413793103448276</v>
      </c>
      <c r="O542" s="10"/>
    </row>
    <row r="543" spans="1:15" x14ac:dyDescent="0.3">
      <c r="A543" t="s">
        <v>659</v>
      </c>
      <c r="B543" t="s">
        <v>96</v>
      </c>
      <c r="C543" t="s">
        <v>3</v>
      </c>
      <c r="D543" t="s">
        <v>21</v>
      </c>
      <c r="E543" s="16">
        <v>45899</v>
      </c>
      <c r="F543">
        <v>187</v>
      </c>
      <c r="G543" t="s">
        <v>120</v>
      </c>
      <c r="H543">
        <v>167</v>
      </c>
      <c r="I543">
        <v>90</v>
      </c>
      <c r="J543">
        <v>440010</v>
      </c>
      <c r="K543">
        <v>63113</v>
      </c>
      <c r="L543" t="e">
        <f>[1]!Table1[[#This Row],[Revenue]]-[1]!Table1[[#This Row],[OperationalCost]]</f>
        <v>#REF!</v>
      </c>
      <c r="M543" t="str">
        <f t="shared" si="8"/>
        <v>Aug</v>
      </c>
      <c r="N543" s="15">
        <f>Table11[[#This Row],[SeatsSold]]/Table11[[#This Row],[SeatsAvailable]]</f>
        <v>0.53892215568862278</v>
      </c>
      <c r="O543" s="10"/>
    </row>
    <row r="544" spans="1:15" x14ac:dyDescent="0.3">
      <c r="A544" t="s">
        <v>660</v>
      </c>
      <c r="B544" t="s">
        <v>74</v>
      </c>
      <c r="C544" t="s">
        <v>20</v>
      </c>
      <c r="D544" t="s">
        <v>9</v>
      </c>
      <c r="E544" s="16">
        <v>46089</v>
      </c>
      <c r="F544">
        <v>172</v>
      </c>
      <c r="G544" t="s">
        <v>113</v>
      </c>
      <c r="H544">
        <v>202</v>
      </c>
      <c r="I544">
        <v>176</v>
      </c>
      <c r="J544">
        <v>1350272</v>
      </c>
      <c r="K544">
        <v>73480</v>
      </c>
      <c r="L544" t="e">
        <f>[1]!Table1[[#This Row],[Revenue]]-[1]!Table1[[#This Row],[OperationalCost]]</f>
        <v>#REF!</v>
      </c>
      <c r="M544" t="str">
        <f t="shared" si="8"/>
        <v>Mar</v>
      </c>
      <c r="N544" s="15">
        <f>Table11[[#This Row],[SeatsSold]]/Table11[[#This Row],[SeatsAvailable]]</f>
        <v>0.87128712871287128</v>
      </c>
      <c r="O544" s="10"/>
    </row>
    <row r="545" spans="1:15" x14ac:dyDescent="0.3">
      <c r="A545" t="s">
        <v>661</v>
      </c>
      <c r="B545" t="s">
        <v>94</v>
      </c>
      <c r="C545" t="s">
        <v>19</v>
      </c>
      <c r="D545" t="s">
        <v>15</v>
      </c>
      <c r="E545" s="16">
        <v>46239</v>
      </c>
      <c r="F545">
        <v>57</v>
      </c>
      <c r="G545" t="s">
        <v>120</v>
      </c>
      <c r="H545">
        <v>95</v>
      </c>
      <c r="I545">
        <v>84</v>
      </c>
      <c r="J545">
        <v>434784</v>
      </c>
      <c r="K545">
        <v>20520</v>
      </c>
      <c r="L545" t="e">
        <f>[1]!Table1[[#This Row],[Revenue]]-[1]!Table1[[#This Row],[OperationalCost]]</f>
        <v>#REF!</v>
      </c>
      <c r="M545" t="str">
        <f t="shared" si="8"/>
        <v>Aug</v>
      </c>
      <c r="N545" s="15">
        <f>Table11[[#This Row],[SeatsSold]]/Table11[[#This Row],[SeatsAvailable]]</f>
        <v>0.88421052631578945</v>
      </c>
      <c r="O545" s="10"/>
    </row>
    <row r="546" spans="1:15" x14ac:dyDescent="0.3">
      <c r="A546" t="s">
        <v>662</v>
      </c>
      <c r="B546" t="s">
        <v>101</v>
      </c>
      <c r="C546" t="s">
        <v>19</v>
      </c>
      <c r="D546" t="s">
        <v>11</v>
      </c>
      <c r="E546" s="16">
        <v>46302</v>
      </c>
      <c r="F546">
        <v>69</v>
      </c>
      <c r="G546" t="s">
        <v>120</v>
      </c>
      <c r="H546">
        <v>155</v>
      </c>
      <c r="I546">
        <v>73</v>
      </c>
      <c r="J546">
        <v>614222</v>
      </c>
      <c r="K546">
        <v>49193</v>
      </c>
      <c r="L546" t="e">
        <f>[1]!Table1[[#This Row],[Revenue]]-[1]!Table1[[#This Row],[OperationalCost]]</f>
        <v>#REF!</v>
      </c>
      <c r="M546" t="str">
        <f t="shared" si="8"/>
        <v>Oct</v>
      </c>
      <c r="N546" s="15">
        <f>Table11[[#This Row],[SeatsSold]]/Table11[[#This Row],[SeatsAvailable]]</f>
        <v>0.47096774193548385</v>
      </c>
      <c r="O546" s="10"/>
    </row>
    <row r="547" spans="1:15" x14ac:dyDescent="0.3">
      <c r="A547" t="s">
        <v>663</v>
      </c>
      <c r="B547" t="s">
        <v>88</v>
      </c>
      <c r="C547" t="s">
        <v>11</v>
      </c>
      <c r="D547" t="s">
        <v>19</v>
      </c>
      <c r="E547" s="16">
        <v>46010</v>
      </c>
      <c r="F547">
        <v>50</v>
      </c>
      <c r="G547" t="s">
        <v>120</v>
      </c>
      <c r="H547">
        <v>101</v>
      </c>
      <c r="I547">
        <v>62</v>
      </c>
      <c r="J547">
        <v>357058</v>
      </c>
      <c r="K547">
        <v>36277</v>
      </c>
      <c r="L547" t="e">
        <f>[1]!Table1[[#This Row],[Revenue]]-[1]!Table1[[#This Row],[OperationalCost]]</f>
        <v>#REF!</v>
      </c>
      <c r="M547" t="str">
        <f t="shared" si="8"/>
        <v>Dec</v>
      </c>
      <c r="N547" s="15">
        <f>Table11[[#This Row],[SeatsSold]]/Table11[[#This Row],[SeatsAvailable]]</f>
        <v>0.61386138613861385</v>
      </c>
      <c r="O547" s="10"/>
    </row>
    <row r="548" spans="1:15" x14ac:dyDescent="0.3">
      <c r="A548" t="s">
        <v>664</v>
      </c>
      <c r="B548" t="s">
        <v>57</v>
      </c>
      <c r="C548" t="s">
        <v>11</v>
      </c>
      <c r="D548" t="s">
        <v>14</v>
      </c>
      <c r="E548" s="16">
        <v>45949</v>
      </c>
      <c r="F548">
        <v>135</v>
      </c>
      <c r="G548" t="s">
        <v>118</v>
      </c>
      <c r="H548">
        <v>200</v>
      </c>
      <c r="I548">
        <v>164</v>
      </c>
      <c r="J548">
        <v>1610808</v>
      </c>
      <c r="K548">
        <v>54300</v>
      </c>
      <c r="L548" t="e">
        <f>[1]!Table1[[#This Row],[Revenue]]-[1]!Table1[[#This Row],[OperationalCost]]</f>
        <v>#REF!</v>
      </c>
      <c r="M548" t="str">
        <f t="shared" si="8"/>
        <v>Oct</v>
      </c>
      <c r="N548" s="15">
        <f>Table11[[#This Row],[SeatsSold]]/Table11[[#This Row],[SeatsAvailable]]</f>
        <v>0.82</v>
      </c>
      <c r="O548" s="10"/>
    </row>
    <row r="549" spans="1:15" x14ac:dyDescent="0.3">
      <c r="A549" t="s">
        <v>665</v>
      </c>
      <c r="B549" t="s">
        <v>91</v>
      </c>
      <c r="C549" t="s">
        <v>15</v>
      </c>
      <c r="D549" t="s">
        <v>19</v>
      </c>
      <c r="E549" s="16">
        <v>46132</v>
      </c>
      <c r="F549">
        <v>206</v>
      </c>
      <c r="G549" t="s">
        <v>113</v>
      </c>
      <c r="H549">
        <v>112</v>
      </c>
      <c r="I549">
        <v>83</v>
      </c>
      <c r="J549">
        <v>781113</v>
      </c>
      <c r="K549">
        <v>84318</v>
      </c>
      <c r="L549" t="e">
        <f>[1]!Table1[[#This Row],[Revenue]]-[1]!Table1[[#This Row],[OperationalCost]]</f>
        <v>#REF!</v>
      </c>
      <c r="M549" t="str">
        <f t="shared" si="8"/>
        <v>Apr</v>
      </c>
      <c r="N549" s="15">
        <f>Table11[[#This Row],[SeatsSold]]/Table11[[#This Row],[SeatsAvailable]]</f>
        <v>0.7410714285714286</v>
      </c>
      <c r="O549" s="10"/>
    </row>
    <row r="550" spans="1:15" x14ac:dyDescent="0.3">
      <c r="A550" t="s">
        <v>666</v>
      </c>
      <c r="B550" t="s">
        <v>108</v>
      </c>
      <c r="C550" t="s">
        <v>15</v>
      </c>
      <c r="D550" t="s">
        <v>17</v>
      </c>
      <c r="E550" s="16">
        <v>45731</v>
      </c>
      <c r="F550">
        <v>65</v>
      </c>
      <c r="G550" t="s">
        <v>113</v>
      </c>
      <c r="H550">
        <v>157</v>
      </c>
      <c r="I550">
        <v>69</v>
      </c>
      <c r="J550">
        <v>526884</v>
      </c>
      <c r="K550">
        <v>51844</v>
      </c>
      <c r="L550" t="e">
        <f>[1]!Table1[[#This Row],[Revenue]]-[1]!Table1[[#This Row],[OperationalCost]]</f>
        <v>#REF!</v>
      </c>
      <c r="M550" t="str">
        <f t="shared" si="8"/>
        <v>Mar</v>
      </c>
      <c r="N550" s="15">
        <f>Table11[[#This Row],[SeatsSold]]/Table11[[#This Row],[SeatsAvailable]]</f>
        <v>0.43949044585987262</v>
      </c>
      <c r="O550" s="10"/>
    </row>
    <row r="551" spans="1:15" x14ac:dyDescent="0.3">
      <c r="A551" t="s">
        <v>667</v>
      </c>
      <c r="B551" t="s">
        <v>109</v>
      </c>
      <c r="C551" t="s">
        <v>19</v>
      </c>
      <c r="D551" t="s">
        <v>21</v>
      </c>
      <c r="E551" s="16">
        <v>46277</v>
      </c>
      <c r="F551">
        <v>210</v>
      </c>
      <c r="G551" t="s">
        <v>120</v>
      </c>
      <c r="H551">
        <v>139</v>
      </c>
      <c r="I551">
        <v>96</v>
      </c>
      <c r="J551">
        <v>811200</v>
      </c>
      <c r="K551">
        <v>86307</v>
      </c>
      <c r="L551" t="e">
        <f>[1]!Table1[[#This Row],[Revenue]]-[1]!Table1[[#This Row],[OperationalCost]]</f>
        <v>#REF!</v>
      </c>
      <c r="M551" t="str">
        <f t="shared" si="8"/>
        <v>Sep</v>
      </c>
      <c r="N551" s="15">
        <f>Table11[[#This Row],[SeatsSold]]/Table11[[#This Row],[SeatsAvailable]]</f>
        <v>0.69064748201438853</v>
      </c>
      <c r="O551" s="10"/>
    </row>
    <row r="552" spans="1:15" x14ac:dyDescent="0.3">
      <c r="A552" t="s">
        <v>668</v>
      </c>
      <c r="B552" t="s">
        <v>66</v>
      </c>
      <c r="C552" t="s">
        <v>6</v>
      </c>
      <c r="D552" t="s">
        <v>17</v>
      </c>
      <c r="E552" s="16">
        <v>45829</v>
      </c>
      <c r="F552">
        <v>92</v>
      </c>
      <c r="G552" t="s">
        <v>122</v>
      </c>
      <c r="H552">
        <v>102</v>
      </c>
      <c r="I552">
        <v>86</v>
      </c>
      <c r="J552">
        <v>545584</v>
      </c>
      <c r="K552">
        <v>41276</v>
      </c>
      <c r="L552" t="e">
        <f>[1]!Table1[[#This Row],[Revenue]]-[1]!Table1[[#This Row],[OperationalCost]]</f>
        <v>#REF!</v>
      </c>
      <c r="M552" t="str">
        <f t="shared" si="8"/>
        <v>Jun</v>
      </c>
      <c r="N552" s="15">
        <f>Table11[[#This Row],[SeatsSold]]/Table11[[#This Row],[SeatsAvailable]]</f>
        <v>0.84313725490196079</v>
      </c>
      <c r="O552" s="10"/>
    </row>
    <row r="553" spans="1:15" x14ac:dyDescent="0.3">
      <c r="A553" t="s">
        <v>669</v>
      </c>
      <c r="B553" t="s">
        <v>98</v>
      </c>
      <c r="C553" t="s">
        <v>3</v>
      </c>
      <c r="D553" t="s">
        <v>19</v>
      </c>
      <c r="E553" s="16">
        <v>45828</v>
      </c>
      <c r="F553">
        <v>146</v>
      </c>
      <c r="G553" t="s">
        <v>122</v>
      </c>
      <c r="H553">
        <v>94</v>
      </c>
      <c r="I553">
        <v>44</v>
      </c>
      <c r="J553">
        <v>451088</v>
      </c>
      <c r="K553">
        <v>46702</v>
      </c>
      <c r="L553" t="e">
        <f>[1]!Table1[[#This Row],[Revenue]]-[1]!Table1[[#This Row],[OperationalCost]]</f>
        <v>#REF!</v>
      </c>
      <c r="M553" t="str">
        <f t="shared" si="8"/>
        <v>Jun</v>
      </c>
      <c r="N553" s="15">
        <f>Table11[[#This Row],[SeatsSold]]/Table11[[#This Row],[SeatsAvailable]]</f>
        <v>0.46808510638297873</v>
      </c>
      <c r="O553" s="10"/>
    </row>
    <row r="554" spans="1:15" x14ac:dyDescent="0.3">
      <c r="A554" t="s">
        <v>670</v>
      </c>
      <c r="B554" t="s">
        <v>85</v>
      </c>
      <c r="C554" t="s">
        <v>20</v>
      </c>
      <c r="D554" t="s">
        <v>6</v>
      </c>
      <c r="E554" s="16">
        <v>46194</v>
      </c>
      <c r="F554">
        <v>240</v>
      </c>
      <c r="G554" t="s">
        <v>122</v>
      </c>
      <c r="H554">
        <v>96</v>
      </c>
      <c r="I554">
        <v>56</v>
      </c>
      <c r="J554">
        <v>282464</v>
      </c>
      <c r="K554">
        <v>57552</v>
      </c>
      <c r="L554" t="e">
        <f>[1]!Table1[[#This Row],[Revenue]]-[1]!Table1[[#This Row],[OperationalCost]]</f>
        <v>#REF!</v>
      </c>
      <c r="M554" t="str">
        <f t="shared" si="8"/>
        <v>Jun</v>
      </c>
      <c r="N554" s="15">
        <f>Table11[[#This Row],[SeatsSold]]/Table11[[#This Row],[SeatsAvailable]]</f>
        <v>0.58333333333333337</v>
      </c>
      <c r="O554" s="10"/>
    </row>
    <row r="555" spans="1:15" x14ac:dyDescent="0.3">
      <c r="A555" t="s">
        <v>671</v>
      </c>
      <c r="B555" t="s">
        <v>107</v>
      </c>
      <c r="C555" t="s">
        <v>17</v>
      </c>
      <c r="D555" t="s">
        <v>19</v>
      </c>
      <c r="E555" s="16">
        <v>45892</v>
      </c>
      <c r="F555">
        <v>108</v>
      </c>
      <c r="G555" t="s">
        <v>118</v>
      </c>
      <c r="H555">
        <v>183</v>
      </c>
      <c r="I555">
        <v>72</v>
      </c>
      <c r="J555">
        <v>334800</v>
      </c>
      <c r="K555">
        <v>49941</v>
      </c>
      <c r="L555" t="e">
        <f>[1]!Table1[[#This Row],[Revenue]]-[1]!Table1[[#This Row],[OperationalCost]]</f>
        <v>#REF!</v>
      </c>
      <c r="M555" t="str">
        <f t="shared" si="8"/>
        <v>Aug</v>
      </c>
      <c r="N555" s="15">
        <f>Table11[[#This Row],[SeatsSold]]/Table11[[#This Row],[SeatsAvailable]]</f>
        <v>0.39344262295081966</v>
      </c>
      <c r="O555" s="10"/>
    </row>
    <row r="556" spans="1:15" x14ac:dyDescent="0.3">
      <c r="A556" t="s">
        <v>672</v>
      </c>
      <c r="B556" t="s">
        <v>31</v>
      </c>
      <c r="C556" t="s">
        <v>20</v>
      </c>
      <c r="D556" t="s">
        <v>3</v>
      </c>
      <c r="E556" s="16">
        <v>46337</v>
      </c>
      <c r="F556">
        <v>136</v>
      </c>
      <c r="G556" t="s">
        <v>118</v>
      </c>
      <c r="H556">
        <v>191</v>
      </c>
      <c r="I556">
        <v>159</v>
      </c>
      <c r="J556">
        <v>1805604</v>
      </c>
      <c r="K556">
        <v>67724</v>
      </c>
      <c r="L556" t="e">
        <f>[1]!Table1[[#This Row],[Revenue]]-[1]!Table1[[#This Row],[OperationalCost]]</f>
        <v>#REF!</v>
      </c>
      <c r="M556" t="str">
        <f t="shared" si="8"/>
        <v>Nov</v>
      </c>
      <c r="N556" s="15">
        <f>Table11[[#This Row],[SeatsSold]]/Table11[[#This Row],[SeatsAvailable]]</f>
        <v>0.83246073298429324</v>
      </c>
      <c r="O556" s="10"/>
    </row>
    <row r="557" spans="1:15" x14ac:dyDescent="0.3">
      <c r="A557" t="s">
        <v>673</v>
      </c>
      <c r="B557" t="s">
        <v>18</v>
      </c>
      <c r="C557" t="s">
        <v>6</v>
      </c>
      <c r="D557" t="s">
        <v>14</v>
      </c>
      <c r="E557" s="16">
        <v>46372</v>
      </c>
      <c r="F557">
        <v>183</v>
      </c>
      <c r="G557" t="s">
        <v>113</v>
      </c>
      <c r="H557">
        <v>186</v>
      </c>
      <c r="I557">
        <v>184</v>
      </c>
      <c r="J557">
        <v>1771184</v>
      </c>
      <c r="K557">
        <v>91680</v>
      </c>
      <c r="L557" t="e">
        <f>[1]!Table1[[#This Row],[Revenue]]-[1]!Table1[[#This Row],[OperationalCost]]</f>
        <v>#REF!</v>
      </c>
      <c r="M557" t="str">
        <f t="shared" si="8"/>
        <v>Dec</v>
      </c>
      <c r="N557" s="15">
        <f>Table11[[#This Row],[SeatsSold]]/Table11[[#This Row],[SeatsAvailable]]</f>
        <v>0.989247311827957</v>
      </c>
      <c r="O557" s="10"/>
    </row>
    <row r="558" spans="1:15" x14ac:dyDescent="0.3">
      <c r="A558" t="s">
        <v>674</v>
      </c>
      <c r="B558" t="s">
        <v>88</v>
      </c>
      <c r="C558" t="s">
        <v>11</v>
      </c>
      <c r="D558" t="s">
        <v>19</v>
      </c>
      <c r="E558" s="16">
        <v>46013</v>
      </c>
      <c r="F558">
        <v>168</v>
      </c>
      <c r="G558" t="s">
        <v>116</v>
      </c>
      <c r="H558">
        <v>128</v>
      </c>
      <c r="I558">
        <v>51</v>
      </c>
      <c r="J558">
        <v>496689</v>
      </c>
      <c r="K558">
        <v>55408</v>
      </c>
      <c r="L558" t="e">
        <f>[1]!Table1[[#This Row],[Revenue]]-[1]!Table1[[#This Row],[OperationalCost]]</f>
        <v>#REF!</v>
      </c>
      <c r="M558" t="str">
        <f t="shared" si="8"/>
        <v>Dec</v>
      </c>
      <c r="N558" s="15">
        <f>Table11[[#This Row],[SeatsSold]]/Table11[[#This Row],[SeatsAvailable]]</f>
        <v>0.3984375</v>
      </c>
      <c r="O558" s="10"/>
    </row>
    <row r="559" spans="1:15" x14ac:dyDescent="0.3">
      <c r="A559" t="s">
        <v>675</v>
      </c>
      <c r="B559" t="s">
        <v>107</v>
      </c>
      <c r="C559" t="s">
        <v>17</v>
      </c>
      <c r="D559" t="s">
        <v>19</v>
      </c>
      <c r="E559" s="16">
        <v>45817</v>
      </c>
      <c r="F559">
        <v>122</v>
      </c>
      <c r="G559" t="s">
        <v>122</v>
      </c>
      <c r="H559">
        <v>70</v>
      </c>
      <c r="I559">
        <v>56</v>
      </c>
      <c r="J559">
        <v>265048</v>
      </c>
      <c r="K559">
        <v>36086</v>
      </c>
      <c r="L559" t="e">
        <f>[1]!Table1[[#This Row],[Revenue]]-[1]!Table1[[#This Row],[OperationalCost]]</f>
        <v>#REF!</v>
      </c>
      <c r="M559" t="str">
        <f t="shared" si="8"/>
        <v>Jun</v>
      </c>
      <c r="N559" s="15">
        <f>Table11[[#This Row],[SeatsSold]]/Table11[[#This Row],[SeatsAvailable]]</f>
        <v>0.8</v>
      </c>
      <c r="O559" s="10"/>
    </row>
    <row r="560" spans="1:15" x14ac:dyDescent="0.3">
      <c r="A560" t="s">
        <v>676</v>
      </c>
      <c r="B560" t="s">
        <v>97</v>
      </c>
      <c r="C560" t="s">
        <v>6</v>
      </c>
      <c r="D560" t="s">
        <v>15</v>
      </c>
      <c r="E560" s="16">
        <v>45666</v>
      </c>
      <c r="F560">
        <v>221</v>
      </c>
      <c r="G560" t="s">
        <v>120</v>
      </c>
      <c r="H560">
        <v>192</v>
      </c>
      <c r="I560">
        <v>116</v>
      </c>
      <c r="J560">
        <v>307284</v>
      </c>
      <c r="K560">
        <v>80398</v>
      </c>
      <c r="L560" t="e">
        <f>[1]!Table1[[#This Row],[Revenue]]-[1]!Table1[[#This Row],[OperationalCost]]</f>
        <v>#REF!</v>
      </c>
      <c r="M560" t="str">
        <f t="shared" si="8"/>
        <v>Jan</v>
      </c>
      <c r="N560" s="15">
        <f>Table11[[#This Row],[SeatsSold]]/Table11[[#This Row],[SeatsAvailable]]</f>
        <v>0.60416666666666663</v>
      </c>
      <c r="O560" s="10"/>
    </row>
    <row r="561" spans="1:15" x14ac:dyDescent="0.3">
      <c r="A561" t="s">
        <v>677</v>
      </c>
      <c r="B561" t="s">
        <v>81</v>
      </c>
      <c r="C561" t="s">
        <v>15</v>
      </c>
      <c r="D561" t="s">
        <v>9</v>
      </c>
      <c r="E561" s="16">
        <v>45665</v>
      </c>
      <c r="F561">
        <v>185</v>
      </c>
      <c r="G561" t="s">
        <v>118</v>
      </c>
      <c r="H561">
        <v>118</v>
      </c>
      <c r="I561">
        <v>92</v>
      </c>
      <c r="J561">
        <v>1074928</v>
      </c>
      <c r="K561">
        <v>64093</v>
      </c>
      <c r="L561" t="e">
        <f>[1]!Table1[[#This Row],[Revenue]]-[1]!Table1[[#This Row],[OperationalCost]]</f>
        <v>#REF!</v>
      </c>
      <c r="M561" t="str">
        <f t="shared" si="8"/>
        <v>Jan</v>
      </c>
      <c r="N561" s="15">
        <f>Table11[[#This Row],[SeatsSold]]/Table11[[#This Row],[SeatsAvailable]]</f>
        <v>0.77966101694915257</v>
      </c>
      <c r="O561" s="10"/>
    </row>
    <row r="562" spans="1:15" x14ac:dyDescent="0.3">
      <c r="A562" t="s">
        <v>678</v>
      </c>
      <c r="B562" t="s">
        <v>59</v>
      </c>
      <c r="C562" t="s">
        <v>9</v>
      </c>
      <c r="D562" t="s">
        <v>14</v>
      </c>
      <c r="E562" s="16">
        <v>46319</v>
      </c>
      <c r="F562">
        <v>144</v>
      </c>
      <c r="G562" t="s">
        <v>120</v>
      </c>
      <c r="H562">
        <v>126</v>
      </c>
      <c r="I562">
        <v>73</v>
      </c>
      <c r="J562">
        <v>277181</v>
      </c>
      <c r="K562">
        <v>63072</v>
      </c>
      <c r="L562" t="e">
        <f>[1]!Table1[[#This Row],[Revenue]]-[1]!Table1[[#This Row],[OperationalCost]]</f>
        <v>#REF!</v>
      </c>
      <c r="M562" t="str">
        <f t="shared" si="8"/>
        <v>Oct</v>
      </c>
      <c r="N562" s="15">
        <f>Table11[[#This Row],[SeatsSold]]/Table11[[#This Row],[SeatsAvailable]]</f>
        <v>0.57936507936507942</v>
      </c>
      <c r="O562" s="10"/>
    </row>
    <row r="563" spans="1:15" x14ac:dyDescent="0.3">
      <c r="A563" t="s">
        <v>679</v>
      </c>
      <c r="B563" t="s">
        <v>67</v>
      </c>
      <c r="C563" t="s">
        <v>9</v>
      </c>
      <c r="D563" t="s">
        <v>15</v>
      </c>
      <c r="E563" s="16">
        <v>46285</v>
      </c>
      <c r="F563">
        <v>222</v>
      </c>
      <c r="G563" t="s">
        <v>118</v>
      </c>
      <c r="H563">
        <v>142</v>
      </c>
      <c r="I563">
        <v>123</v>
      </c>
      <c r="J563">
        <v>1379445</v>
      </c>
      <c r="K563">
        <v>68006</v>
      </c>
      <c r="L563" t="e">
        <f>[1]!Table1[[#This Row],[Revenue]]-[1]!Table1[[#This Row],[OperationalCost]]</f>
        <v>#REF!</v>
      </c>
      <c r="M563" t="str">
        <f t="shared" si="8"/>
        <v>Sep</v>
      </c>
      <c r="N563" s="15">
        <f>Table11[[#This Row],[SeatsSold]]/Table11[[#This Row],[SeatsAvailable]]</f>
        <v>0.86619718309859151</v>
      </c>
      <c r="O563" s="10"/>
    </row>
    <row r="564" spans="1:15" x14ac:dyDescent="0.3">
      <c r="A564" t="s">
        <v>680</v>
      </c>
      <c r="B564" t="s">
        <v>7</v>
      </c>
      <c r="C564" t="s">
        <v>9</v>
      </c>
      <c r="D564" t="s">
        <v>3</v>
      </c>
      <c r="E564" s="16">
        <v>45844</v>
      </c>
      <c r="F564">
        <v>79</v>
      </c>
      <c r="G564" t="s">
        <v>118</v>
      </c>
      <c r="H564">
        <v>98</v>
      </c>
      <c r="I564">
        <v>80</v>
      </c>
      <c r="J564">
        <v>796800</v>
      </c>
      <c r="K564">
        <v>41072</v>
      </c>
      <c r="L564" t="e">
        <f>[1]!Table1[[#This Row],[Revenue]]-[1]!Table1[[#This Row],[OperationalCost]]</f>
        <v>#REF!</v>
      </c>
      <c r="M564" t="str">
        <f t="shared" si="8"/>
        <v>Jul</v>
      </c>
      <c r="N564" s="15">
        <f>Table11[[#This Row],[SeatsSold]]/Table11[[#This Row],[SeatsAvailable]]</f>
        <v>0.81632653061224492</v>
      </c>
      <c r="O564" s="10"/>
    </row>
    <row r="565" spans="1:15" x14ac:dyDescent="0.3">
      <c r="A565" t="s">
        <v>681</v>
      </c>
      <c r="B565" t="s">
        <v>101</v>
      </c>
      <c r="C565" t="s">
        <v>19</v>
      </c>
      <c r="D565" t="s">
        <v>11</v>
      </c>
      <c r="E565" s="16">
        <v>45850</v>
      </c>
      <c r="F565">
        <v>127</v>
      </c>
      <c r="G565" t="s">
        <v>122</v>
      </c>
      <c r="H565">
        <v>108</v>
      </c>
      <c r="I565">
        <v>46</v>
      </c>
      <c r="J565">
        <v>518144</v>
      </c>
      <c r="K565">
        <v>29591</v>
      </c>
      <c r="L565" t="e">
        <f>[1]!Table1[[#This Row],[Revenue]]-[1]!Table1[[#This Row],[OperationalCost]]</f>
        <v>#REF!</v>
      </c>
      <c r="M565" t="str">
        <f t="shared" si="8"/>
        <v>Jul</v>
      </c>
      <c r="N565" s="15">
        <f>Table11[[#This Row],[SeatsSold]]/Table11[[#This Row],[SeatsAvailable]]</f>
        <v>0.42592592592592593</v>
      </c>
      <c r="O565" s="10"/>
    </row>
    <row r="566" spans="1:15" x14ac:dyDescent="0.3">
      <c r="A566" t="s">
        <v>682</v>
      </c>
      <c r="B566" t="s">
        <v>96</v>
      </c>
      <c r="C566" t="s">
        <v>3</v>
      </c>
      <c r="D566" t="s">
        <v>21</v>
      </c>
      <c r="E566" s="16">
        <v>45933</v>
      </c>
      <c r="F566">
        <v>77</v>
      </c>
      <c r="G566" t="s">
        <v>120</v>
      </c>
      <c r="H566">
        <v>72</v>
      </c>
      <c r="I566">
        <v>54</v>
      </c>
      <c r="J566">
        <v>214758</v>
      </c>
      <c r="K566">
        <v>18142</v>
      </c>
      <c r="L566" t="e">
        <f>[1]!Table1[[#This Row],[Revenue]]-[1]!Table1[[#This Row],[OperationalCost]]</f>
        <v>#REF!</v>
      </c>
      <c r="M566" t="str">
        <f t="shared" si="8"/>
        <v>Oct</v>
      </c>
      <c r="N566" s="15">
        <f>Table11[[#This Row],[SeatsSold]]/Table11[[#This Row],[SeatsAvailable]]</f>
        <v>0.75</v>
      </c>
      <c r="O566" s="10"/>
    </row>
    <row r="567" spans="1:15" x14ac:dyDescent="0.3">
      <c r="A567" t="s">
        <v>683</v>
      </c>
      <c r="B567" t="s">
        <v>62</v>
      </c>
      <c r="C567" t="s">
        <v>6</v>
      </c>
      <c r="D567" t="s">
        <v>9</v>
      </c>
      <c r="E567" s="16">
        <v>46008</v>
      </c>
      <c r="F567">
        <v>152</v>
      </c>
      <c r="G567" t="s">
        <v>118</v>
      </c>
      <c r="H567">
        <v>197</v>
      </c>
      <c r="I567">
        <v>135</v>
      </c>
      <c r="J567">
        <v>1363095</v>
      </c>
      <c r="K567">
        <v>62632</v>
      </c>
      <c r="L567" t="e">
        <f>[1]!Table1[[#This Row],[Revenue]]-[1]!Table1[[#This Row],[OperationalCost]]</f>
        <v>#REF!</v>
      </c>
      <c r="M567" t="str">
        <f t="shared" si="8"/>
        <v>Dec</v>
      </c>
      <c r="N567" s="15">
        <f>Table11[[#This Row],[SeatsSold]]/Table11[[#This Row],[SeatsAvailable]]</f>
        <v>0.68527918781725883</v>
      </c>
      <c r="O567" s="10"/>
    </row>
    <row r="568" spans="1:15" x14ac:dyDescent="0.3">
      <c r="A568" t="s">
        <v>684</v>
      </c>
      <c r="B568" t="s">
        <v>12</v>
      </c>
      <c r="C568" t="s">
        <v>21</v>
      </c>
      <c r="D568" t="s">
        <v>3</v>
      </c>
      <c r="E568" s="16">
        <v>45807</v>
      </c>
      <c r="F568">
        <v>59</v>
      </c>
      <c r="G568" t="s">
        <v>118</v>
      </c>
      <c r="H568">
        <v>170</v>
      </c>
      <c r="I568">
        <v>58</v>
      </c>
      <c r="J568">
        <v>661142</v>
      </c>
      <c r="K568">
        <v>35580</v>
      </c>
      <c r="L568" t="e">
        <f>[1]!Table1[[#This Row],[Revenue]]-[1]!Table1[[#This Row],[OperationalCost]]</f>
        <v>#REF!</v>
      </c>
      <c r="M568" t="str">
        <f t="shared" si="8"/>
        <v>May</v>
      </c>
      <c r="N568" s="15">
        <f>Table11[[#This Row],[SeatsSold]]/Table11[[#This Row],[SeatsAvailable]]</f>
        <v>0.3411764705882353</v>
      </c>
      <c r="O568" s="10"/>
    </row>
    <row r="569" spans="1:15" x14ac:dyDescent="0.3">
      <c r="A569" t="s">
        <v>685</v>
      </c>
      <c r="B569" t="s">
        <v>4</v>
      </c>
      <c r="C569" t="s">
        <v>9</v>
      </c>
      <c r="D569" t="s">
        <v>21</v>
      </c>
      <c r="E569" s="16">
        <v>46048</v>
      </c>
      <c r="F569">
        <v>48</v>
      </c>
      <c r="G569" t="s">
        <v>122</v>
      </c>
      <c r="H569">
        <v>133</v>
      </c>
      <c r="I569">
        <v>89</v>
      </c>
      <c r="J569">
        <v>868373</v>
      </c>
      <c r="K569">
        <v>20488</v>
      </c>
      <c r="L569" t="e">
        <f>[1]!Table1[[#This Row],[Revenue]]-[1]!Table1[[#This Row],[OperationalCost]]</f>
        <v>#REF!</v>
      </c>
      <c r="M569" t="str">
        <f t="shared" si="8"/>
        <v>Jan</v>
      </c>
      <c r="N569" s="15">
        <f>Table11[[#This Row],[SeatsSold]]/Table11[[#This Row],[SeatsAvailable]]</f>
        <v>0.66917293233082709</v>
      </c>
      <c r="O569" s="10"/>
    </row>
    <row r="570" spans="1:15" x14ac:dyDescent="0.3">
      <c r="A570" t="s">
        <v>686</v>
      </c>
      <c r="B570" t="s">
        <v>2</v>
      </c>
      <c r="C570" t="s">
        <v>9</v>
      </c>
      <c r="D570" t="s">
        <v>11</v>
      </c>
      <c r="E570" s="16">
        <v>45754</v>
      </c>
      <c r="F570">
        <v>178</v>
      </c>
      <c r="G570" t="s">
        <v>113</v>
      </c>
      <c r="H570">
        <v>191</v>
      </c>
      <c r="I570">
        <v>139</v>
      </c>
      <c r="J570">
        <v>1058207</v>
      </c>
      <c r="K570">
        <v>58876</v>
      </c>
      <c r="L570" t="e">
        <f>[1]!Table1[[#This Row],[Revenue]]-[1]!Table1[[#This Row],[OperationalCost]]</f>
        <v>#REF!</v>
      </c>
      <c r="M570" t="str">
        <f t="shared" si="8"/>
        <v>Apr</v>
      </c>
      <c r="N570" s="15">
        <f>Table11[[#This Row],[SeatsSold]]/Table11[[#This Row],[SeatsAvailable]]</f>
        <v>0.72774869109947649</v>
      </c>
      <c r="O570" s="10"/>
    </row>
    <row r="571" spans="1:15" x14ac:dyDescent="0.3">
      <c r="A571" t="s">
        <v>687</v>
      </c>
      <c r="B571" t="s">
        <v>80</v>
      </c>
      <c r="C571" t="s">
        <v>20</v>
      </c>
      <c r="D571" t="s">
        <v>15</v>
      </c>
      <c r="E571" s="16">
        <v>46191</v>
      </c>
      <c r="F571">
        <v>76</v>
      </c>
      <c r="G571" t="s">
        <v>118</v>
      </c>
      <c r="H571">
        <v>193</v>
      </c>
      <c r="I571">
        <v>116</v>
      </c>
      <c r="J571">
        <v>667580</v>
      </c>
      <c r="K571">
        <v>34061</v>
      </c>
      <c r="L571" t="e">
        <f>[1]!Table1[[#This Row],[Revenue]]-[1]!Table1[[#This Row],[OperationalCost]]</f>
        <v>#REF!</v>
      </c>
      <c r="M571" t="str">
        <f t="shared" si="8"/>
        <v>Jun</v>
      </c>
      <c r="N571" s="15">
        <f>Table11[[#This Row],[SeatsSold]]/Table11[[#This Row],[SeatsAvailable]]</f>
        <v>0.60103626943005184</v>
      </c>
      <c r="O571" s="10"/>
    </row>
    <row r="572" spans="1:15" x14ac:dyDescent="0.3">
      <c r="A572" t="s">
        <v>688</v>
      </c>
      <c r="B572" t="s">
        <v>7</v>
      </c>
      <c r="C572" t="s">
        <v>9</v>
      </c>
      <c r="D572" t="s">
        <v>3</v>
      </c>
      <c r="E572" s="16">
        <v>45899</v>
      </c>
      <c r="F572">
        <v>207</v>
      </c>
      <c r="G572" t="s">
        <v>120</v>
      </c>
      <c r="H572">
        <v>153</v>
      </c>
      <c r="I572">
        <v>41</v>
      </c>
      <c r="J572">
        <v>214922</v>
      </c>
      <c r="K572">
        <v>74367</v>
      </c>
      <c r="L572" t="e">
        <f>[1]!Table1[[#This Row],[Revenue]]-[1]!Table1[[#This Row],[OperationalCost]]</f>
        <v>#REF!</v>
      </c>
      <c r="M572" t="str">
        <f t="shared" si="8"/>
        <v>Aug</v>
      </c>
      <c r="N572" s="15">
        <f>Table11[[#This Row],[SeatsSold]]/Table11[[#This Row],[SeatsAvailable]]</f>
        <v>0.26797385620915032</v>
      </c>
      <c r="O572" s="10"/>
    </row>
    <row r="573" spans="1:15" x14ac:dyDescent="0.3">
      <c r="A573" t="s">
        <v>689</v>
      </c>
      <c r="B573" t="s">
        <v>48</v>
      </c>
      <c r="C573" t="s">
        <v>3</v>
      </c>
      <c r="D573" t="s">
        <v>6</v>
      </c>
      <c r="E573" s="16">
        <v>45906</v>
      </c>
      <c r="F573">
        <v>47</v>
      </c>
      <c r="G573" t="s">
        <v>122</v>
      </c>
      <c r="H573">
        <v>218</v>
      </c>
      <c r="I573">
        <v>216</v>
      </c>
      <c r="J573">
        <v>2221776</v>
      </c>
      <c r="K573">
        <v>64488</v>
      </c>
      <c r="L573" t="e">
        <f>[1]!Table1[[#This Row],[Revenue]]-[1]!Table1[[#This Row],[OperationalCost]]</f>
        <v>#REF!</v>
      </c>
      <c r="M573" t="str">
        <f t="shared" si="8"/>
        <v>Sep</v>
      </c>
      <c r="N573" s="15">
        <f>Table11[[#This Row],[SeatsSold]]/Table11[[#This Row],[SeatsAvailable]]</f>
        <v>0.99082568807339455</v>
      </c>
      <c r="O573" s="10"/>
    </row>
    <row r="574" spans="1:15" x14ac:dyDescent="0.3">
      <c r="A574" t="s">
        <v>690</v>
      </c>
      <c r="B574" t="s">
        <v>40</v>
      </c>
      <c r="C574" t="s">
        <v>14</v>
      </c>
      <c r="D574" t="s">
        <v>17</v>
      </c>
      <c r="E574" s="16">
        <v>45749</v>
      </c>
      <c r="F574">
        <v>108</v>
      </c>
      <c r="G574" t="s">
        <v>113</v>
      </c>
      <c r="H574">
        <v>197</v>
      </c>
      <c r="I574">
        <v>63</v>
      </c>
      <c r="J574">
        <v>506772</v>
      </c>
      <c r="K574">
        <v>48955</v>
      </c>
      <c r="L574" t="e">
        <f>[1]!Table1[[#This Row],[Revenue]]-[1]!Table1[[#This Row],[OperationalCost]]</f>
        <v>#REF!</v>
      </c>
      <c r="M574" t="str">
        <f t="shared" si="8"/>
        <v>Apr</v>
      </c>
      <c r="N574" s="15">
        <f>Table11[[#This Row],[SeatsSold]]/Table11[[#This Row],[SeatsAvailable]]</f>
        <v>0.31979695431472083</v>
      </c>
      <c r="O574" s="10"/>
    </row>
    <row r="575" spans="1:15" x14ac:dyDescent="0.3">
      <c r="A575" t="s">
        <v>691</v>
      </c>
      <c r="B575" t="s">
        <v>54</v>
      </c>
      <c r="C575" t="s">
        <v>20</v>
      </c>
      <c r="D575" t="s">
        <v>17</v>
      </c>
      <c r="E575" s="16">
        <v>46318</v>
      </c>
      <c r="F575">
        <v>84</v>
      </c>
      <c r="G575" t="s">
        <v>116</v>
      </c>
      <c r="H575">
        <v>97</v>
      </c>
      <c r="I575">
        <v>48</v>
      </c>
      <c r="J575">
        <v>503616</v>
      </c>
      <c r="K575">
        <v>30653</v>
      </c>
      <c r="L575" t="e">
        <f>[1]!Table1[[#This Row],[Revenue]]-[1]!Table1[[#This Row],[OperationalCost]]</f>
        <v>#REF!</v>
      </c>
      <c r="M575" t="str">
        <f t="shared" si="8"/>
        <v>Oct</v>
      </c>
      <c r="N575" s="15">
        <f>Table11[[#This Row],[SeatsSold]]/Table11[[#This Row],[SeatsAvailable]]</f>
        <v>0.49484536082474229</v>
      </c>
      <c r="O575" s="10"/>
    </row>
    <row r="576" spans="1:15" x14ac:dyDescent="0.3">
      <c r="A576" t="s">
        <v>692</v>
      </c>
      <c r="B576" t="s">
        <v>13</v>
      </c>
      <c r="C576" t="s">
        <v>11</v>
      </c>
      <c r="D576" t="s">
        <v>21</v>
      </c>
      <c r="E576" s="16">
        <v>46107</v>
      </c>
      <c r="F576">
        <v>232</v>
      </c>
      <c r="G576" t="s">
        <v>113</v>
      </c>
      <c r="H576">
        <v>75</v>
      </c>
      <c r="I576">
        <v>64</v>
      </c>
      <c r="J576">
        <v>535552</v>
      </c>
      <c r="K576">
        <v>46528</v>
      </c>
      <c r="L576" t="e">
        <f>[1]!Table1[[#This Row],[Revenue]]-[1]!Table1[[#This Row],[OperationalCost]]</f>
        <v>#REF!</v>
      </c>
      <c r="M576" t="str">
        <f t="shared" si="8"/>
        <v>Mar</v>
      </c>
      <c r="N576" s="15">
        <f>Table11[[#This Row],[SeatsSold]]/Table11[[#This Row],[SeatsAvailable]]</f>
        <v>0.85333333333333339</v>
      </c>
      <c r="O576" s="10"/>
    </row>
    <row r="577" spans="1:15" x14ac:dyDescent="0.3">
      <c r="A577" t="s">
        <v>693</v>
      </c>
      <c r="B577" t="s">
        <v>78</v>
      </c>
      <c r="C577" t="s">
        <v>20</v>
      </c>
      <c r="D577" t="s">
        <v>11</v>
      </c>
      <c r="E577" s="16">
        <v>46381</v>
      </c>
      <c r="F577">
        <v>157</v>
      </c>
      <c r="G577" t="s">
        <v>116</v>
      </c>
      <c r="H577">
        <v>145</v>
      </c>
      <c r="I577">
        <v>109</v>
      </c>
      <c r="J577">
        <v>1147661</v>
      </c>
      <c r="K577">
        <v>59001</v>
      </c>
      <c r="L577" t="e">
        <f>[1]!Table1[[#This Row],[Revenue]]-[1]!Table1[[#This Row],[OperationalCost]]</f>
        <v>#REF!</v>
      </c>
      <c r="M577" t="str">
        <f t="shared" ref="M577:M640" si="9">TEXT(E577,"MMM")</f>
        <v>Dec</v>
      </c>
      <c r="N577" s="15">
        <f>Table11[[#This Row],[SeatsSold]]/Table11[[#This Row],[SeatsAvailable]]</f>
        <v>0.75172413793103443</v>
      </c>
      <c r="O577" s="10"/>
    </row>
    <row r="578" spans="1:15" x14ac:dyDescent="0.3">
      <c r="A578" t="s">
        <v>694</v>
      </c>
      <c r="B578" t="s">
        <v>42</v>
      </c>
      <c r="C578" t="s">
        <v>14</v>
      </c>
      <c r="D578" t="s">
        <v>15</v>
      </c>
      <c r="E578" s="16">
        <v>46014</v>
      </c>
      <c r="F578">
        <v>127</v>
      </c>
      <c r="G578" t="s">
        <v>120</v>
      </c>
      <c r="H578">
        <v>140</v>
      </c>
      <c r="I578">
        <v>116</v>
      </c>
      <c r="J578">
        <v>1343860</v>
      </c>
      <c r="K578">
        <v>34027</v>
      </c>
      <c r="L578" t="e">
        <f>[1]!Table1[[#This Row],[Revenue]]-[1]!Table1[[#This Row],[OperationalCost]]</f>
        <v>#REF!</v>
      </c>
      <c r="M578" t="str">
        <f t="shared" si="9"/>
        <v>Dec</v>
      </c>
      <c r="N578" s="15">
        <f>Table11[[#This Row],[SeatsSold]]/Table11[[#This Row],[SeatsAvailable]]</f>
        <v>0.82857142857142863</v>
      </c>
      <c r="O578" s="10"/>
    </row>
    <row r="579" spans="1:15" x14ac:dyDescent="0.3">
      <c r="A579" t="s">
        <v>695</v>
      </c>
      <c r="B579" t="s">
        <v>57</v>
      </c>
      <c r="C579" t="s">
        <v>11</v>
      </c>
      <c r="D579" t="s">
        <v>14</v>
      </c>
      <c r="E579" s="16">
        <v>46118</v>
      </c>
      <c r="F579">
        <v>120</v>
      </c>
      <c r="G579" t="s">
        <v>118</v>
      </c>
      <c r="H579">
        <v>208</v>
      </c>
      <c r="I579">
        <v>133</v>
      </c>
      <c r="J579">
        <v>1321887</v>
      </c>
      <c r="K579">
        <v>64944</v>
      </c>
      <c r="L579" t="e">
        <f>[1]!Table1[[#This Row],[Revenue]]-[1]!Table1[[#This Row],[OperationalCost]]</f>
        <v>#REF!</v>
      </c>
      <c r="M579" t="str">
        <f t="shared" si="9"/>
        <v>Apr</v>
      </c>
      <c r="N579" s="15">
        <f>Table11[[#This Row],[SeatsSold]]/Table11[[#This Row],[SeatsAvailable]]</f>
        <v>0.63942307692307687</v>
      </c>
      <c r="O579" s="10"/>
    </row>
    <row r="580" spans="1:15" x14ac:dyDescent="0.3">
      <c r="A580" t="s">
        <v>696</v>
      </c>
      <c r="B580" t="s">
        <v>70</v>
      </c>
      <c r="C580" t="s">
        <v>11</v>
      </c>
      <c r="D580" t="s">
        <v>17</v>
      </c>
      <c r="E580" s="16">
        <v>45847</v>
      </c>
      <c r="F580">
        <v>49</v>
      </c>
      <c r="G580" t="s">
        <v>116</v>
      </c>
      <c r="H580">
        <v>163</v>
      </c>
      <c r="I580">
        <v>139</v>
      </c>
      <c r="J580">
        <v>891268</v>
      </c>
      <c r="K580">
        <v>25546</v>
      </c>
      <c r="L580" t="e">
        <f>[1]!Table1[[#This Row],[Revenue]]-[1]!Table1[[#This Row],[OperationalCost]]</f>
        <v>#REF!</v>
      </c>
      <c r="M580" t="str">
        <f t="shared" si="9"/>
        <v>Jul</v>
      </c>
      <c r="N580" s="15">
        <f>Table11[[#This Row],[SeatsSold]]/Table11[[#This Row],[SeatsAvailable]]</f>
        <v>0.85276073619631898</v>
      </c>
      <c r="O580" s="10"/>
    </row>
    <row r="581" spans="1:15" x14ac:dyDescent="0.3">
      <c r="A581" t="s">
        <v>697</v>
      </c>
      <c r="B581" t="s">
        <v>70</v>
      </c>
      <c r="C581" t="s">
        <v>11</v>
      </c>
      <c r="D581" t="s">
        <v>17</v>
      </c>
      <c r="E581" s="16">
        <v>45852</v>
      </c>
      <c r="F581">
        <v>179</v>
      </c>
      <c r="G581" t="s">
        <v>120</v>
      </c>
      <c r="H581">
        <v>211</v>
      </c>
      <c r="I581">
        <v>79</v>
      </c>
      <c r="J581">
        <v>563902</v>
      </c>
      <c r="K581">
        <v>74982</v>
      </c>
      <c r="L581" t="e">
        <f>[1]!Table1[[#This Row],[Revenue]]-[1]!Table1[[#This Row],[OperationalCost]]</f>
        <v>#REF!</v>
      </c>
      <c r="M581" t="str">
        <f t="shared" si="9"/>
        <v>Jul</v>
      </c>
      <c r="N581" s="15">
        <f>Table11[[#This Row],[SeatsSold]]/Table11[[#This Row],[SeatsAvailable]]</f>
        <v>0.37440758293838861</v>
      </c>
      <c r="O581" s="10"/>
    </row>
    <row r="582" spans="1:15" x14ac:dyDescent="0.3">
      <c r="A582" t="s">
        <v>698</v>
      </c>
      <c r="B582" t="s">
        <v>12</v>
      </c>
      <c r="C582" t="s">
        <v>21</v>
      </c>
      <c r="D582" t="s">
        <v>3</v>
      </c>
      <c r="E582" s="16">
        <v>45756</v>
      </c>
      <c r="F582">
        <v>178</v>
      </c>
      <c r="G582" t="s">
        <v>122</v>
      </c>
      <c r="H582">
        <v>81</v>
      </c>
      <c r="I582">
        <v>48</v>
      </c>
      <c r="J582">
        <v>260448</v>
      </c>
      <c r="K582">
        <v>33395</v>
      </c>
      <c r="L582" t="e">
        <f>[1]!Table1[[#This Row],[Revenue]]-[1]!Table1[[#This Row],[OperationalCost]]</f>
        <v>#REF!</v>
      </c>
      <c r="M582" t="str">
        <f t="shared" si="9"/>
        <v>Apr</v>
      </c>
      <c r="N582" s="15">
        <f>Table11[[#This Row],[SeatsSold]]/Table11[[#This Row],[SeatsAvailable]]</f>
        <v>0.59259259259259256</v>
      </c>
      <c r="O582" s="10"/>
    </row>
    <row r="583" spans="1:15" x14ac:dyDescent="0.3">
      <c r="A583" t="s">
        <v>699</v>
      </c>
      <c r="B583" t="s">
        <v>8</v>
      </c>
      <c r="C583" t="s">
        <v>3</v>
      </c>
      <c r="D583" t="s">
        <v>11</v>
      </c>
      <c r="E583" s="16">
        <v>45854</v>
      </c>
      <c r="F583">
        <v>70</v>
      </c>
      <c r="G583" t="s">
        <v>122</v>
      </c>
      <c r="H583">
        <v>216</v>
      </c>
      <c r="I583">
        <v>204</v>
      </c>
      <c r="J583">
        <v>1808664</v>
      </c>
      <c r="K583">
        <v>64440</v>
      </c>
      <c r="L583" t="e">
        <f>[1]!Table1[[#This Row],[Revenue]]-[1]!Table1[[#This Row],[OperationalCost]]</f>
        <v>#REF!</v>
      </c>
      <c r="M583" t="str">
        <f t="shared" si="9"/>
        <v>Jul</v>
      </c>
      <c r="N583" s="15">
        <f>Table11[[#This Row],[SeatsSold]]/Table11[[#This Row],[SeatsAvailable]]</f>
        <v>0.94444444444444442</v>
      </c>
      <c r="O583" s="10"/>
    </row>
    <row r="584" spans="1:15" x14ac:dyDescent="0.3">
      <c r="A584" t="s">
        <v>700</v>
      </c>
      <c r="B584" t="s">
        <v>88</v>
      </c>
      <c r="C584" t="s">
        <v>11</v>
      </c>
      <c r="D584" t="s">
        <v>19</v>
      </c>
      <c r="E584" s="16">
        <v>45708</v>
      </c>
      <c r="F584">
        <v>138</v>
      </c>
      <c r="G584" t="s">
        <v>113</v>
      </c>
      <c r="H584">
        <v>88</v>
      </c>
      <c r="I584">
        <v>40</v>
      </c>
      <c r="J584">
        <v>236760</v>
      </c>
      <c r="K584">
        <v>57646</v>
      </c>
      <c r="L584" t="e">
        <f>[1]!Table1[[#This Row],[Revenue]]-[1]!Table1[[#This Row],[OperationalCost]]</f>
        <v>#REF!</v>
      </c>
      <c r="M584" t="str">
        <f t="shared" si="9"/>
        <v>Feb</v>
      </c>
      <c r="N584" s="15">
        <f>Table11[[#This Row],[SeatsSold]]/Table11[[#This Row],[SeatsAvailable]]</f>
        <v>0.45454545454545453</v>
      </c>
      <c r="O584" s="10"/>
    </row>
    <row r="585" spans="1:15" x14ac:dyDescent="0.3">
      <c r="A585" t="s">
        <v>701</v>
      </c>
      <c r="B585" t="s">
        <v>8</v>
      </c>
      <c r="C585" t="s">
        <v>3</v>
      </c>
      <c r="D585" t="s">
        <v>11</v>
      </c>
      <c r="E585" s="16">
        <v>46312</v>
      </c>
      <c r="F585">
        <v>60</v>
      </c>
      <c r="G585" t="s">
        <v>118</v>
      </c>
      <c r="H585">
        <v>212</v>
      </c>
      <c r="I585">
        <v>146</v>
      </c>
      <c r="J585">
        <v>1247716</v>
      </c>
      <c r="K585">
        <v>58284</v>
      </c>
      <c r="L585" t="e">
        <f>[1]!Table1[[#This Row],[Revenue]]-[1]!Table1[[#This Row],[OperationalCost]]</f>
        <v>#REF!</v>
      </c>
      <c r="M585" t="str">
        <f t="shared" si="9"/>
        <v>Oct</v>
      </c>
      <c r="N585" s="15">
        <f>Table11[[#This Row],[SeatsSold]]/Table11[[#This Row],[SeatsAvailable]]</f>
        <v>0.68867924528301883</v>
      </c>
      <c r="O585" s="10"/>
    </row>
    <row r="586" spans="1:15" x14ac:dyDescent="0.3">
      <c r="A586" t="s">
        <v>702</v>
      </c>
      <c r="B586" t="s">
        <v>94</v>
      </c>
      <c r="C586" t="s">
        <v>19</v>
      </c>
      <c r="D586" t="s">
        <v>15</v>
      </c>
      <c r="E586" s="16">
        <v>45699</v>
      </c>
      <c r="F586">
        <v>232</v>
      </c>
      <c r="G586" t="s">
        <v>122</v>
      </c>
      <c r="H586">
        <v>147</v>
      </c>
      <c r="I586">
        <v>49</v>
      </c>
      <c r="J586">
        <v>295813</v>
      </c>
      <c r="K586">
        <v>73752</v>
      </c>
      <c r="L586" t="e">
        <f>[1]!Table1[[#This Row],[Revenue]]-[1]!Table1[[#This Row],[OperationalCost]]</f>
        <v>#REF!</v>
      </c>
      <c r="M586" t="str">
        <f t="shared" si="9"/>
        <v>Feb</v>
      </c>
      <c r="N586" s="15">
        <f>Table11[[#This Row],[SeatsSold]]/Table11[[#This Row],[SeatsAvailable]]</f>
        <v>0.33333333333333331</v>
      </c>
      <c r="O586" s="10"/>
    </row>
    <row r="587" spans="1:15" x14ac:dyDescent="0.3">
      <c r="A587" t="s">
        <v>703</v>
      </c>
      <c r="B587" t="s">
        <v>98</v>
      </c>
      <c r="C587" t="s">
        <v>3</v>
      </c>
      <c r="D587" t="s">
        <v>19</v>
      </c>
      <c r="E587" s="16">
        <v>46202</v>
      </c>
      <c r="F587">
        <v>143</v>
      </c>
      <c r="G587" t="s">
        <v>113</v>
      </c>
      <c r="H587">
        <v>119</v>
      </c>
      <c r="I587">
        <v>107</v>
      </c>
      <c r="J587">
        <v>703525</v>
      </c>
      <c r="K587">
        <v>66455</v>
      </c>
      <c r="L587" t="e">
        <f>[1]!Table1[[#This Row],[Revenue]]-[1]!Table1[[#This Row],[OperationalCost]]</f>
        <v>#REF!</v>
      </c>
      <c r="M587" t="str">
        <f t="shared" si="9"/>
        <v>Jun</v>
      </c>
      <c r="N587" s="15">
        <f>Table11[[#This Row],[SeatsSold]]/Table11[[#This Row],[SeatsAvailable]]</f>
        <v>0.89915966386554624</v>
      </c>
      <c r="O587" s="10"/>
    </row>
    <row r="588" spans="1:15" x14ac:dyDescent="0.3">
      <c r="A588" t="s">
        <v>704</v>
      </c>
      <c r="B588" t="s">
        <v>42</v>
      </c>
      <c r="C588" t="s">
        <v>14</v>
      </c>
      <c r="D588" t="s">
        <v>15</v>
      </c>
      <c r="E588" s="16">
        <v>46229</v>
      </c>
      <c r="F588">
        <v>151</v>
      </c>
      <c r="G588" t="s">
        <v>122</v>
      </c>
      <c r="H588">
        <v>217</v>
      </c>
      <c r="I588">
        <v>131</v>
      </c>
      <c r="J588">
        <v>1311965</v>
      </c>
      <c r="K588">
        <v>99399</v>
      </c>
      <c r="L588" t="e">
        <f>[1]!Table1[[#This Row],[Revenue]]-[1]!Table1[[#This Row],[OperationalCost]]</f>
        <v>#REF!</v>
      </c>
      <c r="M588" t="str">
        <f t="shared" si="9"/>
        <v>Jul</v>
      </c>
      <c r="N588" s="15">
        <f>Table11[[#This Row],[SeatsSold]]/Table11[[#This Row],[SeatsAvailable]]</f>
        <v>0.60368663594470051</v>
      </c>
      <c r="O588" s="10"/>
    </row>
    <row r="589" spans="1:15" x14ac:dyDescent="0.3">
      <c r="A589" t="s">
        <v>705</v>
      </c>
      <c r="B589" t="s">
        <v>41</v>
      </c>
      <c r="C589" t="s">
        <v>17</v>
      </c>
      <c r="D589" t="s">
        <v>3</v>
      </c>
      <c r="E589" s="16">
        <v>45828</v>
      </c>
      <c r="F589">
        <v>91</v>
      </c>
      <c r="G589" t="s">
        <v>116</v>
      </c>
      <c r="H589">
        <v>172</v>
      </c>
      <c r="I589">
        <v>169</v>
      </c>
      <c r="J589">
        <v>1356901</v>
      </c>
      <c r="K589">
        <v>46848</v>
      </c>
      <c r="L589" t="e">
        <f>[1]!Table1[[#This Row],[Revenue]]-[1]!Table1[[#This Row],[OperationalCost]]</f>
        <v>#REF!</v>
      </c>
      <c r="M589" t="str">
        <f t="shared" si="9"/>
        <v>Jun</v>
      </c>
      <c r="N589" s="15">
        <f>Table11[[#This Row],[SeatsSold]]/Table11[[#This Row],[SeatsAvailable]]</f>
        <v>0.98255813953488369</v>
      </c>
      <c r="O589" s="10"/>
    </row>
    <row r="590" spans="1:15" x14ac:dyDescent="0.3">
      <c r="A590" t="s">
        <v>706</v>
      </c>
      <c r="B590" t="s">
        <v>68</v>
      </c>
      <c r="C590" t="s">
        <v>11</v>
      </c>
      <c r="D590" t="s">
        <v>6</v>
      </c>
      <c r="E590" s="16">
        <v>46018</v>
      </c>
      <c r="F590">
        <v>125</v>
      </c>
      <c r="G590" t="s">
        <v>116</v>
      </c>
      <c r="H590">
        <v>153</v>
      </c>
      <c r="I590">
        <v>148</v>
      </c>
      <c r="J590">
        <v>1271320</v>
      </c>
      <c r="K590">
        <v>65151</v>
      </c>
      <c r="L590" t="e">
        <f>[1]!Table1[[#This Row],[Revenue]]-[1]!Table1[[#This Row],[OperationalCost]]</f>
        <v>#REF!</v>
      </c>
      <c r="M590" t="str">
        <f t="shared" si="9"/>
        <v>Dec</v>
      </c>
      <c r="N590" s="15">
        <f>Table11[[#This Row],[SeatsSold]]/Table11[[#This Row],[SeatsAvailable]]</f>
        <v>0.9673202614379085</v>
      </c>
      <c r="O590" s="10"/>
    </row>
    <row r="591" spans="1:15" x14ac:dyDescent="0.3">
      <c r="A591" t="s">
        <v>707</v>
      </c>
      <c r="B591" t="s">
        <v>104</v>
      </c>
      <c r="C591" t="s">
        <v>17</v>
      </c>
      <c r="D591" t="s">
        <v>21</v>
      </c>
      <c r="E591" s="16">
        <v>46281</v>
      </c>
      <c r="F591">
        <v>106</v>
      </c>
      <c r="G591" t="s">
        <v>116</v>
      </c>
      <c r="H591">
        <v>209</v>
      </c>
      <c r="I591">
        <v>94</v>
      </c>
      <c r="J591">
        <v>812630</v>
      </c>
      <c r="K591">
        <v>57865</v>
      </c>
      <c r="L591" t="e">
        <f>[1]!Table1[[#This Row],[Revenue]]-[1]!Table1[[#This Row],[OperationalCost]]</f>
        <v>#REF!</v>
      </c>
      <c r="M591" t="str">
        <f t="shared" si="9"/>
        <v>Sep</v>
      </c>
      <c r="N591" s="15">
        <f>Table11[[#This Row],[SeatsSold]]/Table11[[#This Row],[SeatsAvailable]]</f>
        <v>0.44976076555023925</v>
      </c>
      <c r="O591" s="10"/>
    </row>
    <row r="592" spans="1:15" x14ac:dyDescent="0.3">
      <c r="A592" t="s">
        <v>708</v>
      </c>
      <c r="B592" t="s">
        <v>89</v>
      </c>
      <c r="C592" t="s">
        <v>21</v>
      </c>
      <c r="D592" t="s">
        <v>11</v>
      </c>
      <c r="E592" s="16">
        <v>46116</v>
      </c>
      <c r="F592">
        <v>146</v>
      </c>
      <c r="G592" t="s">
        <v>122</v>
      </c>
      <c r="H592">
        <v>78</v>
      </c>
      <c r="I592">
        <v>58</v>
      </c>
      <c r="J592">
        <v>160486</v>
      </c>
      <c r="K592">
        <v>45684</v>
      </c>
      <c r="L592" t="e">
        <f>[1]!Table1[[#This Row],[Revenue]]-[1]!Table1[[#This Row],[OperationalCost]]</f>
        <v>#REF!</v>
      </c>
      <c r="M592" t="str">
        <f t="shared" si="9"/>
        <v>Apr</v>
      </c>
      <c r="N592" s="15">
        <f>Table11[[#This Row],[SeatsSold]]/Table11[[#This Row],[SeatsAvailable]]</f>
        <v>0.74358974358974361</v>
      </c>
      <c r="O592" s="10"/>
    </row>
    <row r="593" spans="1:15" x14ac:dyDescent="0.3">
      <c r="A593" t="s">
        <v>709</v>
      </c>
      <c r="B593" t="s">
        <v>100</v>
      </c>
      <c r="C593" t="s">
        <v>19</v>
      </c>
      <c r="D593" t="s">
        <v>20</v>
      </c>
      <c r="E593" s="16">
        <v>45965</v>
      </c>
      <c r="F593">
        <v>101</v>
      </c>
      <c r="G593" t="s">
        <v>113</v>
      </c>
      <c r="H593">
        <v>150</v>
      </c>
      <c r="I593">
        <v>42</v>
      </c>
      <c r="J593">
        <v>294882</v>
      </c>
      <c r="K593">
        <v>57861</v>
      </c>
      <c r="L593" t="e">
        <f>[1]!Table1[[#This Row],[Revenue]]-[1]!Table1[[#This Row],[OperationalCost]]</f>
        <v>#REF!</v>
      </c>
      <c r="M593" t="str">
        <f t="shared" si="9"/>
        <v>Nov</v>
      </c>
      <c r="N593" s="15">
        <f>Table11[[#This Row],[SeatsSold]]/Table11[[#This Row],[SeatsAvailable]]</f>
        <v>0.28000000000000003</v>
      </c>
      <c r="O593" s="10"/>
    </row>
    <row r="594" spans="1:15" x14ac:dyDescent="0.3">
      <c r="A594" t="s">
        <v>710</v>
      </c>
      <c r="B594" t="s">
        <v>57</v>
      </c>
      <c r="C594" t="s">
        <v>11</v>
      </c>
      <c r="D594" t="s">
        <v>14</v>
      </c>
      <c r="E594" s="16">
        <v>45754</v>
      </c>
      <c r="F594">
        <v>54</v>
      </c>
      <c r="G594" t="s">
        <v>120</v>
      </c>
      <c r="H594">
        <v>161</v>
      </c>
      <c r="I594">
        <v>59</v>
      </c>
      <c r="J594">
        <v>281253</v>
      </c>
      <c r="K594">
        <v>37951</v>
      </c>
      <c r="L594" t="e">
        <f>[1]!Table1[[#This Row],[Revenue]]-[1]!Table1[[#This Row],[OperationalCost]]</f>
        <v>#REF!</v>
      </c>
      <c r="M594" t="str">
        <f t="shared" si="9"/>
        <v>Apr</v>
      </c>
      <c r="N594" s="15">
        <f>Table11[[#This Row],[SeatsSold]]/Table11[[#This Row],[SeatsAvailable]]</f>
        <v>0.36645962732919257</v>
      </c>
      <c r="O594" s="10"/>
    </row>
    <row r="595" spans="1:15" x14ac:dyDescent="0.3">
      <c r="A595" t="s">
        <v>711</v>
      </c>
      <c r="B595" t="s">
        <v>81</v>
      </c>
      <c r="C595" t="s">
        <v>15</v>
      </c>
      <c r="D595" t="s">
        <v>9</v>
      </c>
      <c r="E595" s="16">
        <v>45896</v>
      </c>
      <c r="F595">
        <v>110</v>
      </c>
      <c r="G595" t="s">
        <v>118</v>
      </c>
      <c r="H595">
        <v>93</v>
      </c>
      <c r="I595">
        <v>76</v>
      </c>
      <c r="J595">
        <v>687800</v>
      </c>
      <c r="K595">
        <v>41705</v>
      </c>
      <c r="L595" t="e">
        <f>[1]!Table1[[#This Row],[Revenue]]-[1]!Table1[[#This Row],[OperationalCost]]</f>
        <v>#REF!</v>
      </c>
      <c r="M595" t="str">
        <f t="shared" si="9"/>
        <v>Aug</v>
      </c>
      <c r="N595" s="15">
        <f>Table11[[#This Row],[SeatsSold]]/Table11[[#This Row],[SeatsAvailable]]</f>
        <v>0.81720430107526887</v>
      </c>
      <c r="O595" s="10"/>
    </row>
    <row r="596" spans="1:15" x14ac:dyDescent="0.3">
      <c r="A596" t="s">
        <v>712</v>
      </c>
      <c r="B596" t="s">
        <v>56</v>
      </c>
      <c r="C596" t="s">
        <v>3</v>
      </c>
      <c r="D596" t="s">
        <v>17</v>
      </c>
      <c r="E596" s="16">
        <v>46152</v>
      </c>
      <c r="F596">
        <v>89</v>
      </c>
      <c r="G596" t="s">
        <v>120</v>
      </c>
      <c r="H596">
        <v>217</v>
      </c>
      <c r="I596">
        <v>64</v>
      </c>
      <c r="J596">
        <v>474944</v>
      </c>
      <c r="K596">
        <v>60740</v>
      </c>
      <c r="L596" t="e">
        <f>[1]!Table1[[#This Row],[Revenue]]-[1]!Table1[[#This Row],[OperationalCost]]</f>
        <v>#REF!</v>
      </c>
      <c r="M596" t="str">
        <f t="shared" si="9"/>
        <v>May</v>
      </c>
      <c r="N596" s="15">
        <f>Table11[[#This Row],[SeatsSold]]/Table11[[#This Row],[SeatsAvailable]]</f>
        <v>0.29493087557603687</v>
      </c>
      <c r="O596" s="10"/>
    </row>
    <row r="597" spans="1:15" x14ac:dyDescent="0.3">
      <c r="A597" t="s">
        <v>713</v>
      </c>
      <c r="B597" t="s">
        <v>41</v>
      </c>
      <c r="C597" t="s">
        <v>17</v>
      </c>
      <c r="D597" t="s">
        <v>3</v>
      </c>
      <c r="E597" s="16">
        <v>45715</v>
      </c>
      <c r="F597">
        <v>130</v>
      </c>
      <c r="G597" t="s">
        <v>118</v>
      </c>
      <c r="H597">
        <v>181</v>
      </c>
      <c r="I597">
        <v>146</v>
      </c>
      <c r="J597">
        <v>653204</v>
      </c>
      <c r="K597">
        <v>67847</v>
      </c>
      <c r="L597" t="e">
        <f>[1]!Table1[[#This Row],[Revenue]]-[1]!Table1[[#This Row],[OperationalCost]]</f>
        <v>#REF!</v>
      </c>
      <c r="M597" t="str">
        <f t="shared" si="9"/>
        <v>Feb</v>
      </c>
      <c r="N597" s="15">
        <f>Table11[[#This Row],[SeatsSold]]/Table11[[#This Row],[SeatsAvailable]]</f>
        <v>0.8066298342541437</v>
      </c>
      <c r="O597" s="10"/>
    </row>
    <row r="598" spans="1:15" x14ac:dyDescent="0.3">
      <c r="A598" t="s">
        <v>714</v>
      </c>
      <c r="B598" t="s">
        <v>64</v>
      </c>
      <c r="C598" t="s">
        <v>15</v>
      </c>
      <c r="D598" t="s">
        <v>20</v>
      </c>
      <c r="E598" s="16">
        <v>46307</v>
      </c>
      <c r="F598">
        <v>206</v>
      </c>
      <c r="G598" t="s">
        <v>120</v>
      </c>
      <c r="H598">
        <v>83</v>
      </c>
      <c r="I598">
        <v>59</v>
      </c>
      <c r="J598">
        <v>654369</v>
      </c>
      <c r="K598">
        <v>40143</v>
      </c>
      <c r="L598" t="e">
        <f>[1]!Table1[[#This Row],[Revenue]]-[1]!Table1[[#This Row],[OperationalCost]]</f>
        <v>#REF!</v>
      </c>
      <c r="M598" t="str">
        <f t="shared" si="9"/>
        <v>Oct</v>
      </c>
      <c r="N598" s="15">
        <f>Table11[[#This Row],[SeatsSold]]/Table11[[#This Row],[SeatsAvailable]]</f>
        <v>0.71084337349397586</v>
      </c>
      <c r="O598" s="10"/>
    </row>
    <row r="599" spans="1:15" x14ac:dyDescent="0.3">
      <c r="A599" t="s">
        <v>715</v>
      </c>
      <c r="B599" t="s">
        <v>57</v>
      </c>
      <c r="C599" t="s">
        <v>11</v>
      </c>
      <c r="D599" t="s">
        <v>14</v>
      </c>
      <c r="E599" s="16">
        <v>45992</v>
      </c>
      <c r="F599">
        <v>173</v>
      </c>
      <c r="G599" t="s">
        <v>113</v>
      </c>
      <c r="H599">
        <v>109</v>
      </c>
      <c r="I599">
        <v>46</v>
      </c>
      <c r="J599">
        <v>411056</v>
      </c>
      <c r="K599">
        <v>65770</v>
      </c>
      <c r="L599" t="e">
        <f>[1]!Table1[[#This Row],[Revenue]]-[1]!Table1[[#This Row],[OperationalCost]]</f>
        <v>#REF!</v>
      </c>
      <c r="M599" t="str">
        <f t="shared" si="9"/>
        <v>Dec</v>
      </c>
      <c r="N599" s="15">
        <f>Table11[[#This Row],[SeatsSold]]/Table11[[#This Row],[SeatsAvailable]]</f>
        <v>0.42201834862385323</v>
      </c>
      <c r="O599" s="10"/>
    </row>
    <row r="600" spans="1:15" x14ac:dyDescent="0.3">
      <c r="A600" t="s">
        <v>716</v>
      </c>
      <c r="B600" t="s">
        <v>110</v>
      </c>
      <c r="C600" t="s">
        <v>15</v>
      </c>
      <c r="D600" t="s">
        <v>11</v>
      </c>
      <c r="E600" s="16">
        <v>45750</v>
      </c>
      <c r="F600">
        <v>101</v>
      </c>
      <c r="G600" t="s">
        <v>120</v>
      </c>
      <c r="H600">
        <v>144</v>
      </c>
      <c r="I600">
        <v>140</v>
      </c>
      <c r="J600">
        <v>1254400</v>
      </c>
      <c r="K600">
        <v>32129</v>
      </c>
      <c r="L600" t="e">
        <f>[1]!Table1[[#This Row],[Revenue]]-[1]!Table1[[#This Row],[OperationalCost]]</f>
        <v>#REF!</v>
      </c>
      <c r="M600" t="str">
        <f t="shared" si="9"/>
        <v>Apr</v>
      </c>
      <c r="N600" s="15">
        <f>Table11[[#This Row],[SeatsSold]]/Table11[[#This Row],[SeatsAvailable]]</f>
        <v>0.97222222222222221</v>
      </c>
      <c r="O600" s="10"/>
    </row>
    <row r="601" spans="1:15" x14ac:dyDescent="0.3">
      <c r="A601" t="s">
        <v>717</v>
      </c>
      <c r="B601" t="s">
        <v>12</v>
      </c>
      <c r="C601" t="s">
        <v>21</v>
      </c>
      <c r="D601" t="s">
        <v>3</v>
      </c>
      <c r="E601" s="16">
        <v>46145</v>
      </c>
      <c r="F601">
        <v>191</v>
      </c>
      <c r="G601" t="s">
        <v>122</v>
      </c>
      <c r="H601">
        <v>210</v>
      </c>
      <c r="I601">
        <v>142</v>
      </c>
      <c r="J601">
        <v>965742</v>
      </c>
      <c r="K601">
        <v>65151</v>
      </c>
      <c r="L601" t="e">
        <f>[1]!Table1[[#This Row],[Revenue]]-[1]!Table1[[#This Row],[OperationalCost]]</f>
        <v>#REF!</v>
      </c>
      <c r="M601" t="str">
        <f t="shared" si="9"/>
        <v>May</v>
      </c>
      <c r="N601" s="15">
        <f>Table11[[#This Row],[SeatsSold]]/Table11[[#This Row],[SeatsAvailable]]</f>
        <v>0.67619047619047623</v>
      </c>
      <c r="O601" s="10"/>
    </row>
    <row r="602" spans="1:15" x14ac:dyDescent="0.3">
      <c r="A602" t="s">
        <v>718</v>
      </c>
      <c r="B602" t="s">
        <v>70</v>
      </c>
      <c r="C602" t="s">
        <v>11</v>
      </c>
      <c r="D602" t="s">
        <v>17</v>
      </c>
      <c r="E602" s="16">
        <v>46372</v>
      </c>
      <c r="F602">
        <v>78</v>
      </c>
      <c r="G602" t="s">
        <v>113</v>
      </c>
      <c r="H602">
        <v>193</v>
      </c>
      <c r="I602">
        <v>183</v>
      </c>
      <c r="J602">
        <v>1051335</v>
      </c>
      <c r="K602">
        <v>53965</v>
      </c>
      <c r="L602" t="e">
        <f>[1]!Table1[[#This Row],[Revenue]]-[1]!Table1[[#This Row],[OperationalCost]]</f>
        <v>#REF!</v>
      </c>
      <c r="M602" t="str">
        <f t="shared" si="9"/>
        <v>Dec</v>
      </c>
      <c r="N602" s="15">
        <f>Table11[[#This Row],[SeatsSold]]/Table11[[#This Row],[SeatsAvailable]]</f>
        <v>0.94818652849740936</v>
      </c>
      <c r="O602" s="10"/>
    </row>
    <row r="603" spans="1:15" x14ac:dyDescent="0.3">
      <c r="A603" t="s">
        <v>719</v>
      </c>
      <c r="B603" t="s">
        <v>81</v>
      </c>
      <c r="C603" t="s">
        <v>15</v>
      </c>
      <c r="D603" t="s">
        <v>9</v>
      </c>
      <c r="E603" s="16">
        <v>46232</v>
      </c>
      <c r="F603">
        <v>202</v>
      </c>
      <c r="G603" t="s">
        <v>116</v>
      </c>
      <c r="H603">
        <v>133</v>
      </c>
      <c r="I603">
        <v>71</v>
      </c>
      <c r="J603">
        <v>260783</v>
      </c>
      <c r="K603">
        <v>63246</v>
      </c>
      <c r="L603" t="e">
        <f>[1]!Table1[[#This Row],[Revenue]]-[1]!Table1[[#This Row],[OperationalCost]]</f>
        <v>#REF!</v>
      </c>
      <c r="M603" t="str">
        <f t="shared" si="9"/>
        <v>Jul</v>
      </c>
      <c r="N603" s="15">
        <f>Table11[[#This Row],[SeatsSold]]/Table11[[#This Row],[SeatsAvailable]]</f>
        <v>0.53383458646616544</v>
      </c>
      <c r="O603" s="10"/>
    </row>
    <row r="604" spans="1:15" x14ac:dyDescent="0.3">
      <c r="A604" t="s">
        <v>720</v>
      </c>
      <c r="B604" t="s">
        <v>12</v>
      </c>
      <c r="C604" t="s">
        <v>21</v>
      </c>
      <c r="D604" t="s">
        <v>3</v>
      </c>
      <c r="E604" s="16">
        <v>45773</v>
      </c>
      <c r="F604">
        <v>216</v>
      </c>
      <c r="G604" t="s">
        <v>120</v>
      </c>
      <c r="H604">
        <v>178</v>
      </c>
      <c r="I604">
        <v>133</v>
      </c>
      <c r="J604">
        <v>1091398</v>
      </c>
      <c r="K604">
        <v>65124</v>
      </c>
      <c r="L604" t="e">
        <f>[1]!Table1[[#This Row],[Revenue]]-[1]!Table1[[#This Row],[OperationalCost]]</f>
        <v>#REF!</v>
      </c>
      <c r="M604" t="str">
        <f t="shared" si="9"/>
        <v>Apr</v>
      </c>
      <c r="N604" s="15">
        <f>Table11[[#This Row],[SeatsSold]]/Table11[[#This Row],[SeatsAvailable]]</f>
        <v>0.7471910112359551</v>
      </c>
      <c r="O604" s="10"/>
    </row>
    <row r="605" spans="1:15" x14ac:dyDescent="0.3">
      <c r="A605" t="s">
        <v>721</v>
      </c>
      <c r="B605" t="s">
        <v>69</v>
      </c>
      <c r="C605" t="s">
        <v>21</v>
      </c>
      <c r="D605" t="s">
        <v>20</v>
      </c>
      <c r="E605" s="16">
        <v>45970</v>
      </c>
      <c r="F605">
        <v>88</v>
      </c>
      <c r="G605" t="s">
        <v>118</v>
      </c>
      <c r="H605">
        <v>183</v>
      </c>
      <c r="I605">
        <v>77</v>
      </c>
      <c r="J605">
        <v>748132</v>
      </c>
      <c r="K605">
        <v>36965</v>
      </c>
      <c r="L605" t="e">
        <f>[1]!Table1[[#This Row],[Revenue]]-[1]!Table1[[#This Row],[OperationalCost]]</f>
        <v>#REF!</v>
      </c>
      <c r="M605" t="str">
        <f t="shared" si="9"/>
        <v>Nov</v>
      </c>
      <c r="N605" s="15">
        <f>Table11[[#This Row],[SeatsSold]]/Table11[[#This Row],[SeatsAvailable]]</f>
        <v>0.42076502732240439</v>
      </c>
      <c r="O605" s="10"/>
    </row>
    <row r="606" spans="1:15" x14ac:dyDescent="0.3">
      <c r="A606" t="s">
        <v>722</v>
      </c>
      <c r="B606" t="s">
        <v>43</v>
      </c>
      <c r="C606" t="s">
        <v>9</v>
      </c>
      <c r="D606" t="s">
        <v>17</v>
      </c>
      <c r="E606" s="16">
        <v>45817</v>
      </c>
      <c r="F606">
        <v>238</v>
      </c>
      <c r="G606" t="s">
        <v>122</v>
      </c>
      <c r="H606">
        <v>98</v>
      </c>
      <c r="I606">
        <v>87</v>
      </c>
      <c r="J606">
        <v>295191</v>
      </c>
      <c r="K606">
        <v>66640</v>
      </c>
      <c r="L606" t="e">
        <f>[1]!Table1[[#This Row],[Revenue]]-[1]!Table1[[#This Row],[OperationalCost]]</f>
        <v>#REF!</v>
      </c>
      <c r="M606" t="str">
        <f t="shared" si="9"/>
        <v>Jun</v>
      </c>
      <c r="N606" s="15">
        <f>Table11[[#This Row],[SeatsSold]]/Table11[[#This Row],[SeatsAvailable]]</f>
        <v>0.88775510204081631</v>
      </c>
      <c r="O606" s="10"/>
    </row>
    <row r="607" spans="1:15" x14ac:dyDescent="0.3">
      <c r="A607" t="s">
        <v>723</v>
      </c>
      <c r="B607" t="s">
        <v>44</v>
      </c>
      <c r="C607" t="s">
        <v>14</v>
      </c>
      <c r="D607" t="s">
        <v>21</v>
      </c>
      <c r="E607" s="16">
        <v>45672</v>
      </c>
      <c r="F607">
        <v>132</v>
      </c>
      <c r="G607" t="s">
        <v>122</v>
      </c>
      <c r="H607">
        <v>148</v>
      </c>
      <c r="I607">
        <v>97</v>
      </c>
      <c r="J607">
        <v>991243</v>
      </c>
      <c r="K607">
        <v>40772</v>
      </c>
      <c r="L607" t="e">
        <f>[1]!Table1[[#This Row],[Revenue]]-[1]!Table1[[#This Row],[OperationalCost]]</f>
        <v>#REF!</v>
      </c>
      <c r="M607" t="str">
        <f t="shared" si="9"/>
        <v>Jan</v>
      </c>
      <c r="N607" s="15">
        <f>Table11[[#This Row],[SeatsSold]]/Table11[[#This Row],[SeatsAvailable]]</f>
        <v>0.65540540540540537</v>
      </c>
      <c r="O607" s="10"/>
    </row>
    <row r="608" spans="1:15" x14ac:dyDescent="0.3">
      <c r="A608" t="s">
        <v>724</v>
      </c>
      <c r="B608" t="s">
        <v>67</v>
      </c>
      <c r="C608" t="s">
        <v>9</v>
      </c>
      <c r="D608" t="s">
        <v>15</v>
      </c>
      <c r="E608" s="16">
        <v>45874</v>
      </c>
      <c r="F608">
        <v>97</v>
      </c>
      <c r="G608" t="s">
        <v>116</v>
      </c>
      <c r="H608">
        <v>203</v>
      </c>
      <c r="I608">
        <v>106</v>
      </c>
      <c r="J608">
        <v>1218046</v>
      </c>
      <c r="K608">
        <v>72088</v>
      </c>
      <c r="L608" t="e">
        <f>[1]!Table1[[#This Row],[Revenue]]-[1]!Table1[[#This Row],[OperationalCost]]</f>
        <v>#REF!</v>
      </c>
      <c r="M608" t="str">
        <f t="shared" si="9"/>
        <v>Aug</v>
      </c>
      <c r="N608" s="15">
        <f>Table11[[#This Row],[SeatsSold]]/Table11[[#This Row],[SeatsAvailable]]</f>
        <v>0.52216748768472909</v>
      </c>
      <c r="O608" s="10"/>
    </row>
    <row r="609" spans="1:15" x14ac:dyDescent="0.3">
      <c r="A609" t="s">
        <v>725</v>
      </c>
      <c r="B609" t="s">
        <v>39</v>
      </c>
      <c r="C609" t="s">
        <v>14</v>
      </c>
      <c r="D609" t="s">
        <v>20</v>
      </c>
      <c r="E609" s="16">
        <v>46043</v>
      </c>
      <c r="F609">
        <v>194</v>
      </c>
      <c r="G609" t="s">
        <v>116</v>
      </c>
      <c r="H609">
        <v>81</v>
      </c>
      <c r="I609">
        <v>56</v>
      </c>
      <c r="J609">
        <v>296240</v>
      </c>
      <c r="K609">
        <v>38502</v>
      </c>
      <c r="L609" t="e">
        <f>[1]!Table1[[#This Row],[Revenue]]-[1]!Table1[[#This Row],[OperationalCost]]</f>
        <v>#REF!</v>
      </c>
      <c r="M609" t="str">
        <f t="shared" si="9"/>
        <v>Jan</v>
      </c>
      <c r="N609" s="15">
        <f>Table11[[#This Row],[SeatsSold]]/Table11[[#This Row],[SeatsAvailable]]</f>
        <v>0.69135802469135799</v>
      </c>
      <c r="O609" s="10"/>
    </row>
    <row r="610" spans="1:15" x14ac:dyDescent="0.3">
      <c r="A610" t="s">
        <v>726</v>
      </c>
      <c r="B610" t="s">
        <v>4</v>
      </c>
      <c r="C610" t="s">
        <v>9</v>
      </c>
      <c r="D610" t="s">
        <v>21</v>
      </c>
      <c r="E610" s="16">
        <v>45712</v>
      </c>
      <c r="F610">
        <v>164</v>
      </c>
      <c r="G610" t="s">
        <v>122</v>
      </c>
      <c r="H610">
        <v>87</v>
      </c>
      <c r="I610">
        <v>64</v>
      </c>
      <c r="J610">
        <v>444480</v>
      </c>
      <c r="K610">
        <v>68972</v>
      </c>
      <c r="L610" t="e">
        <f>[1]!Table1[[#This Row],[Revenue]]-[1]!Table1[[#This Row],[OperationalCost]]</f>
        <v>#REF!</v>
      </c>
      <c r="M610" t="str">
        <f t="shared" si="9"/>
        <v>Feb</v>
      </c>
      <c r="N610" s="15">
        <f>Table11[[#This Row],[SeatsSold]]/Table11[[#This Row],[SeatsAvailable]]</f>
        <v>0.73563218390804597</v>
      </c>
      <c r="O610" s="10"/>
    </row>
    <row r="611" spans="1:15" x14ac:dyDescent="0.3">
      <c r="A611" t="s">
        <v>727</v>
      </c>
      <c r="B611" t="s">
        <v>12</v>
      </c>
      <c r="C611" t="s">
        <v>21</v>
      </c>
      <c r="D611" t="s">
        <v>3</v>
      </c>
      <c r="E611" s="16">
        <v>45677</v>
      </c>
      <c r="F611">
        <v>119</v>
      </c>
      <c r="G611" t="s">
        <v>120</v>
      </c>
      <c r="H611">
        <v>129</v>
      </c>
      <c r="I611">
        <v>88</v>
      </c>
      <c r="J611">
        <v>953128</v>
      </c>
      <c r="K611">
        <v>37895</v>
      </c>
      <c r="L611" t="e">
        <f>[1]!Table1[[#This Row],[Revenue]]-[1]!Table1[[#This Row],[OperationalCost]]</f>
        <v>#REF!</v>
      </c>
      <c r="M611" t="str">
        <f t="shared" si="9"/>
        <v>Jan</v>
      </c>
      <c r="N611" s="15">
        <f>Table11[[#This Row],[SeatsSold]]/Table11[[#This Row],[SeatsAvailable]]</f>
        <v>0.68217054263565891</v>
      </c>
      <c r="O611" s="10"/>
    </row>
    <row r="612" spans="1:15" x14ac:dyDescent="0.3">
      <c r="A612" t="s">
        <v>728</v>
      </c>
      <c r="B612" t="s">
        <v>97</v>
      </c>
      <c r="C612" t="s">
        <v>6</v>
      </c>
      <c r="D612" t="s">
        <v>15</v>
      </c>
      <c r="E612" s="16">
        <v>45748</v>
      </c>
      <c r="F612">
        <v>92</v>
      </c>
      <c r="G612" t="s">
        <v>113</v>
      </c>
      <c r="H612">
        <v>198</v>
      </c>
      <c r="I612">
        <v>157</v>
      </c>
      <c r="J612">
        <v>1834702</v>
      </c>
      <c r="K612">
        <v>29320</v>
      </c>
      <c r="L612" t="e">
        <f>[1]!Table1[[#This Row],[Revenue]]-[1]!Table1[[#This Row],[OperationalCost]]</f>
        <v>#REF!</v>
      </c>
      <c r="M612" t="str">
        <f t="shared" si="9"/>
        <v>Apr</v>
      </c>
      <c r="N612" s="15">
        <f>Table11[[#This Row],[SeatsSold]]/Table11[[#This Row],[SeatsAvailable]]</f>
        <v>0.79292929292929293</v>
      </c>
      <c r="O612" s="10"/>
    </row>
    <row r="613" spans="1:15" x14ac:dyDescent="0.3">
      <c r="A613" t="s">
        <v>729</v>
      </c>
      <c r="B613" t="s">
        <v>67</v>
      </c>
      <c r="C613" t="s">
        <v>9</v>
      </c>
      <c r="D613" t="s">
        <v>15</v>
      </c>
      <c r="E613" s="16">
        <v>45970</v>
      </c>
      <c r="F613">
        <v>130</v>
      </c>
      <c r="G613" t="s">
        <v>120</v>
      </c>
      <c r="H613">
        <v>170</v>
      </c>
      <c r="I613">
        <v>80</v>
      </c>
      <c r="J613">
        <v>224080</v>
      </c>
      <c r="K613">
        <v>55940</v>
      </c>
      <c r="L613" t="e">
        <f>[1]!Table1[[#This Row],[Revenue]]-[1]!Table1[[#This Row],[OperationalCost]]</f>
        <v>#REF!</v>
      </c>
      <c r="M613" t="str">
        <f t="shared" si="9"/>
        <v>Nov</v>
      </c>
      <c r="N613" s="15">
        <f>Table11[[#This Row],[SeatsSold]]/Table11[[#This Row],[SeatsAvailable]]</f>
        <v>0.47058823529411764</v>
      </c>
      <c r="O613" s="10"/>
    </row>
    <row r="614" spans="1:15" x14ac:dyDescent="0.3">
      <c r="A614" t="s">
        <v>730</v>
      </c>
      <c r="B614" t="s">
        <v>79</v>
      </c>
      <c r="C614" t="s">
        <v>21</v>
      </c>
      <c r="D614" t="s">
        <v>19</v>
      </c>
      <c r="E614" s="16">
        <v>45899</v>
      </c>
      <c r="F614">
        <v>173</v>
      </c>
      <c r="G614" t="s">
        <v>118</v>
      </c>
      <c r="H614">
        <v>85</v>
      </c>
      <c r="I614">
        <v>80</v>
      </c>
      <c r="J614">
        <v>537680</v>
      </c>
      <c r="K614">
        <v>45282</v>
      </c>
      <c r="L614" t="e">
        <f>[1]!Table1[[#This Row],[Revenue]]-[1]!Table1[[#This Row],[OperationalCost]]</f>
        <v>#REF!</v>
      </c>
      <c r="M614" t="str">
        <f t="shared" si="9"/>
        <v>Aug</v>
      </c>
      <c r="N614" s="15">
        <f>Table11[[#This Row],[SeatsSold]]/Table11[[#This Row],[SeatsAvailable]]</f>
        <v>0.94117647058823528</v>
      </c>
      <c r="O614" s="10"/>
    </row>
    <row r="615" spans="1:15" x14ac:dyDescent="0.3">
      <c r="A615" t="s">
        <v>731</v>
      </c>
      <c r="B615" t="s">
        <v>88</v>
      </c>
      <c r="C615" t="s">
        <v>11</v>
      </c>
      <c r="D615" t="s">
        <v>19</v>
      </c>
      <c r="E615" s="16">
        <v>45888</v>
      </c>
      <c r="F615">
        <v>83</v>
      </c>
      <c r="G615" t="s">
        <v>118</v>
      </c>
      <c r="H615">
        <v>170</v>
      </c>
      <c r="I615">
        <v>75</v>
      </c>
      <c r="J615">
        <v>295350</v>
      </c>
      <c r="K615">
        <v>54221</v>
      </c>
      <c r="L615" t="e">
        <f>[1]!Table1[[#This Row],[Revenue]]-[1]!Table1[[#This Row],[OperationalCost]]</f>
        <v>#REF!</v>
      </c>
      <c r="M615" t="str">
        <f t="shared" si="9"/>
        <v>Aug</v>
      </c>
      <c r="N615" s="15">
        <f>Table11[[#This Row],[SeatsSold]]/Table11[[#This Row],[SeatsAvailable]]</f>
        <v>0.44117647058823528</v>
      </c>
      <c r="O615" s="10"/>
    </row>
    <row r="616" spans="1:15" x14ac:dyDescent="0.3">
      <c r="A616" t="s">
        <v>732</v>
      </c>
      <c r="B616" t="s">
        <v>81</v>
      </c>
      <c r="C616" t="s">
        <v>15</v>
      </c>
      <c r="D616" t="s">
        <v>9</v>
      </c>
      <c r="E616" s="16">
        <v>46085</v>
      </c>
      <c r="F616">
        <v>106</v>
      </c>
      <c r="G616" t="s">
        <v>116</v>
      </c>
      <c r="H616">
        <v>109</v>
      </c>
      <c r="I616">
        <v>94</v>
      </c>
      <c r="J616">
        <v>716092</v>
      </c>
      <c r="K616">
        <v>46920</v>
      </c>
      <c r="L616" t="e">
        <f>[1]!Table1[[#This Row],[Revenue]]-[1]!Table1[[#This Row],[OperationalCost]]</f>
        <v>#REF!</v>
      </c>
      <c r="M616" t="str">
        <f t="shared" si="9"/>
        <v>Mar</v>
      </c>
      <c r="N616" s="15">
        <f>Table11[[#This Row],[SeatsSold]]/Table11[[#This Row],[SeatsAvailable]]</f>
        <v>0.86238532110091748</v>
      </c>
      <c r="O616" s="10"/>
    </row>
    <row r="617" spans="1:15" x14ac:dyDescent="0.3">
      <c r="A617" t="s">
        <v>733</v>
      </c>
      <c r="B617" t="s">
        <v>97</v>
      </c>
      <c r="C617" t="s">
        <v>6</v>
      </c>
      <c r="D617" t="s">
        <v>15</v>
      </c>
      <c r="E617" s="16">
        <v>45792</v>
      </c>
      <c r="F617">
        <v>97</v>
      </c>
      <c r="G617" t="s">
        <v>113</v>
      </c>
      <c r="H617">
        <v>218</v>
      </c>
      <c r="I617">
        <v>178</v>
      </c>
      <c r="J617">
        <v>1034892</v>
      </c>
      <c r="K617">
        <v>49697</v>
      </c>
      <c r="L617" t="e">
        <f>[1]!Table1[[#This Row],[Revenue]]-[1]!Table1[[#This Row],[OperationalCost]]</f>
        <v>#REF!</v>
      </c>
      <c r="M617" t="str">
        <f t="shared" si="9"/>
        <v>May</v>
      </c>
      <c r="N617" s="15">
        <f>Table11[[#This Row],[SeatsSold]]/Table11[[#This Row],[SeatsAvailable]]</f>
        <v>0.8165137614678899</v>
      </c>
      <c r="O617" s="10"/>
    </row>
    <row r="618" spans="1:15" x14ac:dyDescent="0.3">
      <c r="A618" t="s">
        <v>734</v>
      </c>
      <c r="B618" t="s">
        <v>57</v>
      </c>
      <c r="C618" t="s">
        <v>11</v>
      </c>
      <c r="D618" t="s">
        <v>14</v>
      </c>
      <c r="E618" s="16">
        <v>46098</v>
      </c>
      <c r="F618">
        <v>82</v>
      </c>
      <c r="G618" t="s">
        <v>116</v>
      </c>
      <c r="H618">
        <v>110</v>
      </c>
      <c r="I618">
        <v>80</v>
      </c>
      <c r="J618">
        <v>288880</v>
      </c>
      <c r="K618">
        <v>45244</v>
      </c>
      <c r="L618" t="e">
        <f>[1]!Table1[[#This Row],[Revenue]]-[1]!Table1[[#This Row],[OperationalCost]]</f>
        <v>#REF!</v>
      </c>
      <c r="M618" t="str">
        <f t="shared" si="9"/>
        <v>Mar</v>
      </c>
      <c r="N618" s="15">
        <f>Table11[[#This Row],[SeatsSold]]/Table11[[#This Row],[SeatsAvailable]]</f>
        <v>0.72727272727272729</v>
      </c>
      <c r="O618" s="10"/>
    </row>
    <row r="619" spans="1:15" x14ac:dyDescent="0.3">
      <c r="A619" t="s">
        <v>735</v>
      </c>
      <c r="B619" t="s">
        <v>93</v>
      </c>
      <c r="C619" t="s">
        <v>3</v>
      </c>
      <c r="D619" t="s">
        <v>9</v>
      </c>
      <c r="E619" s="16">
        <v>45983</v>
      </c>
      <c r="F619">
        <v>82</v>
      </c>
      <c r="G619" t="s">
        <v>122</v>
      </c>
      <c r="H619">
        <v>151</v>
      </c>
      <c r="I619">
        <v>92</v>
      </c>
      <c r="J619">
        <v>849804</v>
      </c>
      <c r="K619">
        <v>45297</v>
      </c>
      <c r="L619" t="e">
        <f>[1]!Table1[[#This Row],[Revenue]]-[1]!Table1[[#This Row],[OperationalCost]]</f>
        <v>#REF!</v>
      </c>
      <c r="M619" t="str">
        <f t="shared" si="9"/>
        <v>Nov</v>
      </c>
      <c r="N619" s="15">
        <f>Table11[[#This Row],[SeatsSold]]/Table11[[#This Row],[SeatsAvailable]]</f>
        <v>0.60927152317880795</v>
      </c>
      <c r="O619" s="10"/>
    </row>
    <row r="620" spans="1:15" x14ac:dyDescent="0.3">
      <c r="A620" t="s">
        <v>736</v>
      </c>
      <c r="B620" t="s">
        <v>112</v>
      </c>
      <c r="C620" t="s">
        <v>19</v>
      </c>
      <c r="D620" t="s">
        <v>14</v>
      </c>
      <c r="E620" s="16">
        <v>45850</v>
      </c>
      <c r="F620">
        <v>72</v>
      </c>
      <c r="G620" t="s">
        <v>113</v>
      </c>
      <c r="H620">
        <v>117</v>
      </c>
      <c r="I620">
        <v>43</v>
      </c>
      <c r="J620">
        <v>295496</v>
      </c>
      <c r="K620">
        <v>46125</v>
      </c>
      <c r="L620" t="e">
        <f>[1]!Table1[[#This Row],[Revenue]]-[1]!Table1[[#This Row],[OperationalCost]]</f>
        <v>#REF!</v>
      </c>
      <c r="M620" t="str">
        <f t="shared" si="9"/>
        <v>Jul</v>
      </c>
      <c r="N620" s="15">
        <f>Table11[[#This Row],[SeatsSold]]/Table11[[#This Row],[SeatsAvailable]]</f>
        <v>0.36752136752136755</v>
      </c>
      <c r="O620" s="10"/>
    </row>
    <row r="621" spans="1:15" x14ac:dyDescent="0.3">
      <c r="A621" t="s">
        <v>737</v>
      </c>
      <c r="B621" t="s">
        <v>81</v>
      </c>
      <c r="C621" t="s">
        <v>15</v>
      </c>
      <c r="D621" t="s">
        <v>9</v>
      </c>
      <c r="E621" s="16">
        <v>46268</v>
      </c>
      <c r="F621">
        <v>104</v>
      </c>
      <c r="G621" t="s">
        <v>113</v>
      </c>
      <c r="H621">
        <v>76</v>
      </c>
      <c r="I621">
        <v>62</v>
      </c>
      <c r="J621">
        <v>235724</v>
      </c>
      <c r="K621">
        <v>46136</v>
      </c>
      <c r="L621" t="e">
        <f>[1]!Table1[[#This Row],[Revenue]]-[1]!Table1[[#This Row],[OperationalCost]]</f>
        <v>#REF!</v>
      </c>
      <c r="M621" t="str">
        <f t="shared" si="9"/>
        <v>Sep</v>
      </c>
      <c r="N621" s="15">
        <f>Table11[[#This Row],[SeatsSold]]/Table11[[#This Row],[SeatsAvailable]]</f>
        <v>0.81578947368421051</v>
      </c>
      <c r="O621" s="10"/>
    </row>
    <row r="622" spans="1:15" x14ac:dyDescent="0.3">
      <c r="A622" t="s">
        <v>738</v>
      </c>
      <c r="B622" t="s">
        <v>42</v>
      </c>
      <c r="C622" t="s">
        <v>14</v>
      </c>
      <c r="D622" t="s">
        <v>15</v>
      </c>
      <c r="E622" s="16">
        <v>46277</v>
      </c>
      <c r="F622">
        <v>165</v>
      </c>
      <c r="G622" t="s">
        <v>118</v>
      </c>
      <c r="H622">
        <v>117</v>
      </c>
      <c r="I622">
        <v>89</v>
      </c>
      <c r="J622">
        <v>939039</v>
      </c>
      <c r="K622">
        <v>53220</v>
      </c>
      <c r="L622" t="e">
        <f>[1]!Table1[[#This Row],[Revenue]]-[1]!Table1[[#This Row],[OperationalCost]]</f>
        <v>#REF!</v>
      </c>
      <c r="M622" t="str">
        <f t="shared" si="9"/>
        <v>Sep</v>
      </c>
      <c r="N622" s="15">
        <f>Table11[[#This Row],[SeatsSold]]/Table11[[#This Row],[SeatsAvailable]]</f>
        <v>0.76068376068376065</v>
      </c>
      <c r="O622" s="10"/>
    </row>
    <row r="623" spans="1:15" x14ac:dyDescent="0.3">
      <c r="A623" t="s">
        <v>739</v>
      </c>
      <c r="B623" t="s">
        <v>53</v>
      </c>
      <c r="C623" t="s">
        <v>14</v>
      </c>
      <c r="D623" t="s">
        <v>19</v>
      </c>
      <c r="E623" s="16">
        <v>45889</v>
      </c>
      <c r="F623">
        <v>53</v>
      </c>
      <c r="G623" t="s">
        <v>120</v>
      </c>
      <c r="H623">
        <v>73</v>
      </c>
      <c r="I623">
        <v>57</v>
      </c>
      <c r="J623">
        <v>528219</v>
      </c>
      <c r="K623">
        <v>18891</v>
      </c>
      <c r="L623" t="e">
        <f>[1]!Table1[[#This Row],[Revenue]]-[1]!Table1[[#This Row],[OperationalCost]]</f>
        <v>#REF!</v>
      </c>
      <c r="M623" t="str">
        <f t="shared" si="9"/>
        <v>Aug</v>
      </c>
      <c r="N623" s="15">
        <f>Table11[[#This Row],[SeatsSold]]/Table11[[#This Row],[SeatsAvailable]]</f>
        <v>0.78082191780821919</v>
      </c>
      <c r="O623" s="10"/>
    </row>
    <row r="624" spans="1:15" x14ac:dyDescent="0.3">
      <c r="A624" t="s">
        <v>740</v>
      </c>
      <c r="B624" t="s">
        <v>7</v>
      </c>
      <c r="C624" t="s">
        <v>9</v>
      </c>
      <c r="D624" t="s">
        <v>3</v>
      </c>
      <c r="E624" s="16">
        <v>45839</v>
      </c>
      <c r="F624">
        <v>157</v>
      </c>
      <c r="G624" t="s">
        <v>116</v>
      </c>
      <c r="H624">
        <v>195</v>
      </c>
      <c r="I624">
        <v>123</v>
      </c>
      <c r="J624">
        <v>1229508</v>
      </c>
      <c r="K624">
        <v>65586</v>
      </c>
      <c r="L624" t="e">
        <f>[1]!Table1[[#This Row],[Revenue]]-[1]!Table1[[#This Row],[OperationalCost]]</f>
        <v>#REF!</v>
      </c>
      <c r="M624" t="str">
        <f t="shared" si="9"/>
        <v>Jul</v>
      </c>
      <c r="N624" s="15">
        <f>Table11[[#This Row],[SeatsSold]]/Table11[[#This Row],[SeatsAvailable]]</f>
        <v>0.63076923076923075</v>
      </c>
      <c r="O624" s="10"/>
    </row>
    <row r="625" spans="1:15" x14ac:dyDescent="0.3">
      <c r="A625" t="s">
        <v>741</v>
      </c>
      <c r="B625" t="s">
        <v>103</v>
      </c>
      <c r="C625" t="s">
        <v>17</v>
      </c>
      <c r="D625" t="s">
        <v>20</v>
      </c>
      <c r="E625" s="16">
        <v>46280</v>
      </c>
      <c r="F625">
        <v>233</v>
      </c>
      <c r="G625" t="s">
        <v>120</v>
      </c>
      <c r="H625">
        <v>150</v>
      </c>
      <c r="I625">
        <v>90</v>
      </c>
      <c r="J625">
        <v>1068300</v>
      </c>
      <c r="K625">
        <v>95926</v>
      </c>
      <c r="L625" t="e">
        <f>[1]!Table1[[#This Row],[Revenue]]-[1]!Table1[[#This Row],[OperationalCost]]</f>
        <v>#REF!</v>
      </c>
      <c r="M625" t="str">
        <f t="shared" si="9"/>
        <v>Sep</v>
      </c>
      <c r="N625" s="15">
        <f>Table11[[#This Row],[SeatsSold]]/Table11[[#This Row],[SeatsAvailable]]</f>
        <v>0.6</v>
      </c>
      <c r="O625" s="10"/>
    </row>
    <row r="626" spans="1:15" x14ac:dyDescent="0.3">
      <c r="A626" t="s">
        <v>742</v>
      </c>
      <c r="B626" t="s">
        <v>99</v>
      </c>
      <c r="C626" t="s">
        <v>11</v>
      </c>
      <c r="D626" t="s">
        <v>20</v>
      </c>
      <c r="E626" s="16">
        <v>46191</v>
      </c>
      <c r="F626">
        <v>72</v>
      </c>
      <c r="G626" t="s">
        <v>120</v>
      </c>
      <c r="H626">
        <v>186</v>
      </c>
      <c r="I626">
        <v>50</v>
      </c>
      <c r="J626">
        <v>326250</v>
      </c>
      <c r="K626">
        <v>58506</v>
      </c>
      <c r="L626" t="e">
        <f>[1]!Table1[[#This Row],[Revenue]]-[1]!Table1[[#This Row],[OperationalCost]]</f>
        <v>#REF!</v>
      </c>
      <c r="M626" t="str">
        <f t="shared" si="9"/>
        <v>Jun</v>
      </c>
      <c r="N626" s="15">
        <f>Table11[[#This Row],[SeatsSold]]/Table11[[#This Row],[SeatsAvailable]]</f>
        <v>0.26881720430107525</v>
      </c>
      <c r="O626" s="10"/>
    </row>
    <row r="627" spans="1:15" x14ac:dyDescent="0.3">
      <c r="A627" t="s">
        <v>743</v>
      </c>
      <c r="B627" t="s">
        <v>103</v>
      </c>
      <c r="C627" t="s">
        <v>17</v>
      </c>
      <c r="D627" t="s">
        <v>20</v>
      </c>
      <c r="E627" s="16">
        <v>46229</v>
      </c>
      <c r="F627">
        <v>144</v>
      </c>
      <c r="G627" t="s">
        <v>116</v>
      </c>
      <c r="H627">
        <v>82</v>
      </c>
      <c r="I627">
        <v>52</v>
      </c>
      <c r="J627">
        <v>378040</v>
      </c>
      <c r="K627">
        <v>48250</v>
      </c>
      <c r="L627" t="e">
        <f>[1]!Table1[[#This Row],[Revenue]]-[1]!Table1[[#This Row],[OperationalCost]]</f>
        <v>#REF!</v>
      </c>
      <c r="M627" t="str">
        <f t="shared" si="9"/>
        <v>Jul</v>
      </c>
      <c r="N627" s="15">
        <f>Table11[[#This Row],[SeatsSold]]/Table11[[#This Row],[SeatsAvailable]]</f>
        <v>0.63414634146341464</v>
      </c>
      <c r="O627" s="10"/>
    </row>
    <row r="628" spans="1:15" x14ac:dyDescent="0.3">
      <c r="A628" t="s">
        <v>744</v>
      </c>
      <c r="B628" t="s">
        <v>109</v>
      </c>
      <c r="C628" t="s">
        <v>19</v>
      </c>
      <c r="D628" t="s">
        <v>21</v>
      </c>
      <c r="E628" s="16">
        <v>46130</v>
      </c>
      <c r="F628">
        <v>87</v>
      </c>
      <c r="G628" t="s">
        <v>120</v>
      </c>
      <c r="H628">
        <v>145</v>
      </c>
      <c r="I628">
        <v>118</v>
      </c>
      <c r="J628">
        <v>400374</v>
      </c>
      <c r="K628">
        <v>56492</v>
      </c>
      <c r="L628" t="e">
        <f>[1]!Table1[[#This Row],[Revenue]]-[1]!Table1[[#This Row],[OperationalCost]]</f>
        <v>#REF!</v>
      </c>
      <c r="M628" t="str">
        <f t="shared" si="9"/>
        <v>Apr</v>
      </c>
      <c r="N628" s="15">
        <f>Table11[[#This Row],[SeatsSold]]/Table11[[#This Row],[SeatsAvailable]]</f>
        <v>0.81379310344827582</v>
      </c>
      <c r="O628" s="10"/>
    </row>
    <row r="629" spans="1:15" x14ac:dyDescent="0.3">
      <c r="A629" t="s">
        <v>745</v>
      </c>
      <c r="B629" t="s">
        <v>50</v>
      </c>
      <c r="C629" t="s">
        <v>14</v>
      </c>
      <c r="D629" t="s">
        <v>11</v>
      </c>
      <c r="E629" s="16">
        <v>46319</v>
      </c>
      <c r="F629">
        <v>160</v>
      </c>
      <c r="G629" t="s">
        <v>122</v>
      </c>
      <c r="H629">
        <v>198</v>
      </c>
      <c r="I629">
        <v>68</v>
      </c>
      <c r="J629">
        <v>370260</v>
      </c>
      <c r="K629">
        <v>86402</v>
      </c>
      <c r="L629" t="e">
        <f>[1]!Table1[[#This Row],[Revenue]]-[1]!Table1[[#This Row],[OperationalCost]]</f>
        <v>#REF!</v>
      </c>
      <c r="M629" t="str">
        <f t="shared" si="9"/>
        <v>Oct</v>
      </c>
      <c r="N629" s="15">
        <f>Table11[[#This Row],[SeatsSold]]/Table11[[#This Row],[SeatsAvailable]]</f>
        <v>0.34343434343434343</v>
      </c>
      <c r="O629" s="10"/>
    </row>
    <row r="630" spans="1:15" x14ac:dyDescent="0.3">
      <c r="A630" t="s">
        <v>746</v>
      </c>
      <c r="B630" t="s">
        <v>55</v>
      </c>
      <c r="C630" t="s">
        <v>14</v>
      </c>
      <c r="D630" t="s">
        <v>6</v>
      </c>
      <c r="E630" s="16">
        <v>46081</v>
      </c>
      <c r="F630">
        <v>127</v>
      </c>
      <c r="G630" t="s">
        <v>120</v>
      </c>
      <c r="H630">
        <v>76</v>
      </c>
      <c r="I630">
        <v>51</v>
      </c>
      <c r="J630">
        <v>506583</v>
      </c>
      <c r="K630">
        <v>44373</v>
      </c>
      <c r="L630" t="e">
        <f>[1]!Table1[[#This Row],[Revenue]]-[1]!Table1[[#This Row],[OperationalCost]]</f>
        <v>#REF!</v>
      </c>
      <c r="M630" t="str">
        <f t="shared" si="9"/>
        <v>Feb</v>
      </c>
      <c r="N630" s="15">
        <f>Table11[[#This Row],[SeatsSold]]/Table11[[#This Row],[SeatsAvailable]]</f>
        <v>0.67105263157894735</v>
      </c>
      <c r="O630" s="10"/>
    </row>
    <row r="631" spans="1:15" x14ac:dyDescent="0.3">
      <c r="A631" t="s">
        <v>747</v>
      </c>
      <c r="B631" t="s">
        <v>84</v>
      </c>
      <c r="C631" t="s">
        <v>6</v>
      </c>
      <c r="D631" t="s">
        <v>3</v>
      </c>
      <c r="E631" s="16">
        <v>45914</v>
      </c>
      <c r="F631">
        <v>127</v>
      </c>
      <c r="G631" t="s">
        <v>113</v>
      </c>
      <c r="H631">
        <v>101</v>
      </c>
      <c r="I631">
        <v>45</v>
      </c>
      <c r="J631">
        <v>196650</v>
      </c>
      <c r="K631">
        <v>57795</v>
      </c>
      <c r="L631" t="e">
        <f>[1]!Table1[[#This Row],[Revenue]]-[1]!Table1[[#This Row],[OperationalCost]]</f>
        <v>#REF!</v>
      </c>
      <c r="M631" t="str">
        <f t="shared" si="9"/>
        <v>Sep</v>
      </c>
      <c r="N631" s="15">
        <f>Table11[[#This Row],[SeatsSold]]/Table11[[#This Row],[SeatsAvailable]]</f>
        <v>0.44554455445544555</v>
      </c>
      <c r="O631" s="10"/>
    </row>
    <row r="632" spans="1:15" x14ac:dyDescent="0.3">
      <c r="A632" t="s">
        <v>748</v>
      </c>
      <c r="B632" t="s">
        <v>12</v>
      </c>
      <c r="C632" t="s">
        <v>21</v>
      </c>
      <c r="D632" t="s">
        <v>3</v>
      </c>
      <c r="E632" s="16">
        <v>46194</v>
      </c>
      <c r="F632">
        <v>226</v>
      </c>
      <c r="G632" t="s">
        <v>120</v>
      </c>
      <c r="H632">
        <v>200</v>
      </c>
      <c r="I632">
        <v>196</v>
      </c>
      <c r="J632">
        <v>1003324</v>
      </c>
      <c r="K632">
        <v>92816</v>
      </c>
      <c r="L632" t="e">
        <f>[1]!Table1[[#This Row],[Revenue]]-[1]!Table1[[#This Row],[OperationalCost]]</f>
        <v>#REF!</v>
      </c>
      <c r="M632" t="str">
        <f t="shared" si="9"/>
        <v>Jun</v>
      </c>
      <c r="N632" s="15">
        <f>Table11[[#This Row],[SeatsSold]]/Table11[[#This Row],[SeatsAvailable]]</f>
        <v>0.98</v>
      </c>
      <c r="O632" s="10"/>
    </row>
    <row r="633" spans="1:15" x14ac:dyDescent="0.3">
      <c r="A633" t="s">
        <v>749</v>
      </c>
      <c r="B633" t="s">
        <v>103</v>
      </c>
      <c r="C633" t="s">
        <v>17</v>
      </c>
      <c r="D633" t="s">
        <v>20</v>
      </c>
      <c r="E633" s="16">
        <v>45832</v>
      </c>
      <c r="F633">
        <v>130</v>
      </c>
      <c r="G633" t="s">
        <v>116</v>
      </c>
      <c r="H633">
        <v>108</v>
      </c>
      <c r="I633">
        <v>60</v>
      </c>
      <c r="J633">
        <v>292140</v>
      </c>
      <c r="K633">
        <v>31494</v>
      </c>
      <c r="L633" t="e">
        <f>[1]!Table1[[#This Row],[Revenue]]-[1]!Table1[[#This Row],[OperationalCost]]</f>
        <v>#REF!</v>
      </c>
      <c r="M633" t="str">
        <f t="shared" si="9"/>
        <v>Jun</v>
      </c>
      <c r="N633" s="15">
        <f>Table11[[#This Row],[SeatsSold]]/Table11[[#This Row],[SeatsAvailable]]</f>
        <v>0.55555555555555558</v>
      </c>
      <c r="O633" s="10"/>
    </row>
    <row r="634" spans="1:15" x14ac:dyDescent="0.3">
      <c r="A634" t="s">
        <v>750</v>
      </c>
      <c r="B634" t="s">
        <v>107</v>
      </c>
      <c r="C634" t="s">
        <v>17</v>
      </c>
      <c r="D634" t="s">
        <v>19</v>
      </c>
      <c r="E634" s="16">
        <v>45974</v>
      </c>
      <c r="F634">
        <v>231</v>
      </c>
      <c r="G634" t="s">
        <v>120</v>
      </c>
      <c r="H634">
        <v>143</v>
      </c>
      <c r="I634">
        <v>120</v>
      </c>
      <c r="J634">
        <v>655200</v>
      </c>
      <c r="K634">
        <v>50809</v>
      </c>
      <c r="L634" t="e">
        <f>[1]!Table1[[#This Row],[Revenue]]-[1]!Table1[[#This Row],[OperationalCost]]</f>
        <v>#REF!</v>
      </c>
      <c r="M634" t="str">
        <f t="shared" si="9"/>
        <v>Nov</v>
      </c>
      <c r="N634" s="15">
        <f>Table11[[#This Row],[SeatsSold]]/Table11[[#This Row],[SeatsAvailable]]</f>
        <v>0.83916083916083917</v>
      </c>
      <c r="O634" s="10"/>
    </row>
    <row r="635" spans="1:15" x14ac:dyDescent="0.3">
      <c r="A635" t="s">
        <v>751</v>
      </c>
      <c r="B635" t="s">
        <v>60</v>
      </c>
      <c r="C635" t="s">
        <v>9</v>
      </c>
      <c r="D635" t="s">
        <v>20</v>
      </c>
      <c r="E635" s="16">
        <v>46295</v>
      </c>
      <c r="F635">
        <v>240</v>
      </c>
      <c r="G635" t="s">
        <v>118</v>
      </c>
      <c r="H635">
        <v>73</v>
      </c>
      <c r="I635">
        <v>69</v>
      </c>
      <c r="J635">
        <v>735057</v>
      </c>
      <c r="K635">
        <v>75267</v>
      </c>
      <c r="L635" t="e">
        <f>[1]!Table1[[#This Row],[Revenue]]-[1]!Table1[[#This Row],[OperationalCost]]</f>
        <v>#REF!</v>
      </c>
      <c r="M635" t="str">
        <f t="shared" si="9"/>
        <v>Sep</v>
      </c>
      <c r="N635" s="15">
        <f>Table11[[#This Row],[SeatsSold]]/Table11[[#This Row],[SeatsAvailable]]</f>
        <v>0.9452054794520548</v>
      </c>
      <c r="O635" s="10"/>
    </row>
    <row r="636" spans="1:15" x14ac:dyDescent="0.3">
      <c r="A636" t="s">
        <v>752</v>
      </c>
      <c r="B636" t="s">
        <v>78</v>
      </c>
      <c r="C636" t="s">
        <v>20</v>
      </c>
      <c r="D636" t="s">
        <v>11</v>
      </c>
      <c r="E636" s="16">
        <v>45901</v>
      </c>
      <c r="F636">
        <v>100</v>
      </c>
      <c r="G636" t="s">
        <v>116</v>
      </c>
      <c r="H636">
        <v>191</v>
      </c>
      <c r="I636">
        <v>156</v>
      </c>
      <c r="J636">
        <v>1438164</v>
      </c>
      <c r="K636">
        <v>42400</v>
      </c>
      <c r="L636" t="e">
        <f>[1]!Table1[[#This Row],[Revenue]]-[1]!Table1[[#This Row],[OperationalCost]]</f>
        <v>#REF!</v>
      </c>
      <c r="M636" t="str">
        <f t="shared" si="9"/>
        <v>Sep</v>
      </c>
      <c r="N636" s="15">
        <f>Table11[[#This Row],[SeatsSold]]/Table11[[#This Row],[SeatsAvailable]]</f>
        <v>0.81675392670157065</v>
      </c>
      <c r="O636" s="10"/>
    </row>
    <row r="637" spans="1:15" x14ac:dyDescent="0.3">
      <c r="A637" t="s">
        <v>753</v>
      </c>
      <c r="B637" t="s">
        <v>64</v>
      </c>
      <c r="C637" t="s">
        <v>15</v>
      </c>
      <c r="D637" t="s">
        <v>20</v>
      </c>
      <c r="E637" s="16">
        <v>45908</v>
      </c>
      <c r="F637">
        <v>185</v>
      </c>
      <c r="G637" t="s">
        <v>118</v>
      </c>
      <c r="H637">
        <v>212</v>
      </c>
      <c r="I637">
        <v>93</v>
      </c>
      <c r="J637">
        <v>306993</v>
      </c>
      <c r="K637">
        <v>55699</v>
      </c>
      <c r="L637" t="e">
        <f>[1]!Table1[[#This Row],[Revenue]]-[1]!Table1[[#This Row],[OperationalCost]]</f>
        <v>#REF!</v>
      </c>
      <c r="M637" t="str">
        <f t="shared" si="9"/>
        <v>Sep</v>
      </c>
      <c r="N637" s="15">
        <f>Table11[[#This Row],[SeatsSold]]/Table11[[#This Row],[SeatsAvailable]]</f>
        <v>0.43867924528301888</v>
      </c>
      <c r="O637" s="10"/>
    </row>
    <row r="638" spans="1:15" x14ac:dyDescent="0.3">
      <c r="A638" t="s">
        <v>754</v>
      </c>
      <c r="B638" t="s">
        <v>54</v>
      </c>
      <c r="C638" t="s">
        <v>20</v>
      </c>
      <c r="D638" t="s">
        <v>17</v>
      </c>
      <c r="E638" s="16">
        <v>45695</v>
      </c>
      <c r="F638">
        <v>82</v>
      </c>
      <c r="G638" t="s">
        <v>122</v>
      </c>
      <c r="H638">
        <v>217</v>
      </c>
      <c r="I638">
        <v>194</v>
      </c>
      <c r="J638">
        <v>1433466</v>
      </c>
      <c r="K638">
        <v>38862</v>
      </c>
      <c r="L638" t="e">
        <f>[1]!Table1[[#This Row],[Revenue]]-[1]!Table1[[#This Row],[OperationalCost]]</f>
        <v>#REF!</v>
      </c>
      <c r="M638" t="str">
        <f t="shared" si="9"/>
        <v>Feb</v>
      </c>
      <c r="N638" s="15">
        <f>Table11[[#This Row],[SeatsSold]]/Table11[[#This Row],[SeatsAvailable]]</f>
        <v>0.89400921658986177</v>
      </c>
      <c r="O638" s="10"/>
    </row>
    <row r="639" spans="1:15" x14ac:dyDescent="0.3">
      <c r="A639" t="s">
        <v>755</v>
      </c>
      <c r="B639" t="s">
        <v>71</v>
      </c>
      <c r="C639" t="s">
        <v>20</v>
      </c>
      <c r="D639" t="s">
        <v>14</v>
      </c>
      <c r="E639" s="16">
        <v>46084</v>
      </c>
      <c r="F639">
        <v>90</v>
      </c>
      <c r="G639" t="s">
        <v>113</v>
      </c>
      <c r="H639">
        <v>142</v>
      </c>
      <c r="I639">
        <v>118</v>
      </c>
      <c r="J639">
        <v>1401368</v>
      </c>
      <c r="K639">
        <v>41420</v>
      </c>
      <c r="L639" t="e">
        <f>[1]!Table1[[#This Row],[Revenue]]-[1]!Table1[[#This Row],[OperationalCost]]</f>
        <v>#REF!</v>
      </c>
      <c r="M639" t="str">
        <f t="shared" si="9"/>
        <v>Mar</v>
      </c>
      <c r="N639" s="15">
        <f>Table11[[#This Row],[SeatsSold]]/Table11[[#This Row],[SeatsAvailable]]</f>
        <v>0.83098591549295775</v>
      </c>
      <c r="O639" s="10"/>
    </row>
    <row r="640" spans="1:15" x14ac:dyDescent="0.3">
      <c r="A640" t="s">
        <v>756</v>
      </c>
      <c r="B640" t="s">
        <v>16</v>
      </c>
      <c r="C640" t="s">
        <v>6</v>
      </c>
      <c r="D640" t="s">
        <v>21</v>
      </c>
      <c r="E640" s="16">
        <v>45694</v>
      </c>
      <c r="F640">
        <v>68</v>
      </c>
      <c r="G640" t="s">
        <v>118</v>
      </c>
      <c r="H640">
        <v>152</v>
      </c>
      <c r="I640">
        <v>87</v>
      </c>
      <c r="J640">
        <v>757596</v>
      </c>
      <c r="K640">
        <v>38044</v>
      </c>
      <c r="L640" t="e">
        <f>[1]!Table1[[#This Row],[Revenue]]-[1]!Table1[[#This Row],[OperationalCost]]</f>
        <v>#REF!</v>
      </c>
      <c r="M640" t="str">
        <f t="shared" si="9"/>
        <v>Feb</v>
      </c>
      <c r="N640" s="15">
        <f>Table11[[#This Row],[SeatsSold]]/Table11[[#This Row],[SeatsAvailable]]</f>
        <v>0.57236842105263153</v>
      </c>
      <c r="O640" s="10"/>
    </row>
    <row r="641" spans="1:15" x14ac:dyDescent="0.3">
      <c r="A641" t="s">
        <v>757</v>
      </c>
      <c r="B641" t="s">
        <v>75</v>
      </c>
      <c r="C641" t="s">
        <v>11</v>
      </c>
      <c r="D641" t="s">
        <v>3</v>
      </c>
      <c r="E641" s="16">
        <v>45957</v>
      </c>
      <c r="F641">
        <v>165</v>
      </c>
      <c r="G641" t="s">
        <v>113</v>
      </c>
      <c r="H641">
        <v>101</v>
      </c>
      <c r="I641">
        <v>84</v>
      </c>
      <c r="J641">
        <v>587664</v>
      </c>
      <c r="K641">
        <v>55274</v>
      </c>
      <c r="L641" t="e">
        <f>[1]!Table1[[#This Row],[Revenue]]-[1]!Table1[[#This Row],[OperationalCost]]</f>
        <v>#REF!</v>
      </c>
      <c r="M641" t="str">
        <f t="shared" ref="M641:M704" si="10">TEXT(E641,"MMM")</f>
        <v>Oct</v>
      </c>
      <c r="N641" s="15">
        <f>Table11[[#This Row],[SeatsSold]]/Table11[[#This Row],[SeatsAvailable]]</f>
        <v>0.83168316831683164</v>
      </c>
      <c r="O641" s="10"/>
    </row>
    <row r="642" spans="1:15" x14ac:dyDescent="0.3">
      <c r="A642" t="s">
        <v>758</v>
      </c>
      <c r="B642" t="s">
        <v>106</v>
      </c>
      <c r="C642" t="s">
        <v>17</v>
      </c>
      <c r="D642" t="s">
        <v>15</v>
      </c>
      <c r="E642" s="16">
        <v>45872</v>
      </c>
      <c r="F642">
        <v>223</v>
      </c>
      <c r="G642" t="s">
        <v>113</v>
      </c>
      <c r="H642">
        <v>84</v>
      </c>
      <c r="I642">
        <v>46</v>
      </c>
      <c r="J642">
        <v>545606</v>
      </c>
      <c r="K642">
        <v>80723</v>
      </c>
      <c r="L642" t="e">
        <f>[1]!Table1[[#This Row],[Revenue]]-[1]!Table1[[#This Row],[OperationalCost]]</f>
        <v>#REF!</v>
      </c>
      <c r="M642" t="str">
        <f t="shared" si="10"/>
        <v>Aug</v>
      </c>
      <c r="N642" s="15">
        <f>Table11[[#This Row],[SeatsSold]]/Table11[[#This Row],[SeatsAvailable]]</f>
        <v>0.54761904761904767</v>
      </c>
      <c r="O642" s="10"/>
    </row>
    <row r="643" spans="1:15" x14ac:dyDescent="0.3">
      <c r="A643" t="s">
        <v>759</v>
      </c>
      <c r="B643" t="s">
        <v>8</v>
      </c>
      <c r="C643" t="s">
        <v>3</v>
      </c>
      <c r="D643" t="s">
        <v>11</v>
      </c>
      <c r="E643" s="16">
        <v>46363</v>
      </c>
      <c r="F643">
        <v>199</v>
      </c>
      <c r="G643" t="s">
        <v>118</v>
      </c>
      <c r="H643">
        <v>179</v>
      </c>
      <c r="I643">
        <v>121</v>
      </c>
      <c r="J643">
        <v>817234</v>
      </c>
      <c r="K643">
        <v>91179</v>
      </c>
      <c r="L643" t="e">
        <f>[1]!Table1[[#This Row],[Revenue]]-[1]!Table1[[#This Row],[OperationalCost]]</f>
        <v>#REF!</v>
      </c>
      <c r="M643" t="str">
        <f t="shared" si="10"/>
        <v>Dec</v>
      </c>
      <c r="N643" s="15">
        <f>Table11[[#This Row],[SeatsSold]]/Table11[[#This Row],[SeatsAvailable]]</f>
        <v>0.67597765363128492</v>
      </c>
      <c r="O643" s="10"/>
    </row>
    <row r="644" spans="1:15" x14ac:dyDescent="0.3">
      <c r="A644" t="s">
        <v>760</v>
      </c>
      <c r="B644" t="s">
        <v>45</v>
      </c>
      <c r="C644" t="s">
        <v>15</v>
      </c>
      <c r="D644" t="s">
        <v>21</v>
      </c>
      <c r="E644" s="16">
        <v>45790</v>
      </c>
      <c r="F644">
        <v>202</v>
      </c>
      <c r="G644" t="s">
        <v>116</v>
      </c>
      <c r="H644">
        <v>197</v>
      </c>
      <c r="I644">
        <v>173</v>
      </c>
      <c r="J644">
        <v>1843142</v>
      </c>
      <c r="K644">
        <v>74514</v>
      </c>
      <c r="L644" t="e">
        <f>[1]!Table1[[#This Row],[Revenue]]-[1]!Table1[[#This Row],[OperationalCost]]</f>
        <v>#REF!</v>
      </c>
      <c r="M644" t="str">
        <f t="shared" si="10"/>
        <v>May</v>
      </c>
      <c r="N644" s="15">
        <f>Table11[[#This Row],[SeatsSold]]/Table11[[#This Row],[SeatsAvailable]]</f>
        <v>0.87817258883248728</v>
      </c>
      <c r="O644" s="10"/>
    </row>
    <row r="645" spans="1:15" x14ac:dyDescent="0.3">
      <c r="A645" t="s">
        <v>761</v>
      </c>
      <c r="B645" t="s">
        <v>81</v>
      </c>
      <c r="C645" t="s">
        <v>15</v>
      </c>
      <c r="D645" t="s">
        <v>9</v>
      </c>
      <c r="E645" s="16">
        <v>46383</v>
      </c>
      <c r="F645">
        <v>119</v>
      </c>
      <c r="G645" t="s">
        <v>113</v>
      </c>
      <c r="H645">
        <v>70</v>
      </c>
      <c r="I645">
        <v>43</v>
      </c>
      <c r="J645">
        <v>124356</v>
      </c>
      <c r="K645">
        <v>45241</v>
      </c>
      <c r="L645" t="e">
        <f>[1]!Table1[[#This Row],[Revenue]]-[1]!Table1[[#This Row],[OperationalCost]]</f>
        <v>#REF!</v>
      </c>
      <c r="M645" t="str">
        <f t="shared" si="10"/>
        <v>Dec</v>
      </c>
      <c r="N645" s="15">
        <f>Table11[[#This Row],[SeatsSold]]/Table11[[#This Row],[SeatsAvailable]]</f>
        <v>0.61428571428571432</v>
      </c>
      <c r="O645" s="10"/>
    </row>
    <row r="646" spans="1:15" x14ac:dyDescent="0.3">
      <c r="A646" t="s">
        <v>762</v>
      </c>
      <c r="B646" t="s">
        <v>98</v>
      </c>
      <c r="C646" t="s">
        <v>3</v>
      </c>
      <c r="D646" t="s">
        <v>19</v>
      </c>
      <c r="E646" s="16">
        <v>46288</v>
      </c>
      <c r="F646">
        <v>151</v>
      </c>
      <c r="G646" t="s">
        <v>120</v>
      </c>
      <c r="H646">
        <v>81</v>
      </c>
      <c r="I646">
        <v>61</v>
      </c>
      <c r="J646">
        <v>501908</v>
      </c>
      <c r="K646">
        <v>59396</v>
      </c>
      <c r="L646" t="e">
        <f>[1]!Table1[[#This Row],[Revenue]]-[1]!Table1[[#This Row],[OperationalCost]]</f>
        <v>#REF!</v>
      </c>
      <c r="M646" t="str">
        <f t="shared" si="10"/>
        <v>Sep</v>
      </c>
      <c r="N646" s="15">
        <f>Table11[[#This Row],[SeatsSold]]/Table11[[#This Row],[SeatsAvailable]]</f>
        <v>0.75308641975308643</v>
      </c>
      <c r="O646" s="10"/>
    </row>
    <row r="647" spans="1:15" x14ac:dyDescent="0.3">
      <c r="A647" t="s">
        <v>763</v>
      </c>
      <c r="B647" t="s">
        <v>60</v>
      </c>
      <c r="C647" t="s">
        <v>9</v>
      </c>
      <c r="D647" t="s">
        <v>20</v>
      </c>
      <c r="E647" s="16">
        <v>46313</v>
      </c>
      <c r="F647">
        <v>96</v>
      </c>
      <c r="G647" t="s">
        <v>118</v>
      </c>
      <c r="H647">
        <v>135</v>
      </c>
      <c r="I647">
        <v>48</v>
      </c>
      <c r="J647">
        <v>362016</v>
      </c>
      <c r="K647">
        <v>47031</v>
      </c>
      <c r="L647" t="e">
        <f>[1]!Table1[[#This Row],[Revenue]]-[1]!Table1[[#This Row],[OperationalCost]]</f>
        <v>#REF!</v>
      </c>
      <c r="M647" t="str">
        <f t="shared" si="10"/>
        <v>Oct</v>
      </c>
      <c r="N647" s="15">
        <f>Table11[[#This Row],[SeatsSold]]/Table11[[#This Row],[SeatsAvailable]]</f>
        <v>0.35555555555555557</v>
      </c>
      <c r="O647" s="10"/>
    </row>
    <row r="648" spans="1:15" x14ac:dyDescent="0.3">
      <c r="A648" t="s">
        <v>764</v>
      </c>
      <c r="B648" t="s">
        <v>13</v>
      </c>
      <c r="C648" t="s">
        <v>11</v>
      </c>
      <c r="D648" t="s">
        <v>21</v>
      </c>
      <c r="E648" s="16">
        <v>45664</v>
      </c>
      <c r="F648">
        <v>74</v>
      </c>
      <c r="G648" t="s">
        <v>118</v>
      </c>
      <c r="H648">
        <v>157</v>
      </c>
      <c r="I648">
        <v>90</v>
      </c>
      <c r="J648">
        <v>1063890</v>
      </c>
      <c r="K648">
        <v>34157</v>
      </c>
      <c r="L648" t="e">
        <f>[1]!Table1[[#This Row],[Revenue]]-[1]!Table1[[#This Row],[OperationalCost]]</f>
        <v>#REF!</v>
      </c>
      <c r="M648" t="str">
        <f t="shared" si="10"/>
        <v>Jan</v>
      </c>
      <c r="N648" s="15">
        <f>Table11[[#This Row],[SeatsSold]]/Table11[[#This Row],[SeatsAvailable]]</f>
        <v>0.57324840764331209</v>
      </c>
      <c r="O648" s="10"/>
    </row>
    <row r="649" spans="1:15" x14ac:dyDescent="0.3">
      <c r="A649" t="s">
        <v>765</v>
      </c>
      <c r="B649" t="s">
        <v>53</v>
      </c>
      <c r="C649" t="s">
        <v>14</v>
      </c>
      <c r="D649" t="s">
        <v>19</v>
      </c>
      <c r="E649" s="16">
        <v>45996</v>
      </c>
      <c r="F649">
        <v>131</v>
      </c>
      <c r="G649" t="s">
        <v>120</v>
      </c>
      <c r="H649">
        <v>191</v>
      </c>
      <c r="I649">
        <v>49</v>
      </c>
      <c r="J649">
        <v>231476</v>
      </c>
      <c r="K649">
        <v>54562</v>
      </c>
      <c r="L649" t="e">
        <f>[1]!Table1[[#This Row],[Revenue]]-[1]!Table1[[#This Row],[OperationalCost]]</f>
        <v>#REF!</v>
      </c>
      <c r="M649" t="str">
        <f t="shared" si="10"/>
        <v>Dec</v>
      </c>
      <c r="N649" s="15">
        <f>Table11[[#This Row],[SeatsSold]]/Table11[[#This Row],[SeatsAvailable]]</f>
        <v>0.25654450261780104</v>
      </c>
      <c r="O649" s="10"/>
    </row>
    <row r="650" spans="1:15" x14ac:dyDescent="0.3">
      <c r="A650" t="s">
        <v>766</v>
      </c>
      <c r="B650" t="s">
        <v>97</v>
      </c>
      <c r="C650" t="s">
        <v>6</v>
      </c>
      <c r="D650" t="s">
        <v>15</v>
      </c>
      <c r="E650" s="16">
        <v>46001</v>
      </c>
      <c r="F650">
        <v>163</v>
      </c>
      <c r="G650" t="s">
        <v>120</v>
      </c>
      <c r="H650">
        <v>84</v>
      </c>
      <c r="I650">
        <v>73</v>
      </c>
      <c r="J650">
        <v>540492</v>
      </c>
      <c r="K650">
        <v>56472</v>
      </c>
      <c r="L650" t="e">
        <f>[1]!Table1[[#This Row],[Revenue]]-[1]!Table1[[#This Row],[OperationalCost]]</f>
        <v>#REF!</v>
      </c>
      <c r="M650" t="str">
        <f t="shared" si="10"/>
        <v>Dec</v>
      </c>
      <c r="N650" s="15">
        <f>Table11[[#This Row],[SeatsSold]]/Table11[[#This Row],[SeatsAvailable]]</f>
        <v>0.86904761904761907</v>
      </c>
      <c r="O650" s="10"/>
    </row>
    <row r="651" spans="1:15" x14ac:dyDescent="0.3">
      <c r="A651" t="s">
        <v>767</v>
      </c>
      <c r="B651" t="s">
        <v>38</v>
      </c>
      <c r="C651" t="s">
        <v>11</v>
      </c>
      <c r="D651" t="s">
        <v>15</v>
      </c>
      <c r="E651" s="16">
        <v>45677</v>
      </c>
      <c r="F651">
        <v>98</v>
      </c>
      <c r="G651" t="s">
        <v>116</v>
      </c>
      <c r="H651">
        <v>154</v>
      </c>
      <c r="I651">
        <v>142</v>
      </c>
      <c r="J651">
        <v>1177606</v>
      </c>
      <c r="K651">
        <v>31500</v>
      </c>
      <c r="L651" t="e">
        <f>[1]!Table1[[#This Row],[Revenue]]-[1]!Table1[[#This Row],[OperationalCost]]</f>
        <v>#REF!</v>
      </c>
      <c r="M651" t="str">
        <f t="shared" si="10"/>
        <v>Jan</v>
      </c>
      <c r="N651" s="15">
        <f>Table11[[#This Row],[SeatsSold]]/Table11[[#This Row],[SeatsAvailable]]</f>
        <v>0.92207792207792205</v>
      </c>
      <c r="O651" s="10"/>
    </row>
    <row r="652" spans="1:15" x14ac:dyDescent="0.3">
      <c r="A652" t="s">
        <v>768</v>
      </c>
      <c r="B652" t="s">
        <v>100</v>
      </c>
      <c r="C652" t="s">
        <v>19</v>
      </c>
      <c r="D652" t="s">
        <v>20</v>
      </c>
      <c r="E652" s="16">
        <v>46005</v>
      </c>
      <c r="F652">
        <v>141</v>
      </c>
      <c r="G652" t="s">
        <v>116</v>
      </c>
      <c r="H652">
        <v>112</v>
      </c>
      <c r="I652">
        <v>89</v>
      </c>
      <c r="J652">
        <v>495730</v>
      </c>
      <c r="K652">
        <v>50560</v>
      </c>
      <c r="L652" t="e">
        <f>[1]!Table1[[#This Row],[Revenue]]-[1]!Table1[[#This Row],[OperationalCost]]</f>
        <v>#REF!</v>
      </c>
      <c r="M652" t="str">
        <f t="shared" si="10"/>
        <v>Dec</v>
      </c>
      <c r="N652" s="15">
        <f>Table11[[#This Row],[SeatsSold]]/Table11[[#This Row],[SeatsAvailable]]</f>
        <v>0.7946428571428571</v>
      </c>
      <c r="O652" s="10"/>
    </row>
    <row r="653" spans="1:15" x14ac:dyDescent="0.3">
      <c r="A653" t="s">
        <v>769</v>
      </c>
      <c r="B653" t="s">
        <v>73</v>
      </c>
      <c r="C653" t="s">
        <v>19</v>
      </c>
      <c r="D653" t="s">
        <v>17</v>
      </c>
      <c r="E653" s="16">
        <v>46384</v>
      </c>
      <c r="F653">
        <v>53</v>
      </c>
      <c r="G653" t="s">
        <v>118</v>
      </c>
      <c r="H653">
        <v>175</v>
      </c>
      <c r="I653">
        <v>62</v>
      </c>
      <c r="J653">
        <v>659866</v>
      </c>
      <c r="K653">
        <v>40165</v>
      </c>
      <c r="L653" t="e">
        <f>[1]!Table1[[#This Row],[Revenue]]-[1]!Table1[[#This Row],[OperationalCost]]</f>
        <v>#REF!</v>
      </c>
      <c r="M653" t="str">
        <f t="shared" si="10"/>
        <v>Dec</v>
      </c>
      <c r="N653" s="15">
        <f>Table11[[#This Row],[SeatsSold]]/Table11[[#This Row],[SeatsAvailable]]</f>
        <v>0.35428571428571426</v>
      </c>
      <c r="O653" s="10"/>
    </row>
    <row r="654" spans="1:15" x14ac:dyDescent="0.3">
      <c r="A654" t="s">
        <v>770</v>
      </c>
      <c r="B654" t="s">
        <v>102</v>
      </c>
      <c r="C654" t="s">
        <v>6</v>
      </c>
      <c r="D654" t="s">
        <v>19</v>
      </c>
      <c r="E654" s="16">
        <v>45879</v>
      </c>
      <c r="F654">
        <v>179</v>
      </c>
      <c r="G654" t="s">
        <v>118</v>
      </c>
      <c r="H654">
        <v>114</v>
      </c>
      <c r="I654">
        <v>54</v>
      </c>
      <c r="J654">
        <v>466074</v>
      </c>
      <c r="K654">
        <v>38025</v>
      </c>
      <c r="L654" t="e">
        <f>[1]!Table1[[#This Row],[Revenue]]-[1]!Table1[[#This Row],[OperationalCost]]</f>
        <v>#REF!</v>
      </c>
      <c r="M654" t="str">
        <f t="shared" si="10"/>
        <v>Aug</v>
      </c>
      <c r="N654" s="15">
        <f>Table11[[#This Row],[SeatsSold]]/Table11[[#This Row],[SeatsAvailable]]</f>
        <v>0.47368421052631576</v>
      </c>
      <c r="O654" s="10"/>
    </row>
    <row r="655" spans="1:15" x14ac:dyDescent="0.3">
      <c r="A655" t="s">
        <v>771</v>
      </c>
      <c r="B655" t="s">
        <v>8</v>
      </c>
      <c r="C655" t="s">
        <v>3</v>
      </c>
      <c r="D655" t="s">
        <v>11</v>
      </c>
      <c r="E655" s="16">
        <v>46176</v>
      </c>
      <c r="F655">
        <v>51</v>
      </c>
      <c r="G655" t="s">
        <v>120</v>
      </c>
      <c r="H655">
        <v>198</v>
      </c>
      <c r="I655">
        <v>79</v>
      </c>
      <c r="J655">
        <v>443664</v>
      </c>
      <c r="K655">
        <v>50751</v>
      </c>
      <c r="L655" t="e">
        <f>[1]!Table1[[#This Row],[Revenue]]-[1]!Table1[[#This Row],[OperationalCost]]</f>
        <v>#REF!</v>
      </c>
      <c r="M655" t="str">
        <f t="shared" si="10"/>
        <v>Jun</v>
      </c>
      <c r="N655" s="15">
        <f>Table11[[#This Row],[SeatsSold]]/Table11[[#This Row],[SeatsAvailable]]</f>
        <v>0.39898989898989901</v>
      </c>
      <c r="O655" s="10"/>
    </row>
    <row r="656" spans="1:15" x14ac:dyDescent="0.3">
      <c r="A656" t="s">
        <v>772</v>
      </c>
      <c r="B656" t="s">
        <v>88</v>
      </c>
      <c r="C656" t="s">
        <v>11</v>
      </c>
      <c r="D656" t="s">
        <v>19</v>
      </c>
      <c r="E656" s="16">
        <v>45993</v>
      </c>
      <c r="F656">
        <v>81</v>
      </c>
      <c r="G656" t="s">
        <v>122</v>
      </c>
      <c r="H656">
        <v>202</v>
      </c>
      <c r="I656">
        <v>73</v>
      </c>
      <c r="J656">
        <v>427853</v>
      </c>
      <c r="K656">
        <v>50243</v>
      </c>
      <c r="L656" t="e">
        <f>[1]!Table1[[#This Row],[Revenue]]-[1]!Table1[[#This Row],[OperationalCost]]</f>
        <v>#REF!</v>
      </c>
      <c r="M656" t="str">
        <f t="shared" si="10"/>
        <v>Dec</v>
      </c>
      <c r="N656" s="15">
        <f>Table11[[#This Row],[SeatsSold]]/Table11[[#This Row],[SeatsAvailable]]</f>
        <v>0.36138613861386137</v>
      </c>
      <c r="O656" s="10"/>
    </row>
    <row r="657" spans="1:15" x14ac:dyDescent="0.3">
      <c r="A657" t="s">
        <v>773</v>
      </c>
      <c r="B657" t="s">
        <v>106</v>
      </c>
      <c r="C657" t="s">
        <v>17</v>
      </c>
      <c r="D657" t="s">
        <v>15</v>
      </c>
      <c r="E657" s="16">
        <v>45776</v>
      </c>
      <c r="F657">
        <v>46</v>
      </c>
      <c r="G657" t="s">
        <v>118</v>
      </c>
      <c r="H657">
        <v>81</v>
      </c>
      <c r="I657">
        <v>78</v>
      </c>
      <c r="J657">
        <v>306228</v>
      </c>
      <c r="K657">
        <v>25549</v>
      </c>
      <c r="L657" t="e">
        <f>[1]!Table1[[#This Row],[Revenue]]-[1]!Table1[[#This Row],[OperationalCost]]</f>
        <v>#REF!</v>
      </c>
      <c r="M657" t="str">
        <f t="shared" si="10"/>
        <v>Apr</v>
      </c>
      <c r="N657" s="15">
        <f>Table11[[#This Row],[SeatsSold]]/Table11[[#This Row],[SeatsAvailable]]</f>
        <v>0.96296296296296291</v>
      </c>
      <c r="O657" s="10"/>
    </row>
    <row r="658" spans="1:15" x14ac:dyDescent="0.3">
      <c r="A658" t="s">
        <v>774</v>
      </c>
      <c r="B658" t="s">
        <v>71</v>
      </c>
      <c r="C658" t="s">
        <v>20</v>
      </c>
      <c r="D658" t="s">
        <v>14</v>
      </c>
      <c r="E658" s="16">
        <v>46191</v>
      </c>
      <c r="F658">
        <v>213</v>
      </c>
      <c r="G658" t="s">
        <v>118</v>
      </c>
      <c r="H658">
        <v>75</v>
      </c>
      <c r="I658">
        <v>59</v>
      </c>
      <c r="J658">
        <v>350342</v>
      </c>
      <c r="K658">
        <v>52851</v>
      </c>
      <c r="L658" t="e">
        <f>[1]!Table1[[#This Row],[Revenue]]-[1]!Table1[[#This Row],[OperationalCost]]</f>
        <v>#REF!</v>
      </c>
      <c r="M658" t="str">
        <f t="shared" si="10"/>
        <v>Jun</v>
      </c>
      <c r="N658" s="15">
        <f>Table11[[#This Row],[SeatsSold]]/Table11[[#This Row],[SeatsAvailable]]</f>
        <v>0.78666666666666663</v>
      </c>
      <c r="O658" s="10"/>
    </row>
    <row r="659" spans="1:15" x14ac:dyDescent="0.3">
      <c r="A659" t="s">
        <v>775</v>
      </c>
      <c r="B659" t="s">
        <v>4</v>
      </c>
      <c r="C659" t="s">
        <v>9</v>
      </c>
      <c r="D659" t="s">
        <v>21</v>
      </c>
      <c r="E659" s="16">
        <v>45941</v>
      </c>
      <c r="F659">
        <v>181</v>
      </c>
      <c r="G659" t="s">
        <v>118</v>
      </c>
      <c r="H659">
        <v>182</v>
      </c>
      <c r="I659">
        <v>70</v>
      </c>
      <c r="J659">
        <v>487690</v>
      </c>
      <c r="K659">
        <v>50438</v>
      </c>
      <c r="L659" t="e">
        <f>[1]!Table1[[#This Row],[Revenue]]-[1]!Table1[[#This Row],[OperationalCost]]</f>
        <v>#REF!</v>
      </c>
      <c r="M659" t="str">
        <f t="shared" si="10"/>
        <v>Oct</v>
      </c>
      <c r="N659" s="15">
        <f>Table11[[#This Row],[SeatsSold]]/Table11[[#This Row],[SeatsAvailable]]</f>
        <v>0.38461538461538464</v>
      </c>
      <c r="O659" s="10"/>
    </row>
    <row r="660" spans="1:15" x14ac:dyDescent="0.3">
      <c r="A660" t="s">
        <v>776</v>
      </c>
      <c r="B660" t="s">
        <v>51</v>
      </c>
      <c r="C660" t="s">
        <v>19</v>
      </c>
      <c r="D660" t="s">
        <v>3</v>
      </c>
      <c r="E660" s="16">
        <v>45673</v>
      </c>
      <c r="F660">
        <v>204</v>
      </c>
      <c r="G660" t="s">
        <v>116</v>
      </c>
      <c r="H660">
        <v>201</v>
      </c>
      <c r="I660">
        <v>66</v>
      </c>
      <c r="J660">
        <v>388344</v>
      </c>
      <c r="K660">
        <v>86601</v>
      </c>
      <c r="L660" t="e">
        <f>[1]!Table1[[#This Row],[Revenue]]-[1]!Table1[[#This Row],[OperationalCost]]</f>
        <v>#REF!</v>
      </c>
      <c r="M660" t="str">
        <f t="shared" si="10"/>
        <v>Jan</v>
      </c>
      <c r="N660" s="15">
        <f>Table11[[#This Row],[SeatsSold]]/Table11[[#This Row],[SeatsAvailable]]</f>
        <v>0.32835820895522388</v>
      </c>
      <c r="O660" s="10"/>
    </row>
    <row r="661" spans="1:15" x14ac:dyDescent="0.3">
      <c r="A661" t="s">
        <v>777</v>
      </c>
      <c r="B661" t="s">
        <v>13</v>
      </c>
      <c r="C661" t="s">
        <v>11</v>
      </c>
      <c r="D661" t="s">
        <v>21</v>
      </c>
      <c r="E661" s="16">
        <v>45935</v>
      </c>
      <c r="F661">
        <v>81</v>
      </c>
      <c r="G661" t="s">
        <v>118</v>
      </c>
      <c r="H661">
        <v>216</v>
      </c>
      <c r="I661">
        <v>102</v>
      </c>
      <c r="J661">
        <v>541212</v>
      </c>
      <c r="K661">
        <v>45522</v>
      </c>
      <c r="L661" t="e">
        <f>[1]!Table1[[#This Row],[Revenue]]-[1]!Table1[[#This Row],[OperationalCost]]</f>
        <v>#REF!</v>
      </c>
      <c r="M661" t="str">
        <f t="shared" si="10"/>
        <v>Oct</v>
      </c>
      <c r="N661" s="15">
        <f>Table11[[#This Row],[SeatsSold]]/Table11[[#This Row],[SeatsAvailable]]</f>
        <v>0.47222222222222221</v>
      </c>
      <c r="O661" s="10"/>
    </row>
    <row r="662" spans="1:15" x14ac:dyDescent="0.3">
      <c r="A662" t="s">
        <v>778</v>
      </c>
      <c r="B662" t="s">
        <v>45</v>
      </c>
      <c r="C662" t="s">
        <v>15</v>
      </c>
      <c r="D662" t="s">
        <v>21</v>
      </c>
      <c r="E662" s="16">
        <v>46211</v>
      </c>
      <c r="F662">
        <v>158</v>
      </c>
      <c r="G662" t="s">
        <v>122</v>
      </c>
      <c r="H662">
        <v>103</v>
      </c>
      <c r="I662">
        <v>43</v>
      </c>
      <c r="J662">
        <v>439116</v>
      </c>
      <c r="K662">
        <v>55612</v>
      </c>
      <c r="L662" t="e">
        <f>[1]!Table1[[#This Row],[Revenue]]-[1]!Table1[[#This Row],[OperationalCost]]</f>
        <v>#REF!</v>
      </c>
      <c r="M662" t="str">
        <f t="shared" si="10"/>
        <v>Jul</v>
      </c>
      <c r="N662" s="15">
        <f>Table11[[#This Row],[SeatsSold]]/Table11[[#This Row],[SeatsAvailable]]</f>
        <v>0.41747572815533979</v>
      </c>
      <c r="O662" s="10"/>
    </row>
    <row r="663" spans="1:15" x14ac:dyDescent="0.3">
      <c r="A663" t="s">
        <v>779</v>
      </c>
      <c r="B663" t="s">
        <v>48</v>
      </c>
      <c r="C663" t="s">
        <v>3</v>
      </c>
      <c r="D663" t="s">
        <v>6</v>
      </c>
      <c r="E663" s="16">
        <v>45713</v>
      </c>
      <c r="F663">
        <v>67</v>
      </c>
      <c r="G663" t="s">
        <v>120</v>
      </c>
      <c r="H663">
        <v>170</v>
      </c>
      <c r="I663">
        <v>85</v>
      </c>
      <c r="J663">
        <v>833340</v>
      </c>
      <c r="K663">
        <v>47629</v>
      </c>
      <c r="L663" t="e">
        <f>[1]!Table1[[#This Row],[Revenue]]-[1]!Table1[[#This Row],[OperationalCost]]</f>
        <v>#REF!</v>
      </c>
      <c r="M663" t="str">
        <f t="shared" si="10"/>
        <v>Feb</v>
      </c>
      <c r="N663" s="15">
        <f>Table11[[#This Row],[SeatsSold]]/Table11[[#This Row],[SeatsAvailable]]</f>
        <v>0.5</v>
      </c>
      <c r="O663" s="10"/>
    </row>
    <row r="664" spans="1:15" x14ac:dyDescent="0.3">
      <c r="A664" t="s">
        <v>780</v>
      </c>
      <c r="B664" t="s">
        <v>73</v>
      </c>
      <c r="C664" t="s">
        <v>19</v>
      </c>
      <c r="D664" t="s">
        <v>17</v>
      </c>
      <c r="E664" s="16">
        <v>45860</v>
      </c>
      <c r="F664">
        <v>227</v>
      </c>
      <c r="G664" t="s">
        <v>116</v>
      </c>
      <c r="H664">
        <v>90</v>
      </c>
      <c r="I664">
        <v>88</v>
      </c>
      <c r="J664">
        <v>891352</v>
      </c>
      <c r="K664">
        <v>70325</v>
      </c>
      <c r="L664" t="e">
        <f>[1]!Table1[[#This Row],[Revenue]]-[1]!Table1[[#This Row],[OperationalCost]]</f>
        <v>#REF!</v>
      </c>
      <c r="M664" t="str">
        <f t="shared" si="10"/>
        <v>Jul</v>
      </c>
      <c r="N664" s="15">
        <f>Table11[[#This Row],[SeatsSold]]/Table11[[#This Row],[SeatsAvailable]]</f>
        <v>0.97777777777777775</v>
      </c>
      <c r="O664" s="10"/>
    </row>
    <row r="665" spans="1:15" x14ac:dyDescent="0.3">
      <c r="A665" t="s">
        <v>781</v>
      </c>
      <c r="B665" t="s">
        <v>8</v>
      </c>
      <c r="C665" t="s">
        <v>3</v>
      </c>
      <c r="D665" t="s">
        <v>11</v>
      </c>
      <c r="E665" s="16">
        <v>45757</v>
      </c>
      <c r="F665">
        <v>161</v>
      </c>
      <c r="G665" t="s">
        <v>118</v>
      </c>
      <c r="H665">
        <v>189</v>
      </c>
      <c r="I665">
        <v>160</v>
      </c>
      <c r="J665">
        <v>1007360</v>
      </c>
      <c r="K665">
        <v>50421</v>
      </c>
      <c r="L665" t="e">
        <f>[1]!Table1[[#This Row],[Revenue]]-[1]!Table1[[#This Row],[OperationalCost]]</f>
        <v>#REF!</v>
      </c>
      <c r="M665" t="str">
        <f t="shared" si="10"/>
        <v>Apr</v>
      </c>
      <c r="N665" s="15">
        <f>Table11[[#This Row],[SeatsSold]]/Table11[[#This Row],[SeatsAvailable]]</f>
        <v>0.84656084656084651</v>
      </c>
      <c r="O665" s="10"/>
    </row>
    <row r="666" spans="1:15" x14ac:dyDescent="0.3">
      <c r="A666" t="s">
        <v>782</v>
      </c>
      <c r="B666" t="s">
        <v>91</v>
      </c>
      <c r="C666" t="s">
        <v>15</v>
      </c>
      <c r="D666" t="s">
        <v>19</v>
      </c>
      <c r="E666" s="16">
        <v>46030</v>
      </c>
      <c r="F666">
        <v>145</v>
      </c>
      <c r="G666" t="s">
        <v>113</v>
      </c>
      <c r="H666">
        <v>154</v>
      </c>
      <c r="I666">
        <v>140</v>
      </c>
      <c r="J666">
        <v>1094800</v>
      </c>
      <c r="K666">
        <v>65636</v>
      </c>
      <c r="L666" t="e">
        <f>[1]!Table1[[#This Row],[Revenue]]-[1]!Table1[[#This Row],[OperationalCost]]</f>
        <v>#REF!</v>
      </c>
      <c r="M666" t="str">
        <f t="shared" si="10"/>
        <v>Jan</v>
      </c>
      <c r="N666" s="15">
        <f>Table11[[#This Row],[SeatsSold]]/Table11[[#This Row],[SeatsAvailable]]</f>
        <v>0.90909090909090906</v>
      </c>
      <c r="O666" s="10"/>
    </row>
    <row r="667" spans="1:15" x14ac:dyDescent="0.3">
      <c r="A667" t="s">
        <v>783</v>
      </c>
      <c r="B667" t="s">
        <v>71</v>
      </c>
      <c r="C667" t="s">
        <v>20</v>
      </c>
      <c r="D667" t="s">
        <v>14</v>
      </c>
      <c r="E667" s="16">
        <v>46144</v>
      </c>
      <c r="F667">
        <v>73</v>
      </c>
      <c r="G667" t="s">
        <v>118</v>
      </c>
      <c r="H667">
        <v>192</v>
      </c>
      <c r="I667">
        <v>158</v>
      </c>
      <c r="J667">
        <v>837084</v>
      </c>
      <c r="K667">
        <v>46464</v>
      </c>
      <c r="L667" t="e">
        <f>[1]!Table1[[#This Row],[Revenue]]-[1]!Table1[[#This Row],[OperationalCost]]</f>
        <v>#REF!</v>
      </c>
      <c r="M667" t="str">
        <f t="shared" si="10"/>
        <v>May</v>
      </c>
      <c r="N667" s="15">
        <f>Table11[[#This Row],[SeatsSold]]/Table11[[#This Row],[SeatsAvailable]]</f>
        <v>0.82291666666666663</v>
      </c>
      <c r="O667" s="10"/>
    </row>
    <row r="668" spans="1:15" x14ac:dyDescent="0.3">
      <c r="A668" t="s">
        <v>784</v>
      </c>
      <c r="B668" t="s">
        <v>63</v>
      </c>
      <c r="C668" t="s">
        <v>15</v>
      </c>
      <c r="D668" t="s">
        <v>14</v>
      </c>
      <c r="E668" s="16">
        <v>46178</v>
      </c>
      <c r="F668">
        <v>71</v>
      </c>
      <c r="G668" t="s">
        <v>120</v>
      </c>
      <c r="H668">
        <v>97</v>
      </c>
      <c r="I668">
        <v>60</v>
      </c>
      <c r="J668">
        <v>696660</v>
      </c>
      <c r="K668">
        <v>29812</v>
      </c>
      <c r="L668" t="e">
        <f>[1]!Table1[[#This Row],[Revenue]]-[1]!Table1[[#This Row],[OperationalCost]]</f>
        <v>#REF!</v>
      </c>
      <c r="M668" t="str">
        <f t="shared" si="10"/>
        <v>Jun</v>
      </c>
      <c r="N668" s="15">
        <f>Table11[[#This Row],[SeatsSold]]/Table11[[#This Row],[SeatsAvailable]]</f>
        <v>0.61855670103092786</v>
      </c>
      <c r="O668" s="10"/>
    </row>
    <row r="669" spans="1:15" x14ac:dyDescent="0.3">
      <c r="A669" t="s">
        <v>785</v>
      </c>
      <c r="B669" t="s">
        <v>94</v>
      </c>
      <c r="C669" t="s">
        <v>19</v>
      </c>
      <c r="D669" t="s">
        <v>15</v>
      </c>
      <c r="E669" s="16">
        <v>46130</v>
      </c>
      <c r="F669">
        <v>147</v>
      </c>
      <c r="G669" t="s">
        <v>116</v>
      </c>
      <c r="H669">
        <v>175</v>
      </c>
      <c r="I669">
        <v>101</v>
      </c>
      <c r="J669">
        <v>655692</v>
      </c>
      <c r="K669">
        <v>59220</v>
      </c>
      <c r="L669" t="e">
        <f>[1]!Table1[[#This Row],[Revenue]]-[1]!Table1[[#This Row],[OperationalCost]]</f>
        <v>#REF!</v>
      </c>
      <c r="M669" t="str">
        <f t="shared" si="10"/>
        <v>Apr</v>
      </c>
      <c r="N669" s="15">
        <f>Table11[[#This Row],[SeatsSold]]/Table11[[#This Row],[SeatsAvailable]]</f>
        <v>0.57714285714285718</v>
      </c>
      <c r="O669" s="10"/>
    </row>
    <row r="670" spans="1:15" x14ac:dyDescent="0.3">
      <c r="A670" t="s">
        <v>786</v>
      </c>
      <c r="B670" t="s">
        <v>66</v>
      </c>
      <c r="C670" t="s">
        <v>6</v>
      </c>
      <c r="D670" t="s">
        <v>17</v>
      </c>
      <c r="E670" s="16">
        <v>45725</v>
      </c>
      <c r="F670">
        <v>132</v>
      </c>
      <c r="G670" t="s">
        <v>113</v>
      </c>
      <c r="H670">
        <v>180</v>
      </c>
      <c r="I670">
        <v>151</v>
      </c>
      <c r="J670">
        <v>1780743</v>
      </c>
      <c r="K670">
        <v>66744</v>
      </c>
      <c r="L670" t="e">
        <f>[1]!Table1[[#This Row],[Revenue]]-[1]!Table1[[#This Row],[OperationalCost]]</f>
        <v>#REF!</v>
      </c>
      <c r="M670" t="str">
        <f t="shared" si="10"/>
        <v>Mar</v>
      </c>
      <c r="N670" s="15">
        <f>Table11[[#This Row],[SeatsSold]]/Table11[[#This Row],[SeatsAvailable]]</f>
        <v>0.83888888888888891</v>
      </c>
      <c r="O670" s="10"/>
    </row>
    <row r="671" spans="1:15" x14ac:dyDescent="0.3">
      <c r="A671" t="s">
        <v>787</v>
      </c>
      <c r="B671" t="s">
        <v>59</v>
      </c>
      <c r="C671" t="s">
        <v>9</v>
      </c>
      <c r="D671" t="s">
        <v>14</v>
      </c>
      <c r="E671" s="16">
        <v>46336</v>
      </c>
      <c r="F671">
        <v>216</v>
      </c>
      <c r="G671" t="s">
        <v>122</v>
      </c>
      <c r="H671">
        <v>216</v>
      </c>
      <c r="I671">
        <v>164</v>
      </c>
      <c r="J671">
        <v>717172</v>
      </c>
      <c r="K671">
        <v>108648</v>
      </c>
      <c r="L671" t="e">
        <f>[1]!Table1[[#This Row],[Revenue]]-[1]!Table1[[#This Row],[OperationalCost]]</f>
        <v>#REF!</v>
      </c>
      <c r="M671" t="str">
        <f t="shared" si="10"/>
        <v>Nov</v>
      </c>
      <c r="N671" s="15">
        <f>Table11[[#This Row],[SeatsSold]]/Table11[[#This Row],[SeatsAvailable]]</f>
        <v>0.7592592592592593</v>
      </c>
      <c r="O671" s="10"/>
    </row>
    <row r="672" spans="1:15" x14ac:dyDescent="0.3">
      <c r="A672" t="s">
        <v>788</v>
      </c>
      <c r="B672" t="s">
        <v>16</v>
      </c>
      <c r="C672" t="s">
        <v>6</v>
      </c>
      <c r="D672" t="s">
        <v>21</v>
      </c>
      <c r="E672" s="16">
        <v>46226</v>
      </c>
      <c r="F672">
        <v>69</v>
      </c>
      <c r="G672" t="s">
        <v>120</v>
      </c>
      <c r="H672">
        <v>115</v>
      </c>
      <c r="I672">
        <v>79</v>
      </c>
      <c r="J672">
        <v>722692</v>
      </c>
      <c r="K672">
        <v>36248</v>
      </c>
      <c r="L672" t="e">
        <f>[1]!Table1[[#This Row],[Revenue]]-[1]!Table1[[#This Row],[OperationalCost]]</f>
        <v>#REF!</v>
      </c>
      <c r="M672" t="str">
        <f t="shared" si="10"/>
        <v>Jul</v>
      </c>
      <c r="N672" s="15">
        <f>Table11[[#This Row],[SeatsSold]]/Table11[[#This Row],[SeatsAvailable]]</f>
        <v>0.68695652173913047</v>
      </c>
      <c r="O672" s="10"/>
    </row>
    <row r="673" spans="1:15" x14ac:dyDescent="0.3">
      <c r="A673" t="s">
        <v>789</v>
      </c>
      <c r="B673" t="s">
        <v>48</v>
      </c>
      <c r="C673" t="s">
        <v>3</v>
      </c>
      <c r="D673" t="s">
        <v>6</v>
      </c>
      <c r="E673" s="16">
        <v>45993</v>
      </c>
      <c r="F673">
        <v>171</v>
      </c>
      <c r="G673" t="s">
        <v>122</v>
      </c>
      <c r="H673">
        <v>93</v>
      </c>
      <c r="I673">
        <v>53</v>
      </c>
      <c r="J673">
        <v>253128</v>
      </c>
      <c r="K673">
        <v>68334</v>
      </c>
      <c r="L673" t="e">
        <f>[1]!Table1[[#This Row],[Revenue]]-[1]!Table1[[#This Row],[OperationalCost]]</f>
        <v>#REF!</v>
      </c>
      <c r="M673" t="str">
        <f t="shared" si="10"/>
        <v>Dec</v>
      </c>
      <c r="N673" s="15">
        <f>Table11[[#This Row],[SeatsSold]]/Table11[[#This Row],[SeatsAvailable]]</f>
        <v>0.56989247311827962</v>
      </c>
      <c r="O673" s="10"/>
    </row>
    <row r="674" spans="1:15" x14ac:dyDescent="0.3">
      <c r="A674" t="s">
        <v>790</v>
      </c>
      <c r="B674" t="s">
        <v>74</v>
      </c>
      <c r="C674" t="s">
        <v>20</v>
      </c>
      <c r="D674" t="s">
        <v>9</v>
      </c>
      <c r="E674" s="16">
        <v>46334</v>
      </c>
      <c r="F674">
        <v>83</v>
      </c>
      <c r="G674" t="s">
        <v>120</v>
      </c>
      <c r="H674">
        <v>206</v>
      </c>
      <c r="I674">
        <v>114</v>
      </c>
      <c r="J674">
        <v>1013346</v>
      </c>
      <c r="K674">
        <v>69753</v>
      </c>
      <c r="L674" t="e">
        <f>[1]!Table1[[#This Row],[Revenue]]-[1]!Table1[[#This Row],[OperationalCost]]</f>
        <v>#REF!</v>
      </c>
      <c r="M674" t="str">
        <f t="shared" si="10"/>
        <v>Nov</v>
      </c>
      <c r="N674" s="15">
        <f>Table11[[#This Row],[SeatsSold]]/Table11[[#This Row],[SeatsAvailable]]</f>
        <v>0.55339805825242716</v>
      </c>
      <c r="O674" s="10"/>
    </row>
    <row r="675" spans="1:15" x14ac:dyDescent="0.3">
      <c r="A675" t="s">
        <v>791</v>
      </c>
      <c r="B675" t="s">
        <v>62</v>
      </c>
      <c r="C675" t="s">
        <v>6</v>
      </c>
      <c r="D675" t="s">
        <v>9</v>
      </c>
      <c r="E675" s="16">
        <v>45868</v>
      </c>
      <c r="F675">
        <v>219</v>
      </c>
      <c r="G675" t="s">
        <v>118</v>
      </c>
      <c r="H675">
        <v>146</v>
      </c>
      <c r="I675">
        <v>112</v>
      </c>
      <c r="J675">
        <v>838768</v>
      </c>
      <c r="K675">
        <v>75117</v>
      </c>
      <c r="L675" t="e">
        <f>[1]!Table1[[#This Row],[Revenue]]-[1]!Table1[[#This Row],[OperationalCost]]</f>
        <v>#REF!</v>
      </c>
      <c r="M675" t="str">
        <f t="shared" si="10"/>
        <v>Jul</v>
      </c>
      <c r="N675" s="15">
        <f>Table11[[#This Row],[SeatsSold]]/Table11[[#This Row],[SeatsAvailable]]</f>
        <v>0.76712328767123283</v>
      </c>
      <c r="O675" s="10"/>
    </row>
    <row r="676" spans="1:15" x14ac:dyDescent="0.3">
      <c r="A676" t="s">
        <v>792</v>
      </c>
      <c r="B676" t="s">
        <v>5</v>
      </c>
      <c r="C676" t="s">
        <v>3</v>
      </c>
      <c r="D676" t="s">
        <v>20</v>
      </c>
      <c r="E676" s="16">
        <v>46284</v>
      </c>
      <c r="F676">
        <v>175</v>
      </c>
      <c r="G676" t="s">
        <v>120</v>
      </c>
      <c r="H676">
        <v>102</v>
      </c>
      <c r="I676">
        <v>94</v>
      </c>
      <c r="J676">
        <v>687986</v>
      </c>
      <c r="K676">
        <v>41373</v>
      </c>
      <c r="L676" t="e">
        <f>[1]!Table1[[#This Row],[Revenue]]-[1]!Table1[[#This Row],[OperationalCost]]</f>
        <v>#REF!</v>
      </c>
      <c r="M676" t="str">
        <f t="shared" si="10"/>
        <v>Sep</v>
      </c>
      <c r="N676" s="15">
        <f>Table11[[#This Row],[SeatsSold]]/Table11[[#This Row],[SeatsAvailable]]</f>
        <v>0.92156862745098034</v>
      </c>
      <c r="O676" s="10"/>
    </row>
    <row r="677" spans="1:15" x14ac:dyDescent="0.3">
      <c r="A677" t="s">
        <v>793</v>
      </c>
      <c r="B677" t="s">
        <v>99</v>
      </c>
      <c r="C677" t="s">
        <v>11</v>
      </c>
      <c r="D677" t="s">
        <v>20</v>
      </c>
      <c r="E677" s="16">
        <v>45658</v>
      </c>
      <c r="F677">
        <v>225</v>
      </c>
      <c r="G677" t="s">
        <v>116</v>
      </c>
      <c r="H677">
        <v>161</v>
      </c>
      <c r="I677">
        <v>54</v>
      </c>
      <c r="J677">
        <v>384642</v>
      </c>
      <c r="K677">
        <v>51115</v>
      </c>
      <c r="L677" t="e">
        <f>[1]!Table1[[#This Row],[Revenue]]-[1]!Table1[[#This Row],[OperationalCost]]</f>
        <v>#REF!</v>
      </c>
      <c r="M677" t="str">
        <f t="shared" si="10"/>
        <v>Jan</v>
      </c>
      <c r="N677" s="15">
        <f>Table11[[#This Row],[SeatsSold]]/Table11[[#This Row],[SeatsAvailable]]</f>
        <v>0.33540372670807456</v>
      </c>
      <c r="O677" s="10"/>
    </row>
    <row r="678" spans="1:15" x14ac:dyDescent="0.3">
      <c r="A678" t="s">
        <v>794</v>
      </c>
      <c r="B678" t="s">
        <v>77</v>
      </c>
      <c r="C678" t="s">
        <v>17</v>
      </c>
      <c r="D678" t="s">
        <v>6</v>
      </c>
      <c r="E678" s="16">
        <v>46298</v>
      </c>
      <c r="F678">
        <v>126</v>
      </c>
      <c r="G678" t="s">
        <v>120</v>
      </c>
      <c r="H678">
        <v>173</v>
      </c>
      <c r="I678">
        <v>137</v>
      </c>
      <c r="J678">
        <v>1319310</v>
      </c>
      <c r="K678">
        <v>55816</v>
      </c>
      <c r="L678" t="e">
        <f>[1]!Table1[[#This Row],[Revenue]]-[1]!Table1[[#This Row],[OperationalCost]]</f>
        <v>#REF!</v>
      </c>
      <c r="M678" t="str">
        <f t="shared" si="10"/>
        <v>Oct</v>
      </c>
      <c r="N678" s="15">
        <f>Table11[[#This Row],[SeatsSold]]/Table11[[#This Row],[SeatsAvailable]]</f>
        <v>0.79190751445086704</v>
      </c>
      <c r="O678" s="10"/>
    </row>
    <row r="679" spans="1:15" x14ac:dyDescent="0.3">
      <c r="A679" t="s">
        <v>795</v>
      </c>
      <c r="B679" t="s">
        <v>50</v>
      </c>
      <c r="C679" t="s">
        <v>14</v>
      </c>
      <c r="D679" t="s">
        <v>11</v>
      </c>
      <c r="E679" s="16">
        <v>45800</v>
      </c>
      <c r="F679">
        <v>93</v>
      </c>
      <c r="G679" t="s">
        <v>116</v>
      </c>
      <c r="H679">
        <v>168</v>
      </c>
      <c r="I679">
        <v>132</v>
      </c>
      <c r="J679">
        <v>1232220</v>
      </c>
      <c r="K679">
        <v>40491</v>
      </c>
      <c r="L679" t="e">
        <f>[1]!Table1[[#This Row],[Revenue]]-[1]!Table1[[#This Row],[OperationalCost]]</f>
        <v>#REF!</v>
      </c>
      <c r="M679" t="str">
        <f t="shared" si="10"/>
        <v>May</v>
      </c>
      <c r="N679" s="15">
        <f>Table11[[#This Row],[SeatsSold]]/Table11[[#This Row],[SeatsAvailable]]</f>
        <v>0.7857142857142857</v>
      </c>
      <c r="O679" s="10"/>
    </row>
    <row r="680" spans="1:15" x14ac:dyDescent="0.3">
      <c r="A680" t="s">
        <v>796</v>
      </c>
      <c r="B680" t="s">
        <v>34</v>
      </c>
      <c r="C680" t="s">
        <v>14</v>
      </c>
      <c r="D680" t="s">
        <v>9</v>
      </c>
      <c r="E680" s="16">
        <v>45669</v>
      </c>
      <c r="F680">
        <v>63</v>
      </c>
      <c r="G680" t="s">
        <v>122</v>
      </c>
      <c r="H680">
        <v>106</v>
      </c>
      <c r="I680">
        <v>102</v>
      </c>
      <c r="J680">
        <v>984810</v>
      </c>
      <c r="K680">
        <v>20408</v>
      </c>
      <c r="L680" t="e">
        <f>[1]!Table1[[#This Row],[Revenue]]-[1]!Table1[[#This Row],[OperationalCost]]</f>
        <v>#REF!</v>
      </c>
      <c r="M680" t="str">
        <f t="shared" si="10"/>
        <v>Jan</v>
      </c>
      <c r="N680" s="15">
        <f>Table11[[#This Row],[SeatsSold]]/Table11[[#This Row],[SeatsAvailable]]</f>
        <v>0.96226415094339623</v>
      </c>
      <c r="O680" s="10"/>
    </row>
    <row r="681" spans="1:15" x14ac:dyDescent="0.3">
      <c r="A681" t="s">
        <v>797</v>
      </c>
      <c r="B681" t="s">
        <v>55</v>
      </c>
      <c r="C681" t="s">
        <v>14</v>
      </c>
      <c r="D681" t="s">
        <v>6</v>
      </c>
      <c r="E681" s="16">
        <v>46124</v>
      </c>
      <c r="F681">
        <v>223</v>
      </c>
      <c r="G681" t="s">
        <v>116</v>
      </c>
      <c r="H681">
        <v>178</v>
      </c>
      <c r="I681">
        <v>86</v>
      </c>
      <c r="J681">
        <v>855184</v>
      </c>
      <c r="K681">
        <v>89214</v>
      </c>
      <c r="L681" t="e">
        <f>[1]!Table1[[#This Row],[Revenue]]-[1]!Table1[[#This Row],[OperationalCost]]</f>
        <v>#REF!</v>
      </c>
      <c r="M681" t="str">
        <f t="shared" si="10"/>
        <v>Apr</v>
      </c>
      <c r="N681" s="15">
        <f>Table11[[#This Row],[SeatsSold]]/Table11[[#This Row],[SeatsAvailable]]</f>
        <v>0.48314606741573035</v>
      </c>
      <c r="O681" s="10"/>
    </row>
    <row r="682" spans="1:15" x14ac:dyDescent="0.3">
      <c r="A682" t="s">
        <v>798</v>
      </c>
      <c r="B682" t="s">
        <v>68</v>
      </c>
      <c r="C682" t="s">
        <v>11</v>
      </c>
      <c r="D682" t="s">
        <v>6</v>
      </c>
      <c r="E682" s="16">
        <v>46051</v>
      </c>
      <c r="F682">
        <v>135</v>
      </c>
      <c r="G682" t="s">
        <v>113</v>
      </c>
      <c r="H682">
        <v>117</v>
      </c>
      <c r="I682">
        <v>94</v>
      </c>
      <c r="J682">
        <v>246374</v>
      </c>
      <c r="K682">
        <v>60264</v>
      </c>
      <c r="L682" t="e">
        <f>[1]!Table1[[#This Row],[Revenue]]-[1]!Table1[[#This Row],[OperationalCost]]</f>
        <v>#REF!</v>
      </c>
      <c r="M682" t="str">
        <f t="shared" si="10"/>
        <v>Jan</v>
      </c>
      <c r="N682" s="15">
        <f>Table11[[#This Row],[SeatsSold]]/Table11[[#This Row],[SeatsAvailable]]</f>
        <v>0.80341880341880345</v>
      </c>
      <c r="O682" s="10"/>
    </row>
    <row r="683" spans="1:15" x14ac:dyDescent="0.3">
      <c r="A683" t="s">
        <v>799</v>
      </c>
      <c r="B683" t="s">
        <v>67</v>
      </c>
      <c r="C683" t="s">
        <v>9</v>
      </c>
      <c r="D683" t="s">
        <v>15</v>
      </c>
      <c r="E683" s="16">
        <v>45933</v>
      </c>
      <c r="F683">
        <v>150</v>
      </c>
      <c r="G683" t="s">
        <v>116</v>
      </c>
      <c r="H683">
        <v>217</v>
      </c>
      <c r="I683">
        <v>133</v>
      </c>
      <c r="J683">
        <v>405384</v>
      </c>
      <c r="K683">
        <v>68175</v>
      </c>
      <c r="L683" t="e">
        <f>[1]!Table1[[#This Row],[Revenue]]-[1]!Table1[[#This Row],[OperationalCost]]</f>
        <v>#REF!</v>
      </c>
      <c r="M683" t="str">
        <f t="shared" si="10"/>
        <v>Oct</v>
      </c>
      <c r="N683" s="15">
        <f>Table11[[#This Row],[SeatsSold]]/Table11[[#This Row],[SeatsAvailable]]</f>
        <v>0.61290322580645162</v>
      </c>
      <c r="O683" s="10"/>
    </row>
    <row r="684" spans="1:15" x14ac:dyDescent="0.3">
      <c r="A684" t="s">
        <v>800</v>
      </c>
      <c r="B684" t="s">
        <v>16</v>
      </c>
      <c r="C684" t="s">
        <v>6</v>
      </c>
      <c r="D684" t="s">
        <v>21</v>
      </c>
      <c r="E684" s="16">
        <v>45773</v>
      </c>
      <c r="F684">
        <v>193</v>
      </c>
      <c r="G684" t="s">
        <v>120</v>
      </c>
      <c r="H684">
        <v>90</v>
      </c>
      <c r="I684">
        <v>49</v>
      </c>
      <c r="J684">
        <v>545076</v>
      </c>
      <c r="K684">
        <v>54773</v>
      </c>
      <c r="L684" t="e">
        <f>[1]!Table1[[#This Row],[Revenue]]-[1]!Table1[[#This Row],[OperationalCost]]</f>
        <v>#REF!</v>
      </c>
      <c r="M684" t="str">
        <f t="shared" si="10"/>
        <v>Apr</v>
      </c>
      <c r="N684" s="15">
        <f>Table11[[#This Row],[SeatsSold]]/Table11[[#This Row],[SeatsAvailable]]</f>
        <v>0.5444444444444444</v>
      </c>
      <c r="O684" s="10"/>
    </row>
    <row r="685" spans="1:15" x14ac:dyDescent="0.3">
      <c r="A685" t="s">
        <v>801</v>
      </c>
      <c r="B685" t="s">
        <v>75</v>
      </c>
      <c r="C685" t="s">
        <v>11</v>
      </c>
      <c r="D685" t="s">
        <v>3</v>
      </c>
      <c r="E685" s="16">
        <v>46193</v>
      </c>
      <c r="F685">
        <v>201</v>
      </c>
      <c r="G685" t="s">
        <v>122</v>
      </c>
      <c r="H685">
        <v>132</v>
      </c>
      <c r="I685">
        <v>100</v>
      </c>
      <c r="J685">
        <v>377900</v>
      </c>
      <c r="K685">
        <v>91239</v>
      </c>
      <c r="L685" t="e">
        <f>[1]!Table1[[#This Row],[Revenue]]-[1]!Table1[[#This Row],[OperationalCost]]</f>
        <v>#REF!</v>
      </c>
      <c r="M685" t="str">
        <f t="shared" si="10"/>
        <v>Jun</v>
      </c>
      <c r="N685" s="15">
        <f>Table11[[#This Row],[SeatsSold]]/Table11[[#This Row],[SeatsAvailable]]</f>
        <v>0.75757575757575757</v>
      </c>
      <c r="O685" s="10"/>
    </row>
    <row r="686" spans="1:15" x14ac:dyDescent="0.3">
      <c r="A686" t="s">
        <v>802</v>
      </c>
      <c r="B686" t="s">
        <v>88</v>
      </c>
      <c r="C686" t="s">
        <v>11</v>
      </c>
      <c r="D686" t="s">
        <v>19</v>
      </c>
      <c r="E686" s="16">
        <v>46285</v>
      </c>
      <c r="F686">
        <v>58</v>
      </c>
      <c r="G686" t="s">
        <v>118</v>
      </c>
      <c r="H686">
        <v>206</v>
      </c>
      <c r="I686">
        <v>42</v>
      </c>
      <c r="J686">
        <v>427602</v>
      </c>
      <c r="K686">
        <v>57154</v>
      </c>
      <c r="L686" t="e">
        <f>[1]!Table1[[#This Row],[Revenue]]-[1]!Table1[[#This Row],[OperationalCost]]</f>
        <v>#REF!</v>
      </c>
      <c r="M686" t="str">
        <f t="shared" si="10"/>
        <v>Sep</v>
      </c>
      <c r="N686" s="15">
        <f>Table11[[#This Row],[SeatsSold]]/Table11[[#This Row],[SeatsAvailable]]</f>
        <v>0.20388349514563106</v>
      </c>
      <c r="O686" s="10"/>
    </row>
    <row r="687" spans="1:15" x14ac:dyDescent="0.3">
      <c r="A687" t="s">
        <v>803</v>
      </c>
      <c r="B687" t="s">
        <v>16</v>
      </c>
      <c r="C687" t="s">
        <v>6</v>
      </c>
      <c r="D687" t="s">
        <v>21</v>
      </c>
      <c r="E687" s="16">
        <v>46089</v>
      </c>
      <c r="F687">
        <v>135</v>
      </c>
      <c r="G687" t="s">
        <v>118</v>
      </c>
      <c r="H687">
        <v>144</v>
      </c>
      <c r="I687">
        <v>61</v>
      </c>
      <c r="J687">
        <v>187758</v>
      </c>
      <c r="K687">
        <v>73503</v>
      </c>
      <c r="L687" t="e">
        <f>[1]!Table1[[#This Row],[Revenue]]-[1]!Table1[[#This Row],[OperationalCost]]</f>
        <v>#REF!</v>
      </c>
      <c r="M687" t="str">
        <f t="shared" si="10"/>
        <v>Mar</v>
      </c>
      <c r="N687" s="15">
        <f>Table11[[#This Row],[SeatsSold]]/Table11[[#This Row],[SeatsAvailable]]</f>
        <v>0.4236111111111111</v>
      </c>
      <c r="O687" s="10"/>
    </row>
    <row r="688" spans="1:15" x14ac:dyDescent="0.3">
      <c r="A688" t="s">
        <v>804</v>
      </c>
      <c r="B688" t="s">
        <v>109</v>
      </c>
      <c r="C688" t="s">
        <v>19</v>
      </c>
      <c r="D688" t="s">
        <v>21</v>
      </c>
      <c r="E688" s="16">
        <v>45720</v>
      </c>
      <c r="F688">
        <v>206</v>
      </c>
      <c r="G688" t="s">
        <v>120</v>
      </c>
      <c r="H688">
        <v>218</v>
      </c>
      <c r="I688">
        <v>83</v>
      </c>
      <c r="J688">
        <v>986455</v>
      </c>
      <c r="K688">
        <v>81462</v>
      </c>
      <c r="L688" t="e">
        <f>[1]!Table1[[#This Row],[Revenue]]-[1]!Table1[[#This Row],[OperationalCost]]</f>
        <v>#REF!</v>
      </c>
      <c r="M688" t="str">
        <f t="shared" si="10"/>
        <v>Mar</v>
      </c>
      <c r="N688" s="15">
        <f>Table11[[#This Row],[SeatsSold]]/Table11[[#This Row],[SeatsAvailable]]</f>
        <v>0.38073394495412843</v>
      </c>
      <c r="O688" s="10"/>
    </row>
    <row r="689" spans="1:15" x14ac:dyDescent="0.3">
      <c r="A689" t="s">
        <v>805</v>
      </c>
      <c r="B689" t="s">
        <v>100</v>
      </c>
      <c r="C689" t="s">
        <v>19</v>
      </c>
      <c r="D689" t="s">
        <v>20</v>
      </c>
      <c r="E689" s="16">
        <v>45951</v>
      </c>
      <c r="F689">
        <v>169</v>
      </c>
      <c r="G689" t="s">
        <v>122</v>
      </c>
      <c r="H689">
        <v>102</v>
      </c>
      <c r="I689">
        <v>72</v>
      </c>
      <c r="J689">
        <v>270648</v>
      </c>
      <c r="K689">
        <v>46967</v>
      </c>
      <c r="L689" t="e">
        <f>[1]!Table1[[#This Row],[Revenue]]-[1]!Table1[[#This Row],[OperationalCost]]</f>
        <v>#REF!</v>
      </c>
      <c r="M689" t="str">
        <f t="shared" si="10"/>
        <v>Oct</v>
      </c>
      <c r="N689" s="15">
        <f>Table11[[#This Row],[SeatsSold]]/Table11[[#This Row],[SeatsAvailable]]</f>
        <v>0.70588235294117652</v>
      </c>
      <c r="O689" s="10"/>
    </row>
    <row r="690" spans="1:15" x14ac:dyDescent="0.3">
      <c r="A690" t="s">
        <v>806</v>
      </c>
      <c r="B690" t="s">
        <v>44</v>
      </c>
      <c r="C690" t="s">
        <v>14</v>
      </c>
      <c r="D690" t="s">
        <v>21</v>
      </c>
      <c r="E690" s="16">
        <v>45939</v>
      </c>
      <c r="F690">
        <v>110</v>
      </c>
      <c r="G690" t="s">
        <v>122</v>
      </c>
      <c r="H690">
        <v>98</v>
      </c>
      <c r="I690">
        <v>78</v>
      </c>
      <c r="J690">
        <v>418080</v>
      </c>
      <c r="K690">
        <v>41374</v>
      </c>
      <c r="L690" t="e">
        <f>[1]!Table1[[#This Row],[Revenue]]-[1]!Table1[[#This Row],[OperationalCost]]</f>
        <v>#REF!</v>
      </c>
      <c r="M690" t="str">
        <f t="shared" si="10"/>
        <v>Oct</v>
      </c>
      <c r="N690" s="15">
        <f>Table11[[#This Row],[SeatsSold]]/Table11[[#This Row],[SeatsAvailable]]</f>
        <v>0.79591836734693877</v>
      </c>
      <c r="O690" s="10"/>
    </row>
    <row r="691" spans="1:15" x14ac:dyDescent="0.3">
      <c r="A691" t="s">
        <v>807</v>
      </c>
      <c r="B691" t="s">
        <v>16</v>
      </c>
      <c r="C691" t="s">
        <v>6</v>
      </c>
      <c r="D691" t="s">
        <v>21</v>
      </c>
      <c r="E691" s="16">
        <v>45837</v>
      </c>
      <c r="F691">
        <v>111</v>
      </c>
      <c r="G691" t="s">
        <v>113</v>
      </c>
      <c r="H691">
        <v>194</v>
      </c>
      <c r="I691">
        <v>86</v>
      </c>
      <c r="J691">
        <v>958040</v>
      </c>
      <c r="K691">
        <v>46606</v>
      </c>
      <c r="L691" t="e">
        <f>[1]!Table1[[#This Row],[Revenue]]-[1]!Table1[[#This Row],[OperationalCost]]</f>
        <v>#REF!</v>
      </c>
      <c r="M691" t="str">
        <f t="shared" si="10"/>
        <v>Jun</v>
      </c>
      <c r="N691" s="15">
        <f>Table11[[#This Row],[SeatsSold]]/Table11[[#This Row],[SeatsAvailable]]</f>
        <v>0.44329896907216493</v>
      </c>
      <c r="O691" s="10"/>
    </row>
    <row r="692" spans="1:15" x14ac:dyDescent="0.3">
      <c r="A692" t="s">
        <v>808</v>
      </c>
      <c r="B692" t="s">
        <v>93</v>
      </c>
      <c r="C692" t="s">
        <v>3</v>
      </c>
      <c r="D692" t="s">
        <v>9</v>
      </c>
      <c r="E692" s="16">
        <v>46267</v>
      </c>
      <c r="F692">
        <v>84</v>
      </c>
      <c r="G692" t="s">
        <v>120</v>
      </c>
      <c r="H692">
        <v>175</v>
      </c>
      <c r="I692">
        <v>138</v>
      </c>
      <c r="J692">
        <v>882924</v>
      </c>
      <c r="K692">
        <v>57876</v>
      </c>
      <c r="L692" t="e">
        <f>[1]!Table1[[#This Row],[Revenue]]-[1]!Table1[[#This Row],[OperationalCost]]</f>
        <v>#REF!</v>
      </c>
      <c r="M692" t="str">
        <f t="shared" si="10"/>
        <v>Sep</v>
      </c>
      <c r="N692" s="15">
        <f>Table11[[#This Row],[SeatsSold]]/Table11[[#This Row],[SeatsAvailable]]</f>
        <v>0.78857142857142859</v>
      </c>
      <c r="O692" s="10"/>
    </row>
    <row r="693" spans="1:15" x14ac:dyDescent="0.3">
      <c r="A693" t="s">
        <v>809</v>
      </c>
      <c r="B693" t="s">
        <v>53</v>
      </c>
      <c r="C693" t="s">
        <v>14</v>
      </c>
      <c r="D693" t="s">
        <v>19</v>
      </c>
      <c r="E693" s="16">
        <v>46249</v>
      </c>
      <c r="F693">
        <v>232</v>
      </c>
      <c r="G693" t="s">
        <v>118</v>
      </c>
      <c r="H693">
        <v>83</v>
      </c>
      <c r="I693">
        <v>81</v>
      </c>
      <c r="J693">
        <v>553311</v>
      </c>
      <c r="K693">
        <v>42287</v>
      </c>
      <c r="L693" t="e">
        <f>[1]!Table1[[#This Row],[Revenue]]-[1]!Table1[[#This Row],[OperationalCost]]</f>
        <v>#REF!</v>
      </c>
      <c r="M693" t="str">
        <f t="shared" si="10"/>
        <v>Aug</v>
      </c>
      <c r="N693" s="15">
        <f>Table11[[#This Row],[SeatsSold]]/Table11[[#This Row],[SeatsAvailable]]</f>
        <v>0.97590361445783136</v>
      </c>
      <c r="O693" s="10"/>
    </row>
    <row r="694" spans="1:15" x14ac:dyDescent="0.3">
      <c r="A694" t="s">
        <v>810</v>
      </c>
      <c r="B694" t="s">
        <v>50</v>
      </c>
      <c r="C694" t="s">
        <v>14</v>
      </c>
      <c r="D694" t="s">
        <v>11</v>
      </c>
      <c r="E694" s="16">
        <v>46066</v>
      </c>
      <c r="F694">
        <v>166</v>
      </c>
      <c r="G694" t="s">
        <v>118</v>
      </c>
      <c r="H694">
        <v>191</v>
      </c>
      <c r="I694">
        <v>176</v>
      </c>
      <c r="J694">
        <v>1113728</v>
      </c>
      <c r="K694">
        <v>70211</v>
      </c>
      <c r="L694" t="e">
        <f>[1]!Table1[[#This Row],[Revenue]]-[1]!Table1[[#This Row],[OperationalCost]]</f>
        <v>#REF!</v>
      </c>
      <c r="M694" t="str">
        <f t="shared" si="10"/>
        <v>Feb</v>
      </c>
      <c r="N694" s="15">
        <f>Table11[[#This Row],[SeatsSold]]/Table11[[#This Row],[SeatsAvailable]]</f>
        <v>0.92146596858638741</v>
      </c>
      <c r="O694" s="10"/>
    </row>
    <row r="695" spans="1:15" x14ac:dyDescent="0.3">
      <c r="A695" t="s">
        <v>811</v>
      </c>
      <c r="B695" t="s">
        <v>102</v>
      </c>
      <c r="C695" t="s">
        <v>6</v>
      </c>
      <c r="D695" t="s">
        <v>19</v>
      </c>
      <c r="E695" s="16">
        <v>45806</v>
      </c>
      <c r="F695">
        <v>180</v>
      </c>
      <c r="G695" t="s">
        <v>120</v>
      </c>
      <c r="H695">
        <v>73</v>
      </c>
      <c r="I695">
        <v>58</v>
      </c>
      <c r="J695">
        <v>571474</v>
      </c>
      <c r="K695">
        <v>50740</v>
      </c>
      <c r="L695" t="e">
        <f>[1]!Table1[[#This Row],[Revenue]]-[1]!Table1[[#This Row],[OperationalCost]]</f>
        <v>#REF!</v>
      </c>
      <c r="M695" t="str">
        <f t="shared" si="10"/>
        <v>May</v>
      </c>
      <c r="N695" s="15">
        <f>Table11[[#This Row],[SeatsSold]]/Table11[[#This Row],[SeatsAvailable]]</f>
        <v>0.79452054794520544</v>
      </c>
      <c r="O695" s="10"/>
    </row>
    <row r="696" spans="1:15" x14ac:dyDescent="0.3">
      <c r="A696" t="s">
        <v>812</v>
      </c>
      <c r="B696" t="s">
        <v>99</v>
      </c>
      <c r="C696" t="s">
        <v>11</v>
      </c>
      <c r="D696" t="s">
        <v>20</v>
      </c>
      <c r="E696" s="16">
        <v>45757</v>
      </c>
      <c r="F696">
        <v>181</v>
      </c>
      <c r="G696" t="s">
        <v>118</v>
      </c>
      <c r="H696">
        <v>180</v>
      </c>
      <c r="I696">
        <v>109</v>
      </c>
      <c r="J696">
        <v>870692</v>
      </c>
      <c r="K696">
        <v>60849</v>
      </c>
      <c r="L696" t="e">
        <f>[1]!Table1[[#This Row],[Revenue]]-[1]!Table1[[#This Row],[OperationalCost]]</f>
        <v>#REF!</v>
      </c>
      <c r="M696" t="str">
        <f t="shared" si="10"/>
        <v>Apr</v>
      </c>
      <c r="N696" s="15">
        <f>Table11[[#This Row],[SeatsSold]]/Table11[[#This Row],[SeatsAvailable]]</f>
        <v>0.60555555555555551</v>
      </c>
      <c r="O696" s="10"/>
    </row>
    <row r="697" spans="1:15" x14ac:dyDescent="0.3">
      <c r="A697" t="s">
        <v>813</v>
      </c>
      <c r="B697" t="s">
        <v>96</v>
      </c>
      <c r="C697" t="s">
        <v>3</v>
      </c>
      <c r="D697" t="s">
        <v>21</v>
      </c>
      <c r="E697" s="16">
        <v>46328</v>
      </c>
      <c r="F697">
        <v>194</v>
      </c>
      <c r="G697" t="s">
        <v>120</v>
      </c>
      <c r="H697">
        <v>188</v>
      </c>
      <c r="I697">
        <v>101</v>
      </c>
      <c r="J697">
        <v>574993</v>
      </c>
      <c r="K697">
        <v>80290</v>
      </c>
      <c r="L697" t="e">
        <f>[1]!Table1[[#This Row],[Revenue]]-[1]!Table1[[#This Row],[OperationalCost]]</f>
        <v>#REF!</v>
      </c>
      <c r="M697" t="str">
        <f t="shared" si="10"/>
        <v>Nov</v>
      </c>
      <c r="N697" s="15">
        <f>Table11[[#This Row],[SeatsSold]]/Table11[[#This Row],[SeatsAvailable]]</f>
        <v>0.53723404255319152</v>
      </c>
      <c r="O697" s="10"/>
    </row>
    <row r="698" spans="1:15" x14ac:dyDescent="0.3">
      <c r="A698" t="s">
        <v>814</v>
      </c>
      <c r="B698" t="s">
        <v>40</v>
      </c>
      <c r="C698" t="s">
        <v>14</v>
      </c>
      <c r="D698" t="s">
        <v>17</v>
      </c>
      <c r="E698" s="16">
        <v>46218</v>
      </c>
      <c r="F698">
        <v>47</v>
      </c>
      <c r="G698" t="s">
        <v>122</v>
      </c>
      <c r="H698">
        <v>87</v>
      </c>
      <c r="I698">
        <v>40</v>
      </c>
      <c r="J698">
        <v>369480</v>
      </c>
      <c r="K698">
        <v>25433</v>
      </c>
      <c r="L698" t="e">
        <f>[1]!Table1[[#This Row],[Revenue]]-[1]!Table1[[#This Row],[OperationalCost]]</f>
        <v>#REF!</v>
      </c>
      <c r="M698" t="str">
        <f t="shared" si="10"/>
        <v>Jul</v>
      </c>
      <c r="N698" s="15">
        <f>Table11[[#This Row],[SeatsSold]]/Table11[[#This Row],[SeatsAvailable]]</f>
        <v>0.45977011494252873</v>
      </c>
      <c r="O698" s="10"/>
    </row>
    <row r="699" spans="1:15" x14ac:dyDescent="0.3">
      <c r="A699" t="s">
        <v>815</v>
      </c>
      <c r="B699" t="s">
        <v>8</v>
      </c>
      <c r="C699" t="s">
        <v>3</v>
      </c>
      <c r="D699" t="s">
        <v>11</v>
      </c>
      <c r="E699" s="16">
        <v>46017</v>
      </c>
      <c r="F699">
        <v>101</v>
      </c>
      <c r="G699" t="s">
        <v>118</v>
      </c>
      <c r="H699">
        <v>134</v>
      </c>
      <c r="I699">
        <v>64</v>
      </c>
      <c r="J699">
        <v>195648</v>
      </c>
      <c r="K699">
        <v>44618</v>
      </c>
      <c r="L699" t="e">
        <f>[1]!Table1[[#This Row],[Revenue]]-[1]!Table1[[#This Row],[OperationalCost]]</f>
        <v>#REF!</v>
      </c>
      <c r="M699" t="str">
        <f t="shared" si="10"/>
        <v>Dec</v>
      </c>
      <c r="N699" s="15">
        <f>Table11[[#This Row],[SeatsSold]]/Table11[[#This Row],[SeatsAvailable]]</f>
        <v>0.47761194029850745</v>
      </c>
      <c r="O699" s="10"/>
    </row>
    <row r="700" spans="1:15" x14ac:dyDescent="0.3">
      <c r="A700" t="s">
        <v>816</v>
      </c>
      <c r="B700" t="s">
        <v>5</v>
      </c>
      <c r="C700" t="s">
        <v>3</v>
      </c>
      <c r="D700" t="s">
        <v>20</v>
      </c>
      <c r="E700" s="16">
        <v>46266</v>
      </c>
      <c r="F700">
        <v>213</v>
      </c>
      <c r="G700" t="s">
        <v>113</v>
      </c>
      <c r="H700">
        <v>101</v>
      </c>
      <c r="I700">
        <v>85</v>
      </c>
      <c r="J700">
        <v>379525</v>
      </c>
      <c r="K700">
        <v>53880</v>
      </c>
      <c r="L700" t="e">
        <f>[1]!Table1[[#This Row],[Revenue]]-[1]!Table1[[#This Row],[OperationalCost]]</f>
        <v>#REF!</v>
      </c>
      <c r="M700" t="str">
        <f t="shared" si="10"/>
        <v>Sep</v>
      </c>
      <c r="N700" s="15">
        <f>Table11[[#This Row],[SeatsSold]]/Table11[[#This Row],[SeatsAvailable]]</f>
        <v>0.84158415841584155</v>
      </c>
      <c r="O700" s="10"/>
    </row>
    <row r="701" spans="1:15" x14ac:dyDescent="0.3">
      <c r="A701" t="s">
        <v>817</v>
      </c>
      <c r="B701" t="s">
        <v>55</v>
      </c>
      <c r="C701" t="s">
        <v>14</v>
      </c>
      <c r="D701" t="s">
        <v>6</v>
      </c>
      <c r="E701" s="16">
        <v>46330</v>
      </c>
      <c r="F701">
        <v>240</v>
      </c>
      <c r="G701" t="s">
        <v>116</v>
      </c>
      <c r="H701">
        <v>117</v>
      </c>
      <c r="I701">
        <v>54</v>
      </c>
      <c r="J701">
        <v>297972</v>
      </c>
      <c r="K701">
        <v>62295</v>
      </c>
      <c r="L701" t="e">
        <f>[1]!Table1[[#This Row],[Revenue]]-[1]!Table1[[#This Row],[OperationalCost]]</f>
        <v>#REF!</v>
      </c>
      <c r="M701" t="str">
        <f t="shared" si="10"/>
        <v>Nov</v>
      </c>
      <c r="N701" s="15">
        <f>Table11[[#This Row],[SeatsSold]]/Table11[[#This Row],[SeatsAvailable]]</f>
        <v>0.46153846153846156</v>
      </c>
      <c r="O701" s="10"/>
    </row>
    <row r="702" spans="1:15" x14ac:dyDescent="0.3">
      <c r="A702" t="s">
        <v>818</v>
      </c>
      <c r="B702" t="s">
        <v>84</v>
      </c>
      <c r="C702" t="s">
        <v>6</v>
      </c>
      <c r="D702" t="s">
        <v>3</v>
      </c>
      <c r="E702" s="16">
        <v>46312</v>
      </c>
      <c r="F702">
        <v>161</v>
      </c>
      <c r="G702" t="s">
        <v>118</v>
      </c>
      <c r="H702">
        <v>179</v>
      </c>
      <c r="I702">
        <v>122</v>
      </c>
      <c r="J702">
        <v>819352</v>
      </c>
      <c r="K702">
        <v>43463</v>
      </c>
      <c r="L702" t="e">
        <f>[1]!Table1[[#This Row],[Revenue]]-[1]!Table1[[#This Row],[OperationalCost]]</f>
        <v>#REF!</v>
      </c>
      <c r="M702" t="str">
        <f t="shared" si="10"/>
        <v>Oct</v>
      </c>
      <c r="N702" s="15">
        <f>Table11[[#This Row],[SeatsSold]]/Table11[[#This Row],[SeatsAvailable]]</f>
        <v>0.68156424581005581</v>
      </c>
      <c r="O702" s="10"/>
    </row>
    <row r="703" spans="1:15" x14ac:dyDescent="0.3">
      <c r="A703" t="s">
        <v>819</v>
      </c>
      <c r="B703" t="s">
        <v>100</v>
      </c>
      <c r="C703" t="s">
        <v>19</v>
      </c>
      <c r="D703" t="s">
        <v>20</v>
      </c>
      <c r="E703" s="16">
        <v>46049</v>
      </c>
      <c r="F703">
        <v>144</v>
      </c>
      <c r="G703" t="s">
        <v>118</v>
      </c>
      <c r="H703">
        <v>85</v>
      </c>
      <c r="I703">
        <v>56</v>
      </c>
      <c r="J703">
        <v>382816</v>
      </c>
      <c r="K703">
        <v>40080</v>
      </c>
      <c r="L703" t="e">
        <f>[1]!Table1[[#This Row],[Revenue]]-[1]!Table1[[#This Row],[OperationalCost]]</f>
        <v>#REF!</v>
      </c>
      <c r="M703" t="str">
        <f t="shared" si="10"/>
        <v>Jan</v>
      </c>
      <c r="N703" s="15">
        <f>Table11[[#This Row],[SeatsSold]]/Table11[[#This Row],[SeatsAvailable]]</f>
        <v>0.6588235294117647</v>
      </c>
      <c r="O703" s="10"/>
    </row>
    <row r="704" spans="1:15" x14ac:dyDescent="0.3">
      <c r="A704" t="s">
        <v>820</v>
      </c>
      <c r="B704" t="s">
        <v>8</v>
      </c>
      <c r="C704" t="s">
        <v>3</v>
      </c>
      <c r="D704" t="s">
        <v>11</v>
      </c>
      <c r="E704" s="16">
        <v>45863</v>
      </c>
      <c r="F704">
        <v>201</v>
      </c>
      <c r="G704" t="s">
        <v>120</v>
      </c>
      <c r="H704">
        <v>115</v>
      </c>
      <c r="I704">
        <v>102</v>
      </c>
      <c r="J704">
        <v>436152</v>
      </c>
      <c r="K704">
        <v>56426</v>
      </c>
      <c r="L704" t="e">
        <f>[1]!Table1[[#This Row],[Revenue]]-[1]!Table1[[#This Row],[OperationalCost]]</f>
        <v>#REF!</v>
      </c>
      <c r="M704" t="str">
        <f t="shared" si="10"/>
        <v>Jul</v>
      </c>
      <c r="N704" s="15">
        <f>Table11[[#This Row],[SeatsSold]]/Table11[[#This Row],[SeatsAvailable]]</f>
        <v>0.88695652173913042</v>
      </c>
      <c r="O704" s="10"/>
    </row>
    <row r="705" spans="1:15" x14ac:dyDescent="0.3">
      <c r="A705" t="s">
        <v>821</v>
      </c>
      <c r="B705" t="s">
        <v>72</v>
      </c>
      <c r="C705" t="s">
        <v>17</v>
      </c>
      <c r="D705" t="s">
        <v>9</v>
      </c>
      <c r="E705" s="16">
        <v>46286</v>
      </c>
      <c r="F705">
        <v>209</v>
      </c>
      <c r="G705" t="s">
        <v>122</v>
      </c>
      <c r="H705">
        <v>183</v>
      </c>
      <c r="I705">
        <v>106</v>
      </c>
      <c r="J705">
        <v>444352</v>
      </c>
      <c r="K705">
        <v>44686</v>
      </c>
      <c r="L705" t="e">
        <f>[1]!Table1[[#This Row],[Revenue]]-[1]!Table1[[#This Row],[OperationalCost]]</f>
        <v>#REF!</v>
      </c>
      <c r="M705" t="str">
        <f t="shared" ref="M705:M768" si="11">TEXT(E705,"MMM")</f>
        <v>Sep</v>
      </c>
      <c r="N705" s="15">
        <f>Table11[[#This Row],[SeatsSold]]/Table11[[#This Row],[SeatsAvailable]]</f>
        <v>0.57923497267759561</v>
      </c>
      <c r="O705" s="10"/>
    </row>
    <row r="706" spans="1:15" x14ac:dyDescent="0.3">
      <c r="A706" t="s">
        <v>822</v>
      </c>
      <c r="B706" t="s">
        <v>96</v>
      </c>
      <c r="C706" t="s">
        <v>3</v>
      </c>
      <c r="D706" t="s">
        <v>21</v>
      </c>
      <c r="E706" s="16">
        <v>46114</v>
      </c>
      <c r="F706">
        <v>49</v>
      </c>
      <c r="G706" t="s">
        <v>120</v>
      </c>
      <c r="H706">
        <v>108</v>
      </c>
      <c r="I706">
        <v>40</v>
      </c>
      <c r="J706">
        <v>124760</v>
      </c>
      <c r="K706">
        <v>33542</v>
      </c>
      <c r="L706" t="e">
        <f>[1]!Table1[[#This Row],[Revenue]]-[1]!Table1[[#This Row],[OperationalCost]]</f>
        <v>#REF!</v>
      </c>
      <c r="M706" t="str">
        <f t="shared" si="11"/>
        <v>Apr</v>
      </c>
      <c r="N706" s="15">
        <f>Table11[[#This Row],[SeatsSold]]/Table11[[#This Row],[SeatsAvailable]]</f>
        <v>0.37037037037037035</v>
      </c>
      <c r="O706" s="10"/>
    </row>
    <row r="707" spans="1:15" x14ac:dyDescent="0.3">
      <c r="A707" t="s">
        <v>823</v>
      </c>
      <c r="B707" t="s">
        <v>112</v>
      </c>
      <c r="C707" t="s">
        <v>19</v>
      </c>
      <c r="D707" t="s">
        <v>14</v>
      </c>
      <c r="E707" s="16">
        <v>46374</v>
      </c>
      <c r="F707">
        <v>129</v>
      </c>
      <c r="G707" t="s">
        <v>120</v>
      </c>
      <c r="H707">
        <v>217</v>
      </c>
      <c r="I707">
        <v>40</v>
      </c>
      <c r="J707">
        <v>437760</v>
      </c>
      <c r="K707">
        <v>75439</v>
      </c>
      <c r="L707" t="e">
        <f>[1]!Table1[[#This Row],[Revenue]]-[1]!Table1[[#This Row],[OperationalCost]]</f>
        <v>#REF!</v>
      </c>
      <c r="M707" t="str">
        <f t="shared" si="11"/>
        <v>Dec</v>
      </c>
      <c r="N707" s="15">
        <f>Table11[[#This Row],[SeatsSold]]/Table11[[#This Row],[SeatsAvailable]]</f>
        <v>0.18433179723502305</v>
      </c>
      <c r="O707" s="10"/>
    </row>
    <row r="708" spans="1:15" x14ac:dyDescent="0.3">
      <c r="A708" t="s">
        <v>824</v>
      </c>
      <c r="B708" t="s">
        <v>77</v>
      </c>
      <c r="C708" t="s">
        <v>17</v>
      </c>
      <c r="D708" t="s">
        <v>6</v>
      </c>
      <c r="E708" s="16">
        <v>45729</v>
      </c>
      <c r="F708">
        <v>183</v>
      </c>
      <c r="G708" t="s">
        <v>113</v>
      </c>
      <c r="H708">
        <v>70</v>
      </c>
      <c r="I708">
        <v>52</v>
      </c>
      <c r="J708">
        <v>540696</v>
      </c>
      <c r="K708">
        <v>43383</v>
      </c>
      <c r="L708" t="e">
        <f>[1]!Table1[[#This Row],[Revenue]]-[1]!Table1[[#This Row],[OperationalCost]]</f>
        <v>#REF!</v>
      </c>
      <c r="M708" t="str">
        <f t="shared" si="11"/>
        <v>Mar</v>
      </c>
      <c r="N708" s="15">
        <f>Table11[[#This Row],[SeatsSold]]/Table11[[#This Row],[SeatsAvailable]]</f>
        <v>0.74285714285714288</v>
      </c>
      <c r="O708" s="10"/>
    </row>
    <row r="709" spans="1:15" x14ac:dyDescent="0.3">
      <c r="A709" t="s">
        <v>825</v>
      </c>
      <c r="B709" t="s">
        <v>13</v>
      </c>
      <c r="C709" t="s">
        <v>11</v>
      </c>
      <c r="D709" t="s">
        <v>21</v>
      </c>
      <c r="E709" s="16">
        <v>45999</v>
      </c>
      <c r="F709">
        <v>219</v>
      </c>
      <c r="G709" t="s">
        <v>118</v>
      </c>
      <c r="H709">
        <v>172</v>
      </c>
      <c r="I709">
        <v>54</v>
      </c>
      <c r="J709">
        <v>215190</v>
      </c>
      <c r="K709">
        <v>83799</v>
      </c>
      <c r="L709" t="e">
        <f>[1]!Table1[[#This Row],[Revenue]]-[1]!Table1[[#This Row],[OperationalCost]]</f>
        <v>#REF!</v>
      </c>
      <c r="M709" t="str">
        <f t="shared" si="11"/>
        <v>Dec</v>
      </c>
      <c r="N709" s="15">
        <f>Table11[[#This Row],[SeatsSold]]/Table11[[#This Row],[SeatsAvailable]]</f>
        <v>0.31395348837209303</v>
      </c>
      <c r="O709" s="10"/>
    </row>
    <row r="710" spans="1:15" x14ac:dyDescent="0.3">
      <c r="A710" t="s">
        <v>826</v>
      </c>
      <c r="B710" t="s">
        <v>12</v>
      </c>
      <c r="C710" t="s">
        <v>21</v>
      </c>
      <c r="D710" t="s">
        <v>3</v>
      </c>
      <c r="E710" s="16">
        <v>46128</v>
      </c>
      <c r="F710">
        <v>239</v>
      </c>
      <c r="G710" t="s">
        <v>118</v>
      </c>
      <c r="H710">
        <v>121</v>
      </c>
      <c r="I710">
        <v>62</v>
      </c>
      <c r="J710">
        <v>718208</v>
      </c>
      <c r="K710">
        <v>52608</v>
      </c>
      <c r="L710" t="e">
        <f>[1]!Table1[[#This Row],[Revenue]]-[1]!Table1[[#This Row],[OperationalCost]]</f>
        <v>#REF!</v>
      </c>
      <c r="M710" t="str">
        <f t="shared" si="11"/>
        <v>Apr</v>
      </c>
      <c r="N710" s="15">
        <f>Table11[[#This Row],[SeatsSold]]/Table11[[#This Row],[SeatsAvailable]]</f>
        <v>0.51239669421487599</v>
      </c>
      <c r="O710" s="10"/>
    </row>
    <row r="711" spans="1:15" x14ac:dyDescent="0.3">
      <c r="A711" t="s">
        <v>827</v>
      </c>
      <c r="B711" t="s">
        <v>4</v>
      </c>
      <c r="C711" t="s">
        <v>9</v>
      </c>
      <c r="D711" t="s">
        <v>21</v>
      </c>
      <c r="E711" s="16">
        <v>46370</v>
      </c>
      <c r="F711">
        <v>144</v>
      </c>
      <c r="G711" t="s">
        <v>122</v>
      </c>
      <c r="H711">
        <v>161</v>
      </c>
      <c r="I711">
        <v>102</v>
      </c>
      <c r="J711">
        <v>396780</v>
      </c>
      <c r="K711">
        <v>71376</v>
      </c>
      <c r="L711" t="e">
        <f>[1]!Table1[[#This Row],[Revenue]]-[1]!Table1[[#This Row],[OperationalCost]]</f>
        <v>#REF!</v>
      </c>
      <c r="M711" t="str">
        <f t="shared" si="11"/>
        <v>Dec</v>
      </c>
      <c r="N711" s="15">
        <f>Table11[[#This Row],[SeatsSold]]/Table11[[#This Row],[SeatsAvailable]]</f>
        <v>0.63354037267080743</v>
      </c>
      <c r="O711" s="10"/>
    </row>
    <row r="712" spans="1:15" x14ac:dyDescent="0.3">
      <c r="A712" t="s">
        <v>828</v>
      </c>
      <c r="B712" t="s">
        <v>59</v>
      </c>
      <c r="C712" t="s">
        <v>9</v>
      </c>
      <c r="D712" t="s">
        <v>14</v>
      </c>
      <c r="E712" s="16">
        <v>45694</v>
      </c>
      <c r="F712">
        <v>94</v>
      </c>
      <c r="G712" t="s">
        <v>122</v>
      </c>
      <c r="H712">
        <v>131</v>
      </c>
      <c r="I712">
        <v>102</v>
      </c>
      <c r="J712">
        <v>904638</v>
      </c>
      <c r="K712">
        <v>41342</v>
      </c>
      <c r="L712" t="e">
        <f>[1]!Table1[[#This Row],[Revenue]]-[1]!Table1[[#This Row],[OperationalCost]]</f>
        <v>#REF!</v>
      </c>
      <c r="M712" t="str">
        <f t="shared" si="11"/>
        <v>Feb</v>
      </c>
      <c r="N712" s="15">
        <f>Table11[[#This Row],[SeatsSold]]/Table11[[#This Row],[SeatsAvailable]]</f>
        <v>0.77862595419847325</v>
      </c>
      <c r="O712" s="10"/>
    </row>
    <row r="713" spans="1:15" x14ac:dyDescent="0.3">
      <c r="A713" t="s">
        <v>829</v>
      </c>
      <c r="B713" t="s">
        <v>101</v>
      </c>
      <c r="C713" t="s">
        <v>19</v>
      </c>
      <c r="D713" t="s">
        <v>11</v>
      </c>
      <c r="E713" s="16">
        <v>46204</v>
      </c>
      <c r="F713">
        <v>160</v>
      </c>
      <c r="G713" t="s">
        <v>122</v>
      </c>
      <c r="H713">
        <v>79</v>
      </c>
      <c r="I713">
        <v>61</v>
      </c>
      <c r="J713">
        <v>208498</v>
      </c>
      <c r="K713">
        <v>40070</v>
      </c>
      <c r="L713" t="e">
        <f>[1]!Table1[[#This Row],[Revenue]]-[1]!Table1[[#This Row],[OperationalCost]]</f>
        <v>#REF!</v>
      </c>
      <c r="M713" t="str">
        <f t="shared" si="11"/>
        <v>Jul</v>
      </c>
      <c r="N713" s="15">
        <f>Table11[[#This Row],[SeatsSold]]/Table11[[#This Row],[SeatsAvailable]]</f>
        <v>0.77215189873417722</v>
      </c>
      <c r="O713" s="10"/>
    </row>
    <row r="714" spans="1:15" x14ac:dyDescent="0.3">
      <c r="A714" t="s">
        <v>830</v>
      </c>
      <c r="B714" t="s">
        <v>41</v>
      </c>
      <c r="C714" t="s">
        <v>17</v>
      </c>
      <c r="D714" t="s">
        <v>3</v>
      </c>
      <c r="E714" s="16">
        <v>45874</v>
      </c>
      <c r="F714">
        <v>212</v>
      </c>
      <c r="G714" t="s">
        <v>116</v>
      </c>
      <c r="H714">
        <v>187</v>
      </c>
      <c r="I714">
        <v>177</v>
      </c>
      <c r="J714">
        <v>874380</v>
      </c>
      <c r="K714">
        <v>82809</v>
      </c>
      <c r="L714" t="e">
        <f>[1]!Table1[[#This Row],[Revenue]]-[1]!Table1[[#This Row],[OperationalCost]]</f>
        <v>#REF!</v>
      </c>
      <c r="M714" t="str">
        <f t="shared" si="11"/>
        <v>Aug</v>
      </c>
      <c r="N714" s="15">
        <f>Table11[[#This Row],[SeatsSold]]/Table11[[#This Row],[SeatsAvailable]]</f>
        <v>0.946524064171123</v>
      </c>
      <c r="O714" s="10"/>
    </row>
    <row r="715" spans="1:15" x14ac:dyDescent="0.3">
      <c r="A715" t="s">
        <v>831</v>
      </c>
      <c r="B715" t="s">
        <v>5</v>
      </c>
      <c r="C715" t="s">
        <v>3</v>
      </c>
      <c r="D715" t="s">
        <v>20</v>
      </c>
      <c r="E715" s="16">
        <v>45802</v>
      </c>
      <c r="F715">
        <v>170</v>
      </c>
      <c r="G715" t="s">
        <v>122</v>
      </c>
      <c r="H715">
        <v>190</v>
      </c>
      <c r="I715">
        <v>51</v>
      </c>
      <c r="J715">
        <v>330276</v>
      </c>
      <c r="K715">
        <v>97570</v>
      </c>
      <c r="L715" t="e">
        <f>[1]!Table1[[#This Row],[Revenue]]-[1]!Table1[[#This Row],[OperationalCost]]</f>
        <v>#REF!</v>
      </c>
      <c r="M715" t="str">
        <f t="shared" si="11"/>
        <v>May</v>
      </c>
      <c r="N715" s="15">
        <f>Table11[[#This Row],[SeatsSold]]/Table11[[#This Row],[SeatsAvailable]]</f>
        <v>0.26842105263157895</v>
      </c>
      <c r="O715" s="10"/>
    </row>
    <row r="716" spans="1:15" x14ac:dyDescent="0.3">
      <c r="A716" t="s">
        <v>832</v>
      </c>
      <c r="B716" t="s">
        <v>39</v>
      </c>
      <c r="C716" t="s">
        <v>14</v>
      </c>
      <c r="D716" t="s">
        <v>20</v>
      </c>
      <c r="E716" s="16">
        <v>45834</v>
      </c>
      <c r="F716">
        <v>206</v>
      </c>
      <c r="G716" t="s">
        <v>122</v>
      </c>
      <c r="H716">
        <v>148</v>
      </c>
      <c r="I716">
        <v>145</v>
      </c>
      <c r="J716">
        <v>593630</v>
      </c>
      <c r="K716">
        <v>83544</v>
      </c>
      <c r="L716" t="e">
        <f>[1]!Table1[[#This Row],[Revenue]]-[1]!Table1[[#This Row],[OperationalCost]]</f>
        <v>#REF!</v>
      </c>
      <c r="M716" t="str">
        <f t="shared" si="11"/>
        <v>Jun</v>
      </c>
      <c r="N716" s="15">
        <f>Table11[[#This Row],[SeatsSold]]/Table11[[#This Row],[SeatsAvailable]]</f>
        <v>0.97972972972972971</v>
      </c>
      <c r="O716" s="10"/>
    </row>
    <row r="717" spans="1:15" x14ac:dyDescent="0.3">
      <c r="A717" t="s">
        <v>833</v>
      </c>
      <c r="B717" t="s">
        <v>47</v>
      </c>
      <c r="C717" t="s">
        <v>14</v>
      </c>
      <c r="D717" t="s">
        <v>3</v>
      </c>
      <c r="E717" s="16">
        <v>45766</v>
      </c>
      <c r="F717">
        <v>74</v>
      </c>
      <c r="G717" t="s">
        <v>120</v>
      </c>
      <c r="H717">
        <v>126</v>
      </c>
      <c r="I717">
        <v>48</v>
      </c>
      <c r="J717">
        <v>279360</v>
      </c>
      <c r="K717">
        <v>37862</v>
      </c>
      <c r="L717" t="e">
        <f>[1]!Table1[[#This Row],[Revenue]]-[1]!Table1[[#This Row],[OperationalCost]]</f>
        <v>#REF!</v>
      </c>
      <c r="M717" t="str">
        <f t="shared" si="11"/>
        <v>Apr</v>
      </c>
      <c r="N717" s="15">
        <f>Table11[[#This Row],[SeatsSold]]/Table11[[#This Row],[SeatsAvailable]]</f>
        <v>0.38095238095238093</v>
      </c>
      <c r="O717" s="10"/>
    </row>
    <row r="718" spans="1:15" x14ac:dyDescent="0.3">
      <c r="A718" t="s">
        <v>834</v>
      </c>
      <c r="B718" t="s">
        <v>104</v>
      </c>
      <c r="C718" t="s">
        <v>17</v>
      </c>
      <c r="D718" t="s">
        <v>21</v>
      </c>
      <c r="E718" s="16">
        <v>45781</v>
      </c>
      <c r="F718">
        <v>220</v>
      </c>
      <c r="G718" t="s">
        <v>116</v>
      </c>
      <c r="H718">
        <v>209</v>
      </c>
      <c r="I718">
        <v>75</v>
      </c>
      <c r="J718">
        <v>582600</v>
      </c>
      <c r="K718">
        <v>57299</v>
      </c>
      <c r="L718" t="e">
        <f>[1]!Table1[[#This Row],[Revenue]]-[1]!Table1[[#This Row],[OperationalCost]]</f>
        <v>#REF!</v>
      </c>
      <c r="M718" t="str">
        <f t="shared" si="11"/>
        <v>May</v>
      </c>
      <c r="N718" s="15">
        <f>Table11[[#This Row],[SeatsSold]]/Table11[[#This Row],[SeatsAvailable]]</f>
        <v>0.35885167464114831</v>
      </c>
      <c r="O718" s="10"/>
    </row>
    <row r="719" spans="1:15" x14ac:dyDescent="0.3">
      <c r="A719" t="s">
        <v>835</v>
      </c>
      <c r="B719" t="s">
        <v>63</v>
      </c>
      <c r="C719" t="s">
        <v>15</v>
      </c>
      <c r="D719" t="s">
        <v>14</v>
      </c>
      <c r="E719" s="16">
        <v>46001</v>
      </c>
      <c r="F719">
        <v>61</v>
      </c>
      <c r="G719" t="s">
        <v>122</v>
      </c>
      <c r="H719">
        <v>140</v>
      </c>
      <c r="I719">
        <v>58</v>
      </c>
      <c r="J719">
        <v>539458</v>
      </c>
      <c r="K719">
        <v>34303</v>
      </c>
      <c r="L719" t="e">
        <f>[1]!Table1[[#This Row],[Revenue]]-[1]!Table1[[#This Row],[OperationalCost]]</f>
        <v>#REF!</v>
      </c>
      <c r="M719" t="str">
        <f t="shared" si="11"/>
        <v>Dec</v>
      </c>
      <c r="N719" s="15">
        <f>Table11[[#This Row],[SeatsSold]]/Table11[[#This Row],[SeatsAvailable]]</f>
        <v>0.41428571428571431</v>
      </c>
      <c r="O719" s="10"/>
    </row>
    <row r="720" spans="1:15" x14ac:dyDescent="0.3">
      <c r="A720" t="s">
        <v>836</v>
      </c>
      <c r="B720" t="s">
        <v>57</v>
      </c>
      <c r="C720" t="s">
        <v>11</v>
      </c>
      <c r="D720" t="s">
        <v>14</v>
      </c>
      <c r="E720" s="16">
        <v>46107</v>
      </c>
      <c r="F720">
        <v>107</v>
      </c>
      <c r="G720" t="s">
        <v>116</v>
      </c>
      <c r="H720">
        <v>80</v>
      </c>
      <c r="I720">
        <v>48</v>
      </c>
      <c r="J720">
        <v>198576</v>
      </c>
      <c r="K720">
        <v>48947</v>
      </c>
      <c r="L720" t="e">
        <f>[1]!Table1[[#This Row],[Revenue]]-[1]!Table1[[#This Row],[OperationalCost]]</f>
        <v>#REF!</v>
      </c>
      <c r="M720" t="str">
        <f t="shared" si="11"/>
        <v>Mar</v>
      </c>
      <c r="N720" s="15">
        <f>Table11[[#This Row],[SeatsSold]]/Table11[[#This Row],[SeatsAvailable]]</f>
        <v>0.6</v>
      </c>
      <c r="O720" s="10"/>
    </row>
    <row r="721" spans="1:15" x14ac:dyDescent="0.3">
      <c r="A721" t="s">
        <v>837</v>
      </c>
      <c r="B721" t="s">
        <v>10</v>
      </c>
      <c r="C721" t="s">
        <v>17</v>
      </c>
      <c r="D721" t="s">
        <v>14</v>
      </c>
      <c r="E721" s="16">
        <v>45674</v>
      </c>
      <c r="F721">
        <v>169</v>
      </c>
      <c r="G721" t="s">
        <v>122</v>
      </c>
      <c r="H721">
        <v>71</v>
      </c>
      <c r="I721">
        <v>40</v>
      </c>
      <c r="J721">
        <v>217560</v>
      </c>
      <c r="K721">
        <v>41464</v>
      </c>
      <c r="L721" t="e">
        <f>[1]!Table1[[#This Row],[Revenue]]-[1]!Table1[[#This Row],[OperationalCost]]</f>
        <v>#REF!</v>
      </c>
      <c r="M721" t="str">
        <f t="shared" si="11"/>
        <v>Jan</v>
      </c>
      <c r="N721" s="15">
        <f>Table11[[#This Row],[SeatsSold]]/Table11[[#This Row],[SeatsAvailable]]</f>
        <v>0.56338028169014087</v>
      </c>
      <c r="O721" s="10"/>
    </row>
    <row r="722" spans="1:15" x14ac:dyDescent="0.3">
      <c r="A722" t="s">
        <v>838</v>
      </c>
      <c r="B722" t="s">
        <v>91</v>
      </c>
      <c r="C722" t="s">
        <v>15</v>
      </c>
      <c r="D722" t="s">
        <v>19</v>
      </c>
      <c r="E722" s="16">
        <v>46084</v>
      </c>
      <c r="F722">
        <v>222</v>
      </c>
      <c r="G722" t="s">
        <v>120</v>
      </c>
      <c r="H722">
        <v>102</v>
      </c>
      <c r="I722">
        <v>53</v>
      </c>
      <c r="J722">
        <v>256732</v>
      </c>
      <c r="K722">
        <v>78024</v>
      </c>
      <c r="L722" t="e">
        <f>[1]!Table1[[#This Row],[Revenue]]-[1]!Table1[[#This Row],[OperationalCost]]</f>
        <v>#REF!</v>
      </c>
      <c r="M722" t="str">
        <f t="shared" si="11"/>
        <v>Mar</v>
      </c>
      <c r="N722" s="15">
        <f>Table11[[#This Row],[SeatsSold]]/Table11[[#This Row],[SeatsAvailable]]</f>
        <v>0.51960784313725494</v>
      </c>
      <c r="O722" s="10"/>
    </row>
    <row r="723" spans="1:15" x14ac:dyDescent="0.3">
      <c r="A723" t="s">
        <v>839</v>
      </c>
      <c r="B723" t="s">
        <v>68</v>
      </c>
      <c r="C723" t="s">
        <v>11</v>
      </c>
      <c r="D723" t="s">
        <v>6</v>
      </c>
      <c r="E723" s="16">
        <v>46079</v>
      </c>
      <c r="F723">
        <v>106</v>
      </c>
      <c r="G723" t="s">
        <v>113</v>
      </c>
      <c r="H723">
        <v>79</v>
      </c>
      <c r="I723">
        <v>78</v>
      </c>
      <c r="J723">
        <v>425022</v>
      </c>
      <c r="K723">
        <v>44826</v>
      </c>
      <c r="L723" t="e">
        <f>[1]!Table1[[#This Row],[Revenue]]-[1]!Table1[[#This Row],[OperationalCost]]</f>
        <v>#REF!</v>
      </c>
      <c r="M723" t="str">
        <f t="shared" si="11"/>
        <v>Feb</v>
      </c>
      <c r="N723" s="15">
        <f>Table11[[#This Row],[SeatsSold]]/Table11[[#This Row],[SeatsAvailable]]</f>
        <v>0.98734177215189878</v>
      </c>
      <c r="O723" s="10"/>
    </row>
    <row r="724" spans="1:15" x14ac:dyDescent="0.3">
      <c r="A724" t="s">
        <v>840</v>
      </c>
      <c r="B724" t="s">
        <v>96</v>
      </c>
      <c r="C724" t="s">
        <v>3</v>
      </c>
      <c r="D724" t="s">
        <v>21</v>
      </c>
      <c r="E724" s="16">
        <v>46014</v>
      </c>
      <c r="F724">
        <v>152</v>
      </c>
      <c r="G724" t="s">
        <v>122</v>
      </c>
      <c r="H724">
        <v>212</v>
      </c>
      <c r="I724">
        <v>100</v>
      </c>
      <c r="J724">
        <v>564400</v>
      </c>
      <c r="K724">
        <v>68380</v>
      </c>
      <c r="L724" t="e">
        <f>[1]!Table1[[#This Row],[Revenue]]-[1]!Table1[[#This Row],[OperationalCost]]</f>
        <v>#REF!</v>
      </c>
      <c r="M724" t="str">
        <f t="shared" si="11"/>
        <v>Dec</v>
      </c>
      <c r="N724" s="15">
        <f>Table11[[#This Row],[SeatsSold]]/Table11[[#This Row],[SeatsAvailable]]</f>
        <v>0.47169811320754718</v>
      </c>
      <c r="O724" s="10"/>
    </row>
    <row r="725" spans="1:15" x14ac:dyDescent="0.3">
      <c r="A725" t="s">
        <v>841</v>
      </c>
      <c r="B725" t="s">
        <v>56</v>
      </c>
      <c r="C725" t="s">
        <v>3</v>
      </c>
      <c r="D725" t="s">
        <v>17</v>
      </c>
      <c r="E725" s="16">
        <v>46210</v>
      </c>
      <c r="F725">
        <v>174</v>
      </c>
      <c r="G725" t="s">
        <v>113</v>
      </c>
      <c r="H725">
        <v>188</v>
      </c>
      <c r="I725">
        <v>93</v>
      </c>
      <c r="J725">
        <v>653604</v>
      </c>
      <c r="K725">
        <v>47394</v>
      </c>
      <c r="L725" t="e">
        <f>[1]!Table1[[#This Row],[Revenue]]-[1]!Table1[[#This Row],[OperationalCost]]</f>
        <v>#REF!</v>
      </c>
      <c r="M725" t="str">
        <f t="shared" si="11"/>
        <v>Jul</v>
      </c>
      <c r="N725" s="15">
        <f>Table11[[#This Row],[SeatsSold]]/Table11[[#This Row],[SeatsAvailable]]</f>
        <v>0.49468085106382981</v>
      </c>
      <c r="O725" s="10"/>
    </row>
    <row r="726" spans="1:15" x14ac:dyDescent="0.3">
      <c r="A726" t="s">
        <v>842</v>
      </c>
      <c r="B726" t="s">
        <v>93</v>
      </c>
      <c r="C726" t="s">
        <v>3</v>
      </c>
      <c r="D726" t="s">
        <v>9</v>
      </c>
      <c r="E726" s="16">
        <v>46359</v>
      </c>
      <c r="F726">
        <v>166</v>
      </c>
      <c r="G726" t="s">
        <v>120</v>
      </c>
      <c r="H726">
        <v>115</v>
      </c>
      <c r="I726">
        <v>60</v>
      </c>
      <c r="J726">
        <v>192360</v>
      </c>
      <c r="K726">
        <v>50253</v>
      </c>
      <c r="L726" t="e">
        <f>[1]!Table1[[#This Row],[Revenue]]-[1]!Table1[[#This Row],[OperationalCost]]</f>
        <v>#REF!</v>
      </c>
      <c r="M726" t="str">
        <f t="shared" si="11"/>
        <v>Dec</v>
      </c>
      <c r="N726" s="15">
        <f>Table11[[#This Row],[SeatsSold]]/Table11[[#This Row],[SeatsAvailable]]</f>
        <v>0.52173913043478259</v>
      </c>
      <c r="O726" s="10"/>
    </row>
    <row r="727" spans="1:15" x14ac:dyDescent="0.3">
      <c r="A727" t="s">
        <v>843</v>
      </c>
      <c r="B727" t="s">
        <v>79</v>
      </c>
      <c r="C727" t="s">
        <v>21</v>
      </c>
      <c r="D727" t="s">
        <v>19</v>
      </c>
      <c r="E727" s="16">
        <v>45872</v>
      </c>
      <c r="F727">
        <v>156</v>
      </c>
      <c r="G727" t="s">
        <v>118</v>
      </c>
      <c r="H727">
        <v>155</v>
      </c>
      <c r="I727">
        <v>118</v>
      </c>
      <c r="J727">
        <v>1171032</v>
      </c>
      <c r="K727">
        <v>36866</v>
      </c>
      <c r="L727" t="e">
        <f>[1]!Table1[[#This Row],[Revenue]]-[1]!Table1[[#This Row],[OperationalCost]]</f>
        <v>#REF!</v>
      </c>
      <c r="M727" t="str">
        <f t="shared" si="11"/>
        <v>Aug</v>
      </c>
      <c r="N727" s="15">
        <f>Table11[[#This Row],[SeatsSold]]/Table11[[#This Row],[SeatsAvailable]]</f>
        <v>0.76129032258064511</v>
      </c>
      <c r="O727" s="10"/>
    </row>
    <row r="728" spans="1:15" x14ac:dyDescent="0.3">
      <c r="A728" t="s">
        <v>844</v>
      </c>
      <c r="B728" t="s">
        <v>80</v>
      </c>
      <c r="C728" t="s">
        <v>20</v>
      </c>
      <c r="D728" t="s">
        <v>15</v>
      </c>
      <c r="E728" s="16">
        <v>45838</v>
      </c>
      <c r="F728">
        <v>85</v>
      </c>
      <c r="G728" t="s">
        <v>122</v>
      </c>
      <c r="H728">
        <v>194</v>
      </c>
      <c r="I728">
        <v>171</v>
      </c>
      <c r="J728">
        <v>752571</v>
      </c>
      <c r="K728">
        <v>38890</v>
      </c>
      <c r="L728" t="e">
        <f>[1]!Table1[[#This Row],[Revenue]]-[1]!Table1[[#This Row],[OperationalCost]]</f>
        <v>#REF!</v>
      </c>
      <c r="M728" t="str">
        <f t="shared" si="11"/>
        <v>Jun</v>
      </c>
      <c r="N728" s="15">
        <f>Table11[[#This Row],[SeatsSold]]/Table11[[#This Row],[SeatsAvailable]]</f>
        <v>0.88144329896907214</v>
      </c>
      <c r="O728" s="10"/>
    </row>
    <row r="729" spans="1:15" x14ac:dyDescent="0.3">
      <c r="A729" t="s">
        <v>845</v>
      </c>
      <c r="B729" t="s">
        <v>16</v>
      </c>
      <c r="C729" t="s">
        <v>6</v>
      </c>
      <c r="D729" t="s">
        <v>21</v>
      </c>
      <c r="E729" s="16">
        <v>46087</v>
      </c>
      <c r="F729">
        <v>95</v>
      </c>
      <c r="G729" t="s">
        <v>118</v>
      </c>
      <c r="H729">
        <v>128</v>
      </c>
      <c r="I729">
        <v>54</v>
      </c>
      <c r="J729">
        <v>423522</v>
      </c>
      <c r="K729">
        <v>30350</v>
      </c>
      <c r="L729" t="e">
        <f>[1]!Table1[[#This Row],[Revenue]]-[1]!Table1[[#This Row],[OperationalCost]]</f>
        <v>#REF!</v>
      </c>
      <c r="M729" t="str">
        <f t="shared" si="11"/>
        <v>Mar</v>
      </c>
      <c r="N729" s="15">
        <f>Table11[[#This Row],[SeatsSold]]/Table11[[#This Row],[SeatsAvailable]]</f>
        <v>0.421875</v>
      </c>
      <c r="O729" s="10"/>
    </row>
    <row r="730" spans="1:15" x14ac:dyDescent="0.3">
      <c r="A730" t="s">
        <v>846</v>
      </c>
      <c r="B730" t="s">
        <v>49</v>
      </c>
      <c r="C730" t="s">
        <v>9</v>
      </c>
      <c r="D730" t="s">
        <v>6</v>
      </c>
      <c r="E730" s="16">
        <v>45862</v>
      </c>
      <c r="F730">
        <v>141</v>
      </c>
      <c r="G730" t="s">
        <v>113</v>
      </c>
      <c r="H730">
        <v>88</v>
      </c>
      <c r="I730">
        <v>70</v>
      </c>
      <c r="J730">
        <v>730520</v>
      </c>
      <c r="K730">
        <v>35561</v>
      </c>
      <c r="L730" t="e">
        <f>[1]!Table1[[#This Row],[Revenue]]-[1]!Table1[[#This Row],[OperationalCost]]</f>
        <v>#REF!</v>
      </c>
      <c r="M730" t="str">
        <f t="shared" si="11"/>
        <v>Jul</v>
      </c>
      <c r="N730" s="15">
        <f>Table11[[#This Row],[SeatsSold]]/Table11[[#This Row],[SeatsAvailable]]</f>
        <v>0.79545454545454541</v>
      </c>
      <c r="O730" s="10"/>
    </row>
    <row r="731" spans="1:15" x14ac:dyDescent="0.3">
      <c r="A731" t="s">
        <v>847</v>
      </c>
      <c r="B731" t="s">
        <v>53</v>
      </c>
      <c r="C731" t="s">
        <v>14</v>
      </c>
      <c r="D731" t="s">
        <v>19</v>
      </c>
      <c r="E731" s="16">
        <v>46282</v>
      </c>
      <c r="F731">
        <v>161</v>
      </c>
      <c r="G731" t="s">
        <v>113</v>
      </c>
      <c r="H731">
        <v>169</v>
      </c>
      <c r="I731">
        <v>135</v>
      </c>
      <c r="J731">
        <v>639090</v>
      </c>
      <c r="K731">
        <v>59958</v>
      </c>
      <c r="L731" t="e">
        <f>[1]!Table1[[#This Row],[Revenue]]-[1]!Table1[[#This Row],[OperationalCost]]</f>
        <v>#REF!</v>
      </c>
      <c r="M731" t="str">
        <f t="shared" si="11"/>
        <v>Sep</v>
      </c>
      <c r="N731" s="15">
        <f>Table11[[#This Row],[SeatsSold]]/Table11[[#This Row],[SeatsAvailable]]</f>
        <v>0.79881656804733725</v>
      </c>
      <c r="O731" s="10"/>
    </row>
    <row r="732" spans="1:15" x14ac:dyDescent="0.3">
      <c r="A732" t="s">
        <v>848</v>
      </c>
      <c r="B732" t="s">
        <v>79</v>
      </c>
      <c r="C732" t="s">
        <v>21</v>
      </c>
      <c r="D732" t="s">
        <v>19</v>
      </c>
      <c r="E732" s="16">
        <v>45865</v>
      </c>
      <c r="F732">
        <v>130</v>
      </c>
      <c r="G732" t="s">
        <v>113</v>
      </c>
      <c r="H732">
        <v>78</v>
      </c>
      <c r="I732">
        <v>76</v>
      </c>
      <c r="J732">
        <v>264252</v>
      </c>
      <c r="K732">
        <v>33722</v>
      </c>
      <c r="L732" t="e">
        <f>[1]!Table1[[#This Row],[Revenue]]-[1]!Table1[[#This Row],[OperationalCost]]</f>
        <v>#REF!</v>
      </c>
      <c r="M732" t="str">
        <f t="shared" si="11"/>
        <v>Jul</v>
      </c>
      <c r="N732" s="15">
        <f>Table11[[#This Row],[SeatsSold]]/Table11[[#This Row],[SeatsAvailable]]</f>
        <v>0.97435897435897434</v>
      </c>
      <c r="O732" s="10"/>
    </row>
    <row r="733" spans="1:15" x14ac:dyDescent="0.3">
      <c r="A733" t="s">
        <v>849</v>
      </c>
      <c r="B733" t="s">
        <v>8</v>
      </c>
      <c r="C733" t="s">
        <v>3</v>
      </c>
      <c r="D733" t="s">
        <v>11</v>
      </c>
      <c r="E733" s="16">
        <v>46127</v>
      </c>
      <c r="F733">
        <v>152</v>
      </c>
      <c r="G733" t="s">
        <v>113</v>
      </c>
      <c r="H733">
        <v>157</v>
      </c>
      <c r="I733">
        <v>68</v>
      </c>
      <c r="J733">
        <v>498780</v>
      </c>
      <c r="K733">
        <v>60488</v>
      </c>
      <c r="L733" t="e">
        <f>[1]!Table1[[#This Row],[Revenue]]-[1]!Table1[[#This Row],[OperationalCost]]</f>
        <v>#REF!</v>
      </c>
      <c r="M733" t="str">
        <f t="shared" si="11"/>
        <v>Apr</v>
      </c>
      <c r="N733" s="15">
        <f>Table11[[#This Row],[SeatsSold]]/Table11[[#This Row],[SeatsAvailable]]</f>
        <v>0.43312101910828027</v>
      </c>
      <c r="O733" s="10"/>
    </row>
    <row r="734" spans="1:15" x14ac:dyDescent="0.3">
      <c r="A734" t="s">
        <v>850</v>
      </c>
      <c r="B734" t="s">
        <v>63</v>
      </c>
      <c r="C734" t="s">
        <v>15</v>
      </c>
      <c r="D734" t="s">
        <v>14</v>
      </c>
      <c r="E734" s="16">
        <v>46249</v>
      </c>
      <c r="F734">
        <v>186</v>
      </c>
      <c r="G734" t="s">
        <v>113</v>
      </c>
      <c r="H734">
        <v>92</v>
      </c>
      <c r="I734">
        <v>66</v>
      </c>
      <c r="J734">
        <v>729168</v>
      </c>
      <c r="K734">
        <v>57990</v>
      </c>
      <c r="L734" t="e">
        <f>[1]!Table1[[#This Row],[Revenue]]-[1]!Table1[[#This Row],[OperationalCost]]</f>
        <v>#REF!</v>
      </c>
      <c r="M734" t="str">
        <f t="shared" si="11"/>
        <v>Aug</v>
      </c>
      <c r="N734" s="15">
        <f>Table11[[#This Row],[SeatsSold]]/Table11[[#This Row],[SeatsAvailable]]</f>
        <v>0.71739130434782605</v>
      </c>
      <c r="O734" s="10"/>
    </row>
    <row r="735" spans="1:15" x14ac:dyDescent="0.3">
      <c r="A735" t="s">
        <v>851</v>
      </c>
      <c r="B735" t="s">
        <v>90</v>
      </c>
      <c r="C735" t="s">
        <v>15</v>
      </c>
      <c r="D735" t="s">
        <v>6</v>
      </c>
      <c r="E735" s="16">
        <v>46131</v>
      </c>
      <c r="F735">
        <v>116</v>
      </c>
      <c r="G735" t="s">
        <v>122</v>
      </c>
      <c r="H735">
        <v>179</v>
      </c>
      <c r="I735">
        <v>103</v>
      </c>
      <c r="J735">
        <v>675680</v>
      </c>
      <c r="K735">
        <v>57737</v>
      </c>
      <c r="L735" t="e">
        <f>[1]!Table1[[#This Row],[Revenue]]-[1]!Table1[[#This Row],[OperationalCost]]</f>
        <v>#REF!</v>
      </c>
      <c r="M735" t="str">
        <f t="shared" si="11"/>
        <v>Apr</v>
      </c>
      <c r="N735" s="15">
        <f>Table11[[#This Row],[SeatsSold]]/Table11[[#This Row],[SeatsAvailable]]</f>
        <v>0.57541899441340782</v>
      </c>
      <c r="O735" s="10"/>
    </row>
    <row r="736" spans="1:15" x14ac:dyDescent="0.3">
      <c r="A736" t="s">
        <v>852</v>
      </c>
      <c r="B736" t="s">
        <v>81</v>
      </c>
      <c r="C736" t="s">
        <v>15</v>
      </c>
      <c r="D736" t="s">
        <v>9</v>
      </c>
      <c r="E736" s="16">
        <v>46263</v>
      </c>
      <c r="F736">
        <v>83</v>
      </c>
      <c r="G736" t="s">
        <v>116</v>
      </c>
      <c r="H736">
        <v>71</v>
      </c>
      <c r="I736">
        <v>66</v>
      </c>
      <c r="J736">
        <v>212784</v>
      </c>
      <c r="K736">
        <v>24990</v>
      </c>
      <c r="L736" t="e">
        <f>[1]!Table1[[#This Row],[Revenue]]-[1]!Table1[[#This Row],[OperationalCost]]</f>
        <v>#REF!</v>
      </c>
      <c r="M736" t="str">
        <f t="shared" si="11"/>
        <v>Aug</v>
      </c>
      <c r="N736" s="15">
        <f>Table11[[#This Row],[SeatsSold]]/Table11[[#This Row],[SeatsAvailable]]</f>
        <v>0.92957746478873238</v>
      </c>
      <c r="O736" s="10"/>
    </row>
    <row r="737" spans="1:15" x14ac:dyDescent="0.3">
      <c r="A737" t="s">
        <v>853</v>
      </c>
      <c r="B737" t="s">
        <v>99</v>
      </c>
      <c r="C737" t="s">
        <v>11</v>
      </c>
      <c r="D737" t="s">
        <v>20</v>
      </c>
      <c r="E737" s="16">
        <v>46093</v>
      </c>
      <c r="F737">
        <v>180</v>
      </c>
      <c r="G737" t="s">
        <v>120</v>
      </c>
      <c r="H737">
        <v>192</v>
      </c>
      <c r="I737">
        <v>65</v>
      </c>
      <c r="J737">
        <v>644280</v>
      </c>
      <c r="K737">
        <v>71352</v>
      </c>
      <c r="L737" t="e">
        <f>[1]!Table1[[#This Row],[Revenue]]-[1]!Table1[[#This Row],[OperationalCost]]</f>
        <v>#REF!</v>
      </c>
      <c r="M737" t="str">
        <f t="shared" si="11"/>
        <v>Mar</v>
      </c>
      <c r="N737" s="15">
        <f>Table11[[#This Row],[SeatsSold]]/Table11[[#This Row],[SeatsAvailable]]</f>
        <v>0.33854166666666669</v>
      </c>
      <c r="O737" s="10"/>
    </row>
    <row r="738" spans="1:15" x14ac:dyDescent="0.3">
      <c r="A738" t="s">
        <v>854</v>
      </c>
      <c r="B738" t="s">
        <v>46</v>
      </c>
      <c r="C738" t="s">
        <v>3</v>
      </c>
      <c r="D738" t="s">
        <v>15</v>
      </c>
      <c r="E738" s="16">
        <v>45670</v>
      </c>
      <c r="F738">
        <v>222</v>
      </c>
      <c r="G738" t="s">
        <v>120</v>
      </c>
      <c r="H738">
        <v>125</v>
      </c>
      <c r="I738">
        <v>56</v>
      </c>
      <c r="J738">
        <v>468832</v>
      </c>
      <c r="K738">
        <v>60915</v>
      </c>
      <c r="L738" t="e">
        <f>[1]!Table1[[#This Row],[Revenue]]-[1]!Table1[[#This Row],[OperationalCost]]</f>
        <v>#REF!</v>
      </c>
      <c r="M738" t="str">
        <f t="shared" si="11"/>
        <v>Jan</v>
      </c>
      <c r="N738" s="15">
        <f>Table11[[#This Row],[SeatsSold]]/Table11[[#This Row],[SeatsAvailable]]</f>
        <v>0.44800000000000001</v>
      </c>
      <c r="O738" s="10"/>
    </row>
    <row r="739" spans="1:15" x14ac:dyDescent="0.3">
      <c r="A739" t="s">
        <v>855</v>
      </c>
      <c r="B739" t="s">
        <v>5</v>
      </c>
      <c r="C739" t="s">
        <v>3</v>
      </c>
      <c r="D739" t="s">
        <v>20</v>
      </c>
      <c r="E739" s="16">
        <v>46149</v>
      </c>
      <c r="F739">
        <v>216</v>
      </c>
      <c r="G739" t="s">
        <v>118</v>
      </c>
      <c r="H739">
        <v>111</v>
      </c>
      <c r="I739">
        <v>98</v>
      </c>
      <c r="J739">
        <v>1160810</v>
      </c>
      <c r="K739">
        <v>67650</v>
      </c>
      <c r="L739" t="e">
        <f>[1]!Table1[[#This Row],[Revenue]]-[1]!Table1[[#This Row],[OperationalCost]]</f>
        <v>#REF!</v>
      </c>
      <c r="M739" t="str">
        <f t="shared" si="11"/>
        <v>May</v>
      </c>
      <c r="N739" s="15">
        <f>Table11[[#This Row],[SeatsSold]]/Table11[[#This Row],[SeatsAvailable]]</f>
        <v>0.88288288288288286</v>
      </c>
      <c r="O739" s="10"/>
    </row>
    <row r="740" spans="1:15" x14ac:dyDescent="0.3">
      <c r="A740" t="s">
        <v>856</v>
      </c>
      <c r="B740" t="s">
        <v>36</v>
      </c>
      <c r="C740" t="s">
        <v>6</v>
      </c>
      <c r="D740" t="s">
        <v>11</v>
      </c>
      <c r="E740" s="16">
        <v>45799</v>
      </c>
      <c r="F740">
        <v>225</v>
      </c>
      <c r="G740" t="s">
        <v>120</v>
      </c>
      <c r="H740">
        <v>117</v>
      </c>
      <c r="I740">
        <v>87</v>
      </c>
      <c r="J740">
        <v>879309</v>
      </c>
      <c r="K740">
        <v>95814</v>
      </c>
      <c r="L740" t="e">
        <f>[1]!Table1[[#This Row],[Revenue]]-[1]!Table1[[#This Row],[OperationalCost]]</f>
        <v>#REF!</v>
      </c>
      <c r="M740" t="str">
        <f t="shared" si="11"/>
        <v>May</v>
      </c>
      <c r="N740" s="15">
        <f>Table11[[#This Row],[SeatsSold]]/Table11[[#This Row],[SeatsAvailable]]</f>
        <v>0.74358974358974361</v>
      </c>
      <c r="O740" s="10"/>
    </row>
    <row r="741" spans="1:15" x14ac:dyDescent="0.3">
      <c r="A741" t="s">
        <v>857</v>
      </c>
      <c r="B741" t="s">
        <v>71</v>
      </c>
      <c r="C741" t="s">
        <v>20</v>
      </c>
      <c r="D741" t="s">
        <v>14</v>
      </c>
      <c r="E741" s="16">
        <v>46052</v>
      </c>
      <c r="F741">
        <v>221</v>
      </c>
      <c r="G741" t="s">
        <v>118</v>
      </c>
      <c r="H741">
        <v>205</v>
      </c>
      <c r="I741">
        <v>48</v>
      </c>
      <c r="J741">
        <v>353232</v>
      </c>
      <c r="K741">
        <v>81154</v>
      </c>
      <c r="L741" t="e">
        <f>[1]!Table1[[#This Row],[Revenue]]-[1]!Table1[[#This Row],[OperationalCost]]</f>
        <v>#REF!</v>
      </c>
      <c r="M741" t="str">
        <f t="shared" si="11"/>
        <v>Jan</v>
      </c>
      <c r="N741" s="15">
        <f>Table11[[#This Row],[SeatsSold]]/Table11[[#This Row],[SeatsAvailable]]</f>
        <v>0.23414634146341465</v>
      </c>
      <c r="O741" s="10"/>
    </row>
    <row r="742" spans="1:15" x14ac:dyDescent="0.3">
      <c r="A742" t="s">
        <v>858</v>
      </c>
      <c r="B742" t="s">
        <v>110</v>
      </c>
      <c r="C742" t="s">
        <v>15</v>
      </c>
      <c r="D742" t="s">
        <v>11</v>
      </c>
      <c r="E742" s="16">
        <v>46247</v>
      </c>
      <c r="F742">
        <v>98</v>
      </c>
      <c r="G742" t="s">
        <v>122</v>
      </c>
      <c r="H742">
        <v>155</v>
      </c>
      <c r="I742">
        <v>134</v>
      </c>
      <c r="J742">
        <v>455332</v>
      </c>
      <c r="K742">
        <v>51413</v>
      </c>
      <c r="L742" t="e">
        <f>[1]!Table1[[#This Row],[Revenue]]-[1]!Table1[[#This Row],[OperationalCost]]</f>
        <v>#REF!</v>
      </c>
      <c r="M742" t="str">
        <f t="shared" si="11"/>
        <v>Aug</v>
      </c>
      <c r="N742" s="15">
        <f>Table11[[#This Row],[SeatsSold]]/Table11[[#This Row],[SeatsAvailable]]</f>
        <v>0.86451612903225805</v>
      </c>
      <c r="O742" s="10"/>
    </row>
    <row r="743" spans="1:15" x14ac:dyDescent="0.3">
      <c r="A743" t="s">
        <v>859</v>
      </c>
      <c r="B743" t="s">
        <v>71</v>
      </c>
      <c r="C743" t="s">
        <v>20</v>
      </c>
      <c r="D743" t="s">
        <v>14</v>
      </c>
      <c r="E743" s="16">
        <v>46050</v>
      </c>
      <c r="F743">
        <v>138</v>
      </c>
      <c r="G743" t="s">
        <v>120</v>
      </c>
      <c r="H743">
        <v>80</v>
      </c>
      <c r="I743">
        <v>63</v>
      </c>
      <c r="J743">
        <v>535689</v>
      </c>
      <c r="K743">
        <v>42232</v>
      </c>
      <c r="L743" t="e">
        <f>[1]!Table1[[#This Row],[Revenue]]-[1]!Table1[[#This Row],[OperationalCost]]</f>
        <v>#REF!</v>
      </c>
      <c r="M743" t="str">
        <f t="shared" si="11"/>
        <v>Jan</v>
      </c>
      <c r="N743" s="15">
        <f>Table11[[#This Row],[SeatsSold]]/Table11[[#This Row],[SeatsAvailable]]</f>
        <v>0.78749999999999998</v>
      </c>
      <c r="O743" s="10"/>
    </row>
    <row r="744" spans="1:15" x14ac:dyDescent="0.3">
      <c r="A744" t="s">
        <v>860</v>
      </c>
      <c r="B744" t="s">
        <v>75</v>
      </c>
      <c r="C744" t="s">
        <v>11</v>
      </c>
      <c r="D744" t="s">
        <v>3</v>
      </c>
      <c r="E744" s="16">
        <v>46232</v>
      </c>
      <c r="F744">
        <v>226</v>
      </c>
      <c r="G744" t="s">
        <v>113</v>
      </c>
      <c r="H744">
        <v>105</v>
      </c>
      <c r="I744">
        <v>82</v>
      </c>
      <c r="J744">
        <v>525538</v>
      </c>
      <c r="K744">
        <v>69753</v>
      </c>
      <c r="L744" t="e">
        <f>[1]!Table1[[#This Row],[Revenue]]-[1]!Table1[[#This Row],[OperationalCost]]</f>
        <v>#REF!</v>
      </c>
      <c r="M744" t="str">
        <f t="shared" si="11"/>
        <v>Jul</v>
      </c>
      <c r="N744" s="15">
        <f>Table11[[#This Row],[SeatsSold]]/Table11[[#This Row],[SeatsAvailable]]</f>
        <v>0.78095238095238095</v>
      </c>
      <c r="O744" s="10"/>
    </row>
    <row r="745" spans="1:15" x14ac:dyDescent="0.3">
      <c r="A745" t="s">
        <v>861</v>
      </c>
      <c r="B745" t="s">
        <v>62</v>
      </c>
      <c r="C745" t="s">
        <v>6</v>
      </c>
      <c r="D745" t="s">
        <v>9</v>
      </c>
      <c r="E745" s="16">
        <v>45888</v>
      </c>
      <c r="F745">
        <v>127</v>
      </c>
      <c r="G745" t="s">
        <v>118</v>
      </c>
      <c r="H745">
        <v>138</v>
      </c>
      <c r="I745">
        <v>104</v>
      </c>
      <c r="J745">
        <v>980616</v>
      </c>
      <c r="K745">
        <v>36964</v>
      </c>
      <c r="L745" t="e">
        <f>[1]!Table1[[#This Row],[Revenue]]-[1]!Table1[[#This Row],[OperationalCost]]</f>
        <v>#REF!</v>
      </c>
      <c r="M745" t="str">
        <f t="shared" si="11"/>
        <v>Aug</v>
      </c>
      <c r="N745" s="15">
        <f>Table11[[#This Row],[SeatsSold]]/Table11[[#This Row],[SeatsAvailable]]</f>
        <v>0.75362318840579712</v>
      </c>
      <c r="O745" s="10"/>
    </row>
    <row r="746" spans="1:15" x14ac:dyDescent="0.3">
      <c r="A746" t="s">
        <v>862</v>
      </c>
      <c r="B746" t="s">
        <v>56</v>
      </c>
      <c r="C746" t="s">
        <v>3</v>
      </c>
      <c r="D746" t="s">
        <v>17</v>
      </c>
      <c r="E746" s="16">
        <v>46011</v>
      </c>
      <c r="F746">
        <v>160</v>
      </c>
      <c r="G746" t="s">
        <v>120</v>
      </c>
      <c r="H746">
        <v>198</v>
      </c>
      <c r="I746">
        <v>174</v>
      </c>
      <c r="J746">
        <v>784740</v>
      </c>
      <c r="K746">
        <v>81168</v>
      </c>
      <c r="L746" t="e">
        <f>[1]!Table1[[#This Row],[Revenue]]-[1]!Table1[[#This Row],[OperationalCost]]</f>
        <v>#REF!</v>
      </c>
      <c r="M746" t="str">
        <f t="shared" si="11"/>
        <v>Dec</v>
      </c>
      <c r="N746" s="15">
        <f>Table11[[#This Row],[SeatsSold]]/Table11[[#This Row],[SeatsAvailable]]</f>
        <v>0.87878787878787878</v>
      </c>
      <c r="O746" s="10"/>
    </row>
    <row r="747" spans="1:15" x14ac:dyDescent="0.3">
      <c r="A747" t="s">
        <v>863</v>
      </c>
      <c r="B747" t="s">
        <v>88</v>
      </c>
      <c r="C747" t="s">
        <v>11</v>
      </c>
      <c r="D747" t="s">
        <v>19</v>
      </c>
      <c r="E747" s="16">
        <v>46120</v>
      </c>
      <c r="F747">
        <v>203</v>
      </c>
      <c r="G747" t="s">
        <v>118</v>
      </c>
      <c r="H747">
        <v>86</v>
      </c>
      <c r="I747">
        <v>52</v>
      </c>
      <c r="J747">
        <v>520052</v>
      </c>
      <c r="K747">
        <v>37426</v>
      </c>
      <c r="L747" t="e">
        <f>[1]!Table1[[#This Row],[Revenue]]-[1]!Table1[[#This Row],[OperationalCost]]</f>
        <v>#REF!</v>
      </c>
      <c r="M747" t="str">
        <f t="shared" si="11"/>
        <v>Apr</v>
      </c>
      <c r="N747" s="15">
        <f>Table11[[#This Row],[SeatsSold]]/Table11[[#This Row],[SeatsAvailable]]</f>
        <v>0.60465116279069764</v>
      </c>
      <c r="O747" s="10"/>
    </row>
    <row r="748" spans="1:15" x14ac:dyDescent="0.3">
      <c r="A748" t="s">
        <v>864</v>
      </c>
      <c r="B748" t="s">
        <v>10</v>
      </c>
      <c r="C748" t="s">
        <v>17</v>
      </c>
      <c r="D748" t="s">
        <v>14</v>
      </c>
      <c r="E748" s="16">
        <v>45953</v>
      </c>
      <c r="F748">
        <v>64</v>
      </c>
      <c r="G748" t="s">
        <v>122</v>
      </c>
      <c r="H748">
        <v>112</v>
      </c>
      <c r="I748">
        <v>75</v>
      </c>
      <c r="J748">
        <v>325125</v>
      </c>
      <c r="K748">
        <v>32176</v>
      </c>
      <c r="L748" t="e">
        <f>[1]!Table1[[#This Row],[Revenue]]-[1]!Table1[[#This Row],[OperationalCost]]</f>
        <v>#REF!</v>
      </c>
      <c r="M748" t="str">
        <f t="shared" si="11"/>
        <v>Oct</v>
      </c>
      <c r="N748" s="15">
        <f>Table11[[#This Row],[SeatsSold]]/Table11[[#This Row],[SeatsAvailable]]</f>
        <v>0.6696428571428571</v>
      </c>
      <c r="O748" s="10"/>
    </row>
    <row r="749" spans="1:15" x14ac:dyDescent="0.3">
      <c r="A749" t="s">
        <v>865</v>
      </c>
      <c r="B749" t="s">
        <v>18</v>
      </c>
      <c r="C749" t="s">
        <v>6</v>
      </c>
      <c r="D749" t="s">
        <v>14</v>
      </c>
      <c r="E749" s="16">
        <v>45867</v>
      </c>
      <c r="F749">
        <v>178</v>
      </c>
      <c r="G749" t="s">
        <v>122</v>
      </c>
      <c r="H749">
        <v>145</v>
      </c>
      <c r="I749">
        <v>93</v>
      </c>
      <c r="J749">
        <v>1057410</v>
      </c>
      <c r="K749">
        <v>56379</v>
      </c>
      <c r="L749" t="e">
        <f>[1]!Table1[[#This Row],[Revenue]]-[1]!Table1[[#This Row],[OperationalCost]]</f>
        <v>#REF!</v>
      </c>
      <c r="M749" t="str">
        <f t="shared" si="11"/>
        <v>Jul</v>
      </c>
      <c r="N749" s="15">
        <f>Table11[[#This Row],[SeatsSold]]/Table11[[#This Row],[SeatsAvailable]]</f>
        <v>0.64137931034482754</v>
      </c>
      <c r="O749" s="10"/>
    </row>
    <row r="750" spans="1:15" x14ac:dyDescent="0.3">
      <c r="A750" t="s">
        <v>866</v>
      </c>
      <c r="B750" t="s">
        <v>61</v>
      </c>
      <c r="C750" t="s">
        <v>21</v>
      </c>
      <c r="D750" t="s">
        <v>6</v>
      </c>
      <c r="E750" s="16">
        <v>46112</v>
      </c>
      <c r="F750">
        <v>233</v>
      </c>
      <c r="G750" t="s">
        <v>122</v>
      </c>
      <c r="H750">
        <v>144</v>
      </c>
      <c r="I750">
        <v>64</v>
      </c>
      <c r="J750">
        <v>225984</v>
      </c>
      <c r="K750">
        <v>49141</v>
      </c>
      <c r="L750" t="e">
        <f>[1]!Table1[[#This Row],[Revenue]]-[1]!Table1[[#This Row],[OperationalCost]]</f>
        <v>#REF!</v>
      </c>
      <c r="M750" t="str">
        <f t="shared" si="11"/>
        <v>Mar</v>
      </c>
      <c r="N750" s="15">
        <f>Table11[[#This Row],[SeatsSold]]/Table11[[#This Row],[SeatsAvailable]]</f>
        <v>0.44444444444444442</v>
      </c>
      <c r="O750" s="10"/>
    </row>
    <row r="751" spans="1:15" x14ac:dyDescent="0.3">
      <c r="A751" t="s">
        <v>867</v>
      </c>
      <c r="B751" t="s">
        <v>13</v>
      </c>
      <c r="C751" t="s">
        <v>11</v>
      </c>
      <c r="D751" t="s">
        <v>21</v>
      </c>
      <c r="E751" s="16">
        <v>46079</v>
      </c>
      <c r="F751">
        <v>193</v>
      </c>
      <c r="G751" t="s">
        <v>118</v>
      </c>
      <c r="H751">
        <v>153</v>
      </c>
      <c r="I751">
        <v>102</v>
      </c>
      <c r="J751">
        <v>1140972</v>
      </c>
      <c r="K751">
        <v>79709</v>
      </c>
      <c r="L751" t="e">
        <f>[1]!Table1[[#This Row],[Revenue]]-[1]!Table1[[#This Row],[OperationalCost]]</f>
        <v>#REF!</v>
      </c>
      <c r="M751" t="str">
        <f t="shared" si="11"/>
        <v>Feb</v>
      </c>
      <c r="N751" s="15">
        <f>Table11[[#This Row],[SeatsSold]]/Table11[[#This Row],[SeatsAvailable]]</f>
        <v>0.66666666666666663</v>
      </c>
      <c r="O751" s="10"/>
    </row>
    <row r="752" spans="1:15" x14ac:dyDescent="0.3">
      <c r="A752" t="s">
        <v>868</v>
      </c>
      <c r="B752" t="s">
        <v>102</v>
      </c>
      <c r="C752" t="s">
        <v>6</v>
      </c>
      <c r="D752" t="s">
        <v>19</v>
      </c>
      <c r="E752" s="16">
        <v>46238</v>
      </c>
      <c r="F752">
        <v>78</v>
      </c>
      <c r="G752" t="s">
        <v>118</v>
      </c>
      <c r="H752">
        <v>113</v>
      </c>
      <c r="I752">
        <v>73</v>
      </c>
      <c r="J752">
        <v>453695</v>
      </c>
      <c r="K752">
        <v>38729</v>
      </c>
      <c r="L752" t="e">
        <f>[1]!Table1[[#This Row],[Revenue]]-[1]!Table1[[#This Row],[OperationalCost]]</f>
        <v>#REF!</v>
      </c>
      <c r="M752" t="str">
        <f t="shared" si="11"/>
        <v>Aug</v>
      </c>
      <c r="N752" s="15">
        <f>Table11[[#This Row],[SeatsSold]]/Table11[[#This Row],[SeatsAvailable]]</f>
        <v>0.64601769911504425</v>
      </c>
      <c r="O752" s="10"/>
    </row>
    <row r="753" spans="1:15" x14ac:dyDescent="0.3">
      <c r="A753" t="s">
        <v>869</v>
      </c>
      <c r="B753" t="s">
        <v>100</v>
      </c>
      <c r="C753" t="s">
        <v>19</v>
      </c>
      <c r="D753" t="s">
        <v>20</v>
      </c>
      <c r="E753" s="16">
        <v>45809</v>
      </c>
      <c r="F753">
        <v>135</v>
      </c>
      <c r="G753" t="s">
        <v>118</v>
      </c>
      <c r="H753">
        <v>186</v>
      </c>
      <c r="I753">
        <v>82</v>
      </c>
      <c r="J753">
        <v>420988</v>
      </c>
      <c r="K753">
        <v>63153</v>
      </c>
      <c r="L753" t="e">
        <f>[1]!Table1[[#This Row],[Revenue]]-[1]!Table1[[#This Row],[OperationalCost]]</f>
        <v>#REF!</v>
      </c>
      <c r="M753" t="str">
        <f t="shared" si="11"/>
        <v>Jun</v>
      </c>
      <c r="N753" s="15">
        <f>Table11[[#This Row],[SeatsSold]]/Table11[[#This Row],[SeatsAvailable]]</f>
        <v>0.44086021505376344</v>
      </c>
      <c r="O753" s="10"/>
    </row>
    <row r="754" spans="1:15" x14ac:dyDescent="0.3">
      <c r="A754" t="s">
        <v>870</v>
      </c>
      <c r="B754" t="s">
        <v>34</v>
      </c>
      <c r="C754" t="s">
        <v>14</v>
      </c>
      <c r="D754" t="s">
        <v>9</v>
      </c>
      <c r="E754" s="16">
        <v>46383</v>
      </c>
      <c r="F754">
        <v>222</v>
      </c>
      <c r="G754" t="s">
        <v>113</v>
      </c>
      <c r="H754">
        <v>111</v>
      </c>
      <c r="I754">
        <v>70</v>
      </c>
      <c r="J754">
        <v>309050</v>
      </c>
      <c r="K754">
        <v>46731</v>
      </c>
      <c r="L754" t="e">
        <f>[1]!Table1[[#This Row],[Revenue]]-[1]!Table1[[#This Row],[OperationalCost]]</f>
        <v>#REF!</v>
      </c>
      <c r="M754" t="str">
        <f t="shared" si="11"/>
        <v>Dec</v>
      </c>
      <c r="N754" s="15">
        <f>Table11[[#This Row],[SeatsSold]]/Table11[[#This Row],[SeatsAvailable]]</f>
        <v>0.63063063063063063</v>
      </c>
      <c r="O754" s="10"/>
    </row>
    <row r="755" spans="1:15" x14ac:dyDescent="0.3">
      <c r="A755" t="s">
        <v>871</v>
      </c>
      <c r="B755" t="s">
        <v>63</v>
      </c>
      <c r="C755" t="s">
        <v>15</v>
      </c>
      <c r="D755" t="s">
        <v>14</v>
      </c>
      <c r="E755" s="16">
        <v>46109</v>
      </c>
      <c r="F755">
        <v>111</v>
      </c>
      <c r="G755" t="s">
        <v>118</v>
      </c>
      <c r="H755">
        <v>117</v>
      </c>
      <c r="I755">
        <v>66</v>
      </c>
      <c r="J755">
        <v>773190</v>
      </c>
      <c r="K755">
        <v>43458</v>
      </c>
      <c r="L755" t="e">
        <f>[1]!Table1[[#This Row],[Revenue]]-[1]!Table1[[#This Row],[OperationalCost]]</f>
        <v>#REF!</v>
      </c>
      <c r="M755" t="str">
        <f t="shared" si="11"/>
        <v>Mar</v>
      </c>
      <c r="N755" s="15">
        <f>Table11[[#This Row],[SeatsSold]]/Table11[[#This Row],[SeatsAvailable]]</f>
        <v>0.5641025641025641</v>
      </c>
      <c r="O755" s="10"/>
    </row>
    <row r="756" spans="1:15" x14ac:dyDescent="0.3">
      <c r="A756" t="s">
        <v>872</v>
      </c>
      <c r="B756" t="s">
        <v>52</v>
      </c>
      <c r="C756" t="s">
        <v>21</v>
      </c>
      <c r="D756" t="s">
        <v>17</v>
      </c>
      <c r="E756" s="16">
        <v>45809</v>
      </c>
      <c r="F756">
        <v>140</v>
      </c>
      <c r="G756" t="s">
        <v>120</v>
      </c>
      <c r="H756">
        <v>208</v>
      </c>
      <c r="I756">
        <v>81</v>
      </c>
      <c r="J756">
        <v>910683</v>
      </c>
      <c r="K756">
        <v>50668</v>
      </c>
      <c r="L756" t="e">
        <f>[1]!Table1[[#This Row],[Revenue]]-[1]!Table1[[#This Row],[OperationalCost]]</f>
        <v>#REF!</v>
      </c>
      <c r="M756" t="str">
        <f t="shared" si="11"/>
        <v>Jun</v>
      </c>
      <c r="N756" s="15">
        <f>Table11[[#This Row],[SeatsSold]]/Table11[[#This Row],[SeatsAvailable]]</f>
        <v>0.38942307692307693</v>
      </c>
      <c r="O756" s="10"/>
    </row>
    <row r="757" spans="1:15" x14ac:dyDescent="0.3">
      <c r="A757" t="s">
        <v>873</v>
      </c>
      <c r="B757" t="s">
        <v>85</v>
      </c>
      <c r="C757" t="s">
        <v>20</v>
      </c>
      <c r="D757" t="s">
        <v>6</v>
      </c>
      <c r="E757" s="16">
        <v>46169</v>
      </c>
      <c r="F757">
        <v>82</v>
      </c>
      <c r="G757" t="s">
        <v>120</v>
      </c>
      <c r="H757">
        <v>151</v>
      </c>
      <c r="I757">
        <v>59</v>
      </c>
      <c r="J757">
        <v>151630</v>
      </c>
      <c r="K757">
        <v>52797</v>
      </c>
      <c r="L757" t="e">
        <f>[1]!Table1[[#This Row],[Revenue]]-[1]!Table1[[#This Row],[OperationalCost]]</f>
        <v>#REF!</v>
      </c>
      <c r="M757" t="str">
        <f t="shared" si="11"/>
        <v>May</v>
      </c>
      <c r="N757" s="15">
        <f>Table11[[#This Row],[SeatsSold]]/Table11[[#This Row],[SeatsAvailable]]</f>
        <v>0.39072847682119205</v>
      </c>
      <c r="O757" s="10"/>
    </row>
    <row r="758" spans="1:15" x14ac:dyDescent="0.3">
      <c r="A758" t="s">
        <v>874</v>
      </c>
      <c r="B758" t="s">
        <v>79</v>
      </c>
      <c r="C758" t="s">
        <v>21</v>
      </c>
      <c r="D758" t="s">
        <v>19</v>
      </c>
      <c r="E758" s="16">
        <v>46143</v>
      </c>
      <c r="F758">
        <v>119</v>
      </c>
      <c r="G758" t="s">
        <v>116</v>
      </c>
      <c r="H758">
        <v>107</v>
      </c>
      <c r="I758">
        <v>96</v>
      </c>
      <c r="J758">
        <v>772704</v>
      </c>
      <c r="K758">
        <v>46780</v>
      </c>
      <c r="L758" t="e">
        <f>[1]!Table1[[#This Row],[Revenue]]-[1]!Table1[[#This Row],[OperationalCost]]</f>
        <v>#REF!</v>
      </c>
      <c r="M758" t="str">
        <f t="shared" si="11"/>
        <v>May</v>
      </c>
      <c r="N758" s="15">
        <f>Table11[[#This Row],[SeatsSold]]/Table11[[#This Row],[SeatsAvailable]]</f>
        <v>0.89719626168224298</v>
      </c>
      <c r="O758" s="10"/>
    </row>
    <row r="759" spans="1:15" x14ac:dyDescent="0.3">
      <c r="A759" t="s">
        <v>875</v>
      </c>
      <c r="B759" t="s">
        <v>65</v>
      </c>
      <c r="C759" t="s">
        <v>6</v>
      </c>
      <c r="D759" t="s">
        <v>20</v>
      </c>
      <c r="E759" s="16">
        <v>45800</v>
      </c>
      <c r="F759">
        <v>218</v>
      </c>
      <c r="G759" t="s">
        <v>116</v>
      </c>
      <c r="H759">
        <v>99</v>
      </c>
      <c r="I759">
        <v>59</v>
      </c>
      <c r="J759">
        <v>171454</v>
      </c>
      <c r="K759">
        <v>71958</v>
      </c>
      <c r="L759" t="e">
        <f>[1]!Table1[[#This Row],[Revenue]]-[1]!Table1[[#This Row],[OperationalCost]]</f>
        <v>#REF!</v>
      </c>
      <c r="M759" t="str">
        <f t="shared" si="11"/>
        <v>May</v>
      </c>
      <c r="N759" s="15">
        <f>Table11[[#This Row],[SeatsSold]]/Table11[[#This Row],[SeatsAvailable]]</f>
        <v>0.59595959595959591</v>
      </c>
      <c r="O759" s="10"/>
    </row>
    <row r="760" spans="1:15" x14ac:dyDescent="0.3">
      <c r="A760" t="s">
        <v>876</v>
      </c>
      <c r="B760" t="s">
        <v>2</v>
      </c>
      <c r="C760" t="s">
        <v>9</v>
      </c>
      <c r="D760" t="s">
        <v>11</v>
      </c>
      <c r="E760" s="16">
        <v>46023</v>
      </c>
      <c r="F760">
        <v>68</v>
      </c>
      <c r="G760" t="s">
        <v>118</v>
      </c>
      <c r="H760">
        <v>84</v>
      </c>
      <c r="I760">
        <v>78</v>
      </c>
      <c r="J760">
        <v>444366</v>
      </c>
      <c r="K760">
        <v>36268</v>
      </c>
      <c r="L760" t="e">
        <f>[1]!Table1[[#This Row],[Revenue]]-[1]!Table1[[#This Row],[OperationalCost]]</f>
        <v>#REF!</v>
      </c>
      <c r="M760" t="str">
        <f t="shared" si="11"/>
        <v>Jan</v>
      </c>
      <c r="N760" s="15">
        <f>Table11[[#This Row],[SeatsSold]]/Table11[[#This Row],[SeatsAvailable]]</f>
        <v>0.9285714285714286</v>
      </c>
      <c r="O760" s="10"/>
    </row>
    <row r="761" spans="1:15" x14ac:dyDescent="0.3">
      <c r="A761" t="s">
        <v>877</v>
      </c>
      <c r="B761" t="s">
        <v>4</v>
      </c>
      <c r="C761" t="s">
        <v>9</v>
      </c>
      <c r="D761" t="s">
        <v>21</v>
      </c>
      <c r="E761" s="16">
        <v>45858</v>
      </c>
      <c r="F761">
        <v>50</v>
      </c>
      <c r="G761" t="s">
        <v>122</v>
      </c>
      <c r="H761">
        <v>207</v>
      </c>
      <c r="I761">
        <v>154</v>
      </c>
      <c r="J761">
        <v>605374</v>
      </c>
      <c r="K761">
        <v>49810</v>
      </c>
      <c r="L761" t="e">
        <f>[1]!Table1[[#This Row],[Revenue]]-[1]!Table1[[#This Row],[OperationalCost]]</f>
        <v>#REF!</v>
      </c>
      <c r="M761" t="str">
        <f t="shared" si="11"/>
        <v>Jul</v>
      </c>
      <c r="N761" s="15">
        <f>Table11[[#This Row],[SeatsSold]]/Table11[[#This Row],[SeatsAvailable]]</f>
        <v>0.7439613526570048</v>
      </c>
      <c r="O761" s="10"/>
    </row>
    <row r="762" spans="1:15" x14ac:dyDescent="0.3">
      <c r="A762" t="s">
        <v>878</v>
      </c>
      <c r="B762" t="s">
        <v>2</v>
      </c>
      <c r="C762" t="s">
        <v>9</v>
      </c>
      <c r="D762" t="s">
        <v>11</v>
      </c>
      <c r="E762" s="16">
        <v>45983</v>
      </c>
      <c r="F762">
        <v>199</v>
      </c>
      <c r="G762" t="s">
        <v>116</v>
      </c>
      <c r="H762">
        <v>200</v>
      </c>
      <c r="I762">
        <v>54</v>
      </c>
      <c r="J762">
        <v>454410</v>
      </c>
      <c r="K762">
        <v>67379</v>
      </c>
      <c r="L762" t="e">
        <f>[1]!Table1[[#This Row],[Revenue]]-[1]!Table1[[#This Row],[OperationalCost]]</f>
        <v>#REF!</v>
      </c>
      <c r="M762" t="str">
        <f t="shared" si="11"/>
        <v>Nov</v>
      </c>
      <c r="N762" s="15">
        <f>Table11[[#This Row],[SeatsSold]]/Table11[[#This Row],[SeatsAvailable]]</f>
        <v>0.27</v>
      </c>
      <c r="O762" s="10"/>
    </row>
    <row r="763" spans="1:15" x14ac:dyDescent="0.3">
      <c r="A763" t="s">
        <v>879</v>
      </c>
      <c r="B763" t="s">
        <v>104</v>
      </c>
      <c r="C763" t="s">
        <v>17</v>
      </c>
      <c r="D763" t="s">
        <v>21</v>
      </c>
      <c r="E763" s="16">
        <v>46053</v>
      </c>
      <c r="F763">
        <v>140</v>
      </c>
      <c r="G763" t="s">
        <v>122</v>
      </c>
      <c r="H763">
        <v>142</v>
      </c>
      <c r="I763">
        <v>84</v>
      </c>
      <c r="J763">
        <v>693504</v>
      </c>
      <c r="K763">
        <v>55268</v>
      </c>
      <c r="L763" t="e">
        <f>[1]!Table1[[#This Row],[Revenue]]-[1]!Table1[[#This Row],[OperationalCost]]</f>
        <v>#REF!</v>
      </c>
      <c r="M763" t="str">
        <f t="shared" si="11"/>
        <v>Jan</v>
      </c>
      <c r="N763" s="15">
        <f>Table11[[#This Row],[SeatsSold]]/Table11[[#This Row],[SeatsAvailable]]</f>
        <v>0.59154929577464788</v>
      </c>
      <c r="O763" s="10"/>
    </row>
    <row r="764" spans="1:15" x14ac:dyDescent="0.3">
      <c r="A764" t="s">
        <v>880</v>
      </c>
      <c r="B764" t="s">
        <v>75</v>
      </c>
      <c r="C764" t="s">
        <v>11</v>
      </c>
      <c r="D764" t="s">
        <v>3</v>
      </c>
      <c r="E764" s="16">
        <v>45878</v>
      </c>
      <c r="F764">
        <v>231</v>
      </c>
      <c r="G764" t="s">
        <v>120</v>
      </c>
      <c r="H764">
        <v>176</v>
      </c>
      <c r="I764">
        <v>153</v>
      </c>
      <c r="J764">
        <v>1105884</v>
      </c>
      <c r="K764">
        <v>70279</v>
      </c>
      <c r="L764" t="e">
        <f>[1]!Table1[[#This Row],[Revenue]]-[1]!Table1[[#This Row],[OperationalCost]]</f>
        <v>#REF!</v>
      </c>
      <c r="M764" t="str">
        <f t="shared" si="11"/>
        <v>Aug</v>
      </c>
      <c r="N764" s="15">
        <f>Table11[[#This Row],[SeatsSold]]/Table11[[#This Row],[SeatsAvailable]]</f>
        <v>0.86931818181818177</v>
      </c>
      <c r="O764" s="10"/>
    </row>
    <row r="765" spans="1:15" x14ac:dyDescent="0.3">
      <c r="A765" t="s">
        <v>881</v>
      </c>
      <c r="B765" t="s">
        <v>10</v>
      </c>
      <c r="C765" t="s">
        <v>17</v>
      </c>
      <c r="D765" t="s">
        <v>14</v>
      </c>
      <c r="E765" s="16">
        <v>46259</v>
      </c>
      <c r="F765">
        <v>198</v>
      </c>
      <c r="G765" t="s">
        <v>122</v>
      </c>
      <c r="H765">
        <v>106</v>
      </c>
      <c r="I765">
        <v>66</v>
      </c>
      <c r="J765">
        <v>492888</v>
      </c>
      <c r="K765">
        <v>70402</v>
      </c>
      <c r="L765" t="e">
        <f>[1]!Table1[[#This Row],[Revenue]]-[1]!Table1[[#This Row],[OperationalCost]]</f>
        <v>#REF!</v>
      </c>
      <c r="M765" t="str">
        <f t="shared" si="11"/>
        <v>Aug</v>
      </c>
      <c r="N765" s="15">
        <f>Table11[[#This Row],[SeatsSold]]/Table11[[#This Row],[SeatsAvailable]]</f>
        <v>0.62264150943396224</v>
      </c>
      <c r="O765" s="10"/>
    </row>
    <row r="766" spans="1:15" x14ac:dyDescent="0.3">
      <c r="A766" t="s">
        <v>882</v>
      </c>
      <c r="B766" t="s">
        <v>12</v>
      </c>
      <c r="C766" t="s">
        <v>21</v>
      </c>
      <c r="D766" t="s">
        <v>3</v>
      </c>
      <c r="E766" s="16">
        <v>46262</v>
      </c>
      <c r="F766">
        <v>238</v>
      </c>
      <c r="G766" t="s">
        <v>120</v>
      </c>
      <c r="H766">
        <v>92</v>
      </c>
      <c r="I766">
        <v>40</v>
      </c>
      <c r="J766">
        <v>368320</v>
      </c>
      <c r="K766">
        <v>81062</v>
      </c>
      <c r="L766" t="e">
        <f>[1]!Table1[[#This Row],[Revenue]]-[1]!Table1[[#This Row],[OperationalCost]]</f>
        <v>#REF!</v>
      </c>
      <c r="M766" t="str">
        <f t="shared" si="11"/>
        <v>Aug</v>
      </c>
      <c r="N766" s="15">
        <f>Table11[[#This Row],[SeatsSold]]/Table11[[#This Row],[SeatsAvailable]]</f>
        <v>0.43478260869565216</v>
      </c>
      <c r="O766" s="10"/>
    </row>
    <row r="767" spans="1:15" x14ac:dyDescent="0.3">
      <c r="A767" t="s">
        <v>883</v>
      </c>
      <c r="B767" t="s">
        <v>10</v>
      </c>
      <c r="C767" t="s">
        <v>17</v>
      </c>
      <c r="D767" t="s">
        <v>14</v>
      </c>
      <c r="E767" s="16">
        <v>46227</v>
      </c>
      <c r="F767">
        <v>163</v>
      </c>
      <c r="G767" t="s">
        <v>116</v>
      </c>
      <c r="H767">
        <v>105</v>
      </c>
      <c r="I767">
        <v>65</v>
      </c>
      <c r="J767">
        <v>360555</v>
      </c>
      <c r="K767">
        <v>51541</v>
      </c>
      <c r="L767" t="e">
        <f>[1]!Table1[[#This Row],[Revenue]]-[1]!Table1[[#This Row],[OperationalCost]]</f>
        <v>#REF!</v>
      </c>
      <c r="M767" t="str">
        <f t="shared" si="11"/>
        <v>Jul</v>
      </c>
      <c r="N767" s="15">
        <f>Table11[[#This Row],[SeatsSold]]/Table11[[#This Row],[SeatsAvailable]]</f>
        <v>0.61904761904761907</v>
      </c>
      <c r="O767" s="10"/>
    </row>
    <row r="768" spans="1:15" x14ac:dyDescent="0.3">
      <c r="A768" t="s">
        <v>884</v>
      </c>
      <c r="B768" t="s">
        <v>68</v>
      </c>
      <c r="C768" t="s">
        <v>11</v>
      </c>
      <c r="D768" t="s">
        <v>6</v>
      </c>
      <c r="E768" s="16">
        <v>45701</v>
      </c>
      <c r="F768">
        <v>122</v>
      </c>
      <c r="G768" t="s">
        <v>116</v>
      </c>
      <c r="H768">
        <v>147</v>
      </c>
      <c r="I768">
        <v>103</v>
      </c>
      <c r="J768">
        <v>1201289</v>
      </c>
      <c r="K768">
        <v>49175</v>
      </c>
      <c r="L768" t="e">
        <f>[1]!Table1[[#This Row],[Revenue]]-[1]!Table1[[#This Row],[OperationalCost]]</f>
        <v>#REF!</v>
      </c>
      <c r="M768" t="str">
        <f t="shared" si="11"/>
        <v>Feb</v>
      </c>
      <c r="N768" s="15">
        <f>Table11[[#This Row],[SeatsSold]]/Table11[[#This Row],[SeatsAvailable]]</f>
        <v>0.70068027210884354</v>
      </c>
      <c r="O768" s="10"/>
    </row>
    <row r="769" spans="1:15" x14ac:dyDescent="0.3">
      <c r="A769" t="s">
        <v>885</v>
      </c>
      <c r="B769" t="s">
        <v>31</v>
      </c>
      <c r="C769" t="s">
        <v>20</v>
      </c>
      <c r="D769" t="s">
        <v>3</v>
      </c>
      <c r="E769" s="16">
        <v>45815</v>
      </c>
      <c r="F769">
        <v>112</v>
      </c>
      <c r="G769" t="s">
        <v>118</v>
      </c>
      <c r="H769">
        <v>190</v>
      </c>
      <c r="I769">
        <v>71</v>
      </c>
      <c r="J769">
        <v>512123</v>
      </c>
      <c r="K769">
        <v>49062</v>
      </c>
      <c r="L769" t="e">
        <f>[1]!Table1[[#This Row],[Revenue]]-[1]!Table1[[#This Row],[OperationalCost]]</f>
        <v>#REF!</v>
      </c>
      <c r="M769" t="str">
        <f t="shared" ref="M769:M832" si="12">TEXT(E769,"MMM")</f>
        <v>Jun</v>
      </c>
      <c r="N769" s="15">
        <f>Table11[[#This Row],[SeatsSold]]/Table11[[#This Row],[SeatsAvailable]]</f>
        <v>0.37368421052631579</v>
      </c>
      <c r="O769" s="10"/>
    </row>
    <row r="770" spans="1:15" x14ac:dyDescent="0.3">
      <c r="A770" t="s">
        <v>886</v>
      </c>
      <c r="B770" t="s">
        <v>62</v>
      </c>
      <c r="C770" t="s">
        <v>6</v>
      </c>
      <c r="D770" t="s">
        <v>9</v>
      </c>
      <c r="E770" s="16">
        <v>45687</v>
      </c>
      <c r="F770">
        <v>75</v>
      </c>
      <c r="G770" t="s">
        <v>118</v>
      </c>
      <c r="H770">
        <v>196</v>
      </c>
      <c r="I770">
        <v>57</v>
      </c>
      <c r="J770">
        <v>480339</v>
      </c>
      <c r="K770">
        <v>59888</v>
      </c>
      <c r="L770" t="e">
        <f>[1]!Table1[[#This Row],[Revenue]]-[1]!Table1[[#This Row],[OperationalCost]]</f>
        <v>#REF!</v>
      </c>
      <c r="M770" t="str">
        <f t="shared" si="12"/>
        <v>Jan</v>
      </c>
      <c r="N770" s="15">
        <f>Table11[[#This Row],[SeatsSold]]/Table11[[#This Row],[SeatsAvailable]]</f>
        <v>0.29081632653061223</v>
      </c>
      <c r="O770" s="10"/>
    </row>
    <row r="771" spans="1:15" x14ac:dyDescent="0.3">
      <c r="A771" t="s">
        <v>887</v>
      </c>
      <c r="B771" t="s">
        <v>108</v>
      </c>
      <c r="C771" t="s">
        <v>15</v>
      </c>
      <c r="D771" t="s">
        <v>17</v>
      </c>
      <c r="E771" s="16">
        <v>45922</v>
      </c>
      <c r="F771">
        <v>205</v>
      </c>
      <c r="G771" t="s">
        <v>120</v>
      </c>
      <c r="H771">
        <v>100</v>
      </c>
      <c r="I771">
        <v>63</v>
      </c>
      <c r="J771">
        <v>686511</v>
      </c>
      <c r="K771">
        <v>63135</v>
      </c>
      <c r="L771" t="e">
        <f>[1]!Table1[[#This Row],[Revenue]]-[1]!Table1[[#This Row],[OperationalCost]]</f>
        <v>#REF!</v>
      </c>
      <c r="M771" t="str">
        <f t="shared" si="12"/>
        <v>Sep</v>
      </c>
      <c r="N771" s="15">
        <f>Table11[[#This Row],[SeatsSold]]/Table11[[#This Row],[SeatsAvailable]]</f>
        <v>0.63</v>
      </c>
      <c r="O771" s="10"/>
    </row>
    <row r="772" spans="1:15" x14ac:dyDescent="0.3">
      <c r="A772" t="s">
        <v>888</v>
      </c>
      <c r="B772" t="s">
        <v>112</v>
      </c>
      <c r="C772" t="s">
        <v>19</v>
      </c>
      <c r="D772" t="s">
        <v>14</v>
      </c>
      <c r="E772" s="16">
        <v>46253</v>
      </c>
      <c r="F772">
        <v>59</v>
      </c>
      <c r="G772" t="s">
        <v>113</v>
      </c>
      <c r="H772">
        <v>151</v>
      </c>
      <c r="I772">
        <v>99</v>
      </c>
      <c r="J772">
        <v>467181</v>
      </c>
      <c r="K772">
        <v>30720</v>
      </c>
      <c r="L772" t="e">
        <f>[1]!Table1[[#This Row],[Revenue]]-[1]!Table1[[#This Row],[OperationalCost]]</f>
        <v>#REF!</v>
      </c>
      <c r="M772" t="str">
        <f t="shared" si="12"/>
        <v>Aug</v>
      </c>
      <c r="N772" s="15">
        <f>Table11[[#This Row],[SeatsSold]]/Table11[[#This Row],[SeatsAvailable]]</f>
        <v>0.6556291390728477</v>
      </c>
      <c r="O772" s="10"/>
    </row>
    <row r="773" spans="1:15" x14ac:dyDescent="0.3">
      <c r="A773" t="s">
        <v>889</v>
      </c>
      <c r="B773" t="s">
        <v>76</v>
      </c>
      <c r="C773" t="s">
        <v>20</v>
      </c>
      <c r="D773" t="s">
        <v>21</v>
      </c>
      <c r="E773" s="16">
        <v>46027</v>
      </c>
      <c r="F773">
        <v>152</v>
      </c>
      <c r="G773" t="s">
        <v>118</v>
      </c>
      <c r="H773">
        <v>82</v>
      </c>
      <c r="I773">
        <v>58</v>
      </c>
      <c r="J773">
        <v>422124</v>
      </c>
      <c r="K773">
        <v>58686</v>
      </c>
      <c r="L773" t="e">
        <f>[1]!Table1[[#This Row],[Revenue]]-[1]!Table1[[#This Row],[OperationalCost]]</f>
        <v>#REF!</v>
      </c>
      <c r="M773" t="str">
        <f t="shared" si="12"/>
        <v>Jan</v>
      </c>
      <c r="N773" s="15">
        <f>Table11[[#This Row],[SeatsSold]]/Table11[[#This Row],[SeatsAvailable]]</f>
        <v>0.70731707317073167</v>
      </c>
      <c r="O773" s="10"/>
    </row>
    <row r="774" spans="1:15" x14ac:dyDescent="0.3">
      <c r="A774" t="s">
        <v>890</v>
      </c>
      <c r="B774" t="s">
        <v>46</v>
      </c>
      <c r="C774" t="s">
        <v>3</v>
      </c>
      <c r="D774" t="s">
        <v>15</v>
      </c>
      <c r="E774" s="16">
        <v>45856</v>
      </c>
      <c r="F774">
        <v>205</v>
      </c>
      <c r="G774" t="s">
        <v>113</v>
      </c>
      <c r="H774">
        <v>94</v>
      </c>
      <c r="I774">
        <v>78</v>
      </c>
      <c r="J774">
        <v>408564</v>
      </c>
      <c r="K774">
        <v>68323</v>
      </c>
      <c r="L774" t="e">
        <f>[1]!Table1[[#This Row],[Revenue]]-[1]!Table1[[#This Row],[OperationalCost]]</f>
        <v>#REF!</v>
      </c>
      <c r="M774" t="str">
        <f t="shared" si="12"/>
        <v>Jul</v>
      </c>
      <c r="N774" s="15">
        <f>Table11[[#This Row],[SeatsSold]]/Table11[[#This Row],[SeatsAvailable]]</f>
        <v>0.82978723404255317</v>
      </c>
      <c r="O774" s="10"/>
    </row>
    <row r="775" spans="1:15" x14ac:dyDescent="0.3">
      <c r="A775" t="s">
        <v>891</v>
      </c>
      <c r="B775" t="s">
        <v>79</v>
      </c>
      <c r="C775" t="s">
        <v>21</v>
      </c>
      <c r="D775" t="s">
        <v>19</v>
      </c>
      <c r="E775" s="16">
        <v>45935</v>
      </c>
      <c r="F775">
        <v>220</v>
      </c>
      <c r="G775" t="s">
        <v>118</v>
      </c>
      <c r="H775">
        <v>94</v>
      </c>
      <c r="I775">
        <v>74</v>
      </c>
      <c r="J775">
        <v>611314</v>
      </c>
      <c r="K775">
        <v>42122</v>
      </c>
      <c r="L775" t="e">
        <f>[1]!Table1[[#This Row],[Revenue]]-[1]!Table1[[#This Row],[OperationalCost]]</f>
        <v>#REF!</v>
      </c>
      <c r="M775" t="str">
        <f t="shared" si="12"/>
        <v>Oct</v>
      </c>
      <c r="N775" s="15">
        <f>Table11[[#This Row],[SeatsSold]]/Table11[[#This Row],[SeatsAvailable]]</f>
        <v>0.78723404255319152</v>
      </c>
      <c r="O775" s="10"/>
    </row>
    <row r="776" spans="1:15" x14ac:dyDescent="0.3">
      <c r="A776" t="s">
        <v>892</v>
      </c>
      <c r="B776" t="s">
        <v>42</v>
      </c>
      <c r="C776" t="s">
        <v>14</v>
      </c>
      <c r="D776" t="s">
        <v>15</v>
      </c>
      <c r="E776" s="16">
        <v>45946</v>
      </c>
      <c r="F776">
        <v>140</v>
      </c>
      <c r="G776" t="s">
        <v>120</v>
      </c>
      <c r="H776">
        <v>175</v>
      </c>
      <c r="I776">
        <v>127</v>
      </c>
      <c r="J776">
        <v>656717</v>
      </c>
      <c r="K776">
        <v>44065</v>
      </c>
      <c r="L776" t="e">
        <f>[1]!Table1[[#This Row],[Revenue]]-[1]!Table1[[#This Row],[OperationalCost]]</f>
        <v>#REF!</v>
      </c>
      <c r="M776" t="str">
        <f t="shared" si="12"/>
        <v>Oct</v>
      </c>
      <c r="N776" s="15">
        <f>Table11[[#This Row],[SeatsSold]]/Table11[[#This Row],[SeatsAvailable]]</f>
        <v>0.72571428571428576</v>
      </c>
      <c r="O776" s="10"/>
    </row>
    <row r="777" spans="1:15" x14ac:dyDescent="0.3">
      <c r="A777" t="s">
        <v>893</v>
      </c>
      <c r="B777" t="s">
        <v>42</v>
      </c>
      <c r="C777" t="s">
        <v>14</v>
      </c>
      <c r="D777" t="s">
        <v>15</v>
      </c>
      <c r="E777" s="16">
        <v>45884</v>
      </c>
      <c r="F777">
        <v>93</v>
      </c>
      <c r="G777" t="s">
        <v>116</v>
      </c>
      <c r="H777">
        <v>204</v>
      </c>
      <c r="I777">
        <v>176</v>
      </c>
      <c r="J777">
        <v>2029104</v>
      </c>
      <c r="K777">
        <v>50043</v>
      </c>
      <c r="L777" t="e">
        <f>[1]!Table1[[#This Row],[Revenue]]-[1]!Table1[[#This Row],[OperationalCost]]</f>
        <v>#REF!</v>
      </c>
      <c r="M777" t="str">
        <f t="shared" si="12"/>
        <v>Aug</v>
      </c>
      <c r="N777" s="15">
        <f>Table11[[#This Row],[SeatsSold]]/Table11[[#This Row],[SeatsAvailable]]</f>
        <v>0.86274509803921573</v>
      </c>
      <c r="O777" s="10"/>
    </row>
    <row r="778" spans="1:15" x14ac:dyDescent="0.3">
      <c r="A778" t="s">
        <v>894</v>
      </c>
      <c r="B778" t="s">
        <v>105</v>
      </c>
      <c r="C778" t="s">
        <v>17</v>
      </c>
      <c r="D778" t="s">
        <v>11</v>
      </c>
      <c r="E778" s="16">
        <v>45736</v>
      </c>
      <c r="F778">
        <v>74</v>
      </c>
      <c r="G778" t="s">
        <v>113</v>
      </c>
      <c r="H778">
        <v>74</v>
      </c>
      <c r="I778">
        <v>70</v>
      </c>
      <c r="J778">
        <v>574350</v>
      </c>
      <c r="K778">
        <v>27454</v>
      </c>
      <c r="L778" t="e">
        <f>[1]!Table1[[#This Row],[Revenue]]-[1]!Table1[[#This Row],[OperationalCost]]</f>
        <v>#REF!</v>
      </c>
      <c r="M778" t="str">
        <f t="shared" si="12"/>
        <v>Mar</v>
      </c>
      <c r="N778" s="15">
        <f>Table11[[#This Row],[SeatsSold]]/Table11[[#This Row],[SeatsAvailable]]</f>
        <v>0.94594594594594594</v>
      </c>
      <c r="O778" s="10"/>
    </row>
    <row r="779" spans="1:15" x14ac:dyDescent="0.3">
      <c r="A779" t="s">
        <v>895</v>
      </c>
      <c r="B779" t="s">
        <v>50</v>
      </c>
      <c r="C779" t="s">
        <v>14</v>
      </c>
      <c r="D779" t="s">
        <v>11</v>
      </c>
      <c r="E779" s="16">
        <v>46269</v>
      </c>
      <c r="F779">
        <v>178</v>
      </c>
      <c r="G779" t="s">
        <v>118</v>
      </c>
      <c r="H779">
        <v>114</v>
      </c>
      <c r="I779">
        <v>78</v>
      </c>
      <c r="J779">
        <v>231738</v>
      </c>
      <c r="K779">
        <v>42204</v>
      </c>
      <c r="L779" t="e">
        <f>[1]!Table1[[#This Row],[Revenue]]-[1]!Table1[[#This Row],[OperationalCost]]</f>
        <v>#REF!</v>
      </c>
      <c r="M779" t="str">
        <f t="shared" si="12"/>
        <v>Sep</v>
      </c>
      <c r="N779" s="15">
        <f>Table11[[#This Row],[SeatsSold]]/Table11[[#This Row],[SeatsAvailable]]</f>
        <v>0.68421052631578949</v>
      </c>
      <c r="O779" s="10"/>
    </row>
    <row r="780" spans="1:15" x14ac:dyDescent="0.3">
      <c r="A780" t="s">
        <v>896</v>
      </c>
      <c r="B780" t="s">
        <v>34</v>
      </c>
      <c r="C780" t="s">
        <v>14</v>
      </c>
      <c r="D780" t="s">
        <v>9</v>
      </c>
      <c r="E780" s="16">
        <v>46362</v>
      </c>
      <c r="F780">
        <v>103</v>
      </c>
      <c r="G780" t="s">
        <v>118</v>
      </c>
      <c r="H780">
        <v>102</v>
      </c>
      <c r="I780">
        <v>53</v>
      </c>
      <c r="J780">
        <v>245549</v>
      </c>
      <c r="K780">
        <v>33596</v>
      </c>
      <c r="L780" t="e">
        <f>[1]!Table1[[#This Row],[Revenue]]-[1]!Table1[[#This Row],[OperationalCost]]</f>
        <v>#REF!</v>
      </c>
      <c r="M780" t="str">
        <f t="shared" si="12"/>
        <v>Dec</v>
      </c>
      <c r="N780" s="15">
        <f>Table11[[#This Row],[SeatsSold]]/Table11[[#This Row],[SeatsAvailable]]</f>
        <v>0.51960784313725494</v>
      </c>
      <c r="O780" s="10"/>
    </row>
    <row r="781" spans="1:15" x14ac:dyDescent="0.3">
      <c r="A781" t="s">
        <v>897</v>
      </c>
      <c r="B781" t="s">
        <v>95</v>
      </c>
      <c r="C781" t="s">
        <v>3</v>
      </c>
      <c r="D781" t="s">
        <v>14</v>
      </c>
      <c r="E781" s="16">
        <v>45677</v>
      </c>
      <c r="F781">
        <v>168</v>
      </c>
      <c r="G781" t="s">
        <v>120</v>
      </c>
      <c r="H781">
        <v>80</v>
      </c>
      <c r="I781">
        <v>52</v>
      </c>
      <c r="J781">
        <v>221832</v>
      </c>
      <c r="K781">
        <v>41344</v>
      </c>
      <c r="L781" t="e">
        <f>[1]!Table1[[#This Row],[Revenue]]-[1]!Table1[[#This Row],[OperationalCost]]</f>
        <v>#REF!</v>
      </c>
      <c r="M781" t="str">
        <f t="shared" si="12"/>
        <v>Jan</v>
      </c>
      <c r="N781" s="15">
        <f>Table11[[#This Row],[SeatsSold]]/Table11[[#This Row],[SeatsAvailable]]</f>
        <v>0.65</v>
      </c>
      <c r="O781" s="10"/>
    </row>
    <row r="782" spans="1:15" x14ac:dyDescent="0.3">
      <c r="A782" t="s">
        <v>898</v>
      </c>
      <c r="B782" t="s">
        <v>99</v>
      </c>
      <c r="C782" t="s">
        <v>11</v>
      </c>
      <c r="D782" t="s">
        <v>20</v>
      </c>
      <c r="E782" s="16">
        <v>46138</v>
      </c>
      <c r="F782">
        <v>75</v>
      </c>
      <c r="G782" t="s">
        <v>118</v>
      </c>
      <c r="H782">
        <v>81</v>
      </c>
      <c r="I782">
        <v>44</v>
      </c>
      <c r="J782">
        <v>327448</v>
      </c>
      <c r="K782">
        <v>28392</v>
      </c>
      <c r="L782" t="e">
        <f>[1]!Table1[[#This Row],[Revenue]]-[1]!Table1[[#This Row],[OperationalCost]]</f>
        <v>#REF!</v>
      </c>
      <c r="M782" t="str">
        <f t="shared" si="12"/>
        <v>Apr</v>
      </c>
      <c r="N782" s="15">
        <f>Table11[[#This Row],[SeatsSold]]/Table11[[#This Row],[SeatsAvailable]]</f>
        <v>0.54320987654320985</v>
      </c>
      <c r="O782" s="10"/>
    </row>
    <row r="783" spans="1:15" x14ac:dyDescent="0.3">
      <c r="A783" t="s">
        <v>899</v>
      </c>
      <c r="B783" t="s">
        <v>95</v>
      </c>
      <c r="C783" t="s">
        <v>3</v>
      </c>
      <c r="D783" t="s">
        <v>14</v>
      </c>
      <c r="E783" s="16">
        <v>46274</v>
      </c>
      <c r="F783">
        <v>97</v>
      </c>
      <c r="G783" t="s">
        <v>116</v>
      </c>
      <c r="H783">
        <v>121</v>
      </c>
      <c r="I783">
        <v>63</v>
      </c>
      <c r="J783">
        <v>520317</v>
      </c>
      <c r="K783">
        <v>24782</v>
      </c>
      <c r="L783" t="e">
        <f>[1]!Table1[[#This Row],[Revenue]]-[1]!Table1[[#This Row],[OperationalCost]]</f>
        <v>#REF!</v>
      </c>
      <c r="M783" t="str">
        <f t="shared" si="12"/>
        <v>Sep</v>
      </c>
      <c r="N783" s="15">
        <f>Table11[[#This Row],[SeatsSold]]/Table11[[#This Row],[SeatsAvailable]]</f>
        <v>0.52066115702479343</v>
      </c>
      <c r="O783" s="10"/>
    </row>
    <row r="784" spans="1:15" x14ac:dyDescent="0.3">
      <c r="A784" t="s">
        <v>900</v>
      </c>
      <c r="B784" t="s">
        <v>44</v>
      </c>
      <c r="C784" t="s">
        <v>14</v>
      </c>
      <c r="D784" t="s">
        <v>21</v>
      </c>
      <c r="E784" s="16">
        <v>46251</v>
      </c>
      <c r="F784">
        <v>134</v>
      </c>
      <c r="G784" t="s">
        <v>118</v>
      </c>
      <c r="H784">
        <v>111</v>
      </c>
      <c r="I784">
        <v>104</v>
      </c>
      <c r="J784">
        <v>672048</v>
      </c>
      <c r="K784">
        <v>58341</v>
      </c>
      <c r="L784" t="e">
        <f>[1]!Table1[[#This Row],[Revenue]]-[1]!Table1[[#This Row],[OperationalCost]]</f>
        <v>#REF!</v>
      </c>
      <c r="M784" t="str">
        <f t="shared" si="12"/>
        <v>Aug</v>
      </c>
      <c r="N784" s="15">
        <f>Table11[[#This Row],[SeatsSold]]/Table11[[#This Row],[SeatsAvailable]]</f>
        <v>0.93693693693693691</v>
      </c>
      <c r="O784" s="10"/>
    </row>
    <row r="785" spans="1:15" x14ac:dyDescent="0.3">
      <c r="A785" t="s">
        <v>901</v>
      </c>
      <c r="B785" t="s">
        <v>95</v>
      </c>
      <c r="C785" t="s">
        <v>3</v>
      </c>
      <c r="D785" t="s">
        <v>14</v>
      </c>
      <c r="E785" s="16">
        <v>46250</v>
      </c>
      <c r="F785">
        <v>240</v>
      </c>
      <c r="G785" t="s">
        <v>122</v>
      </c>
      <c r="H785">
        <v>205</v>
      </c>
      <c r="I785">
        <v>95</v>
      </c>
      <c r="J785">
        <v>535610</v>
      </c>
      <c r="K785">
        <v>71295</v>
      </c>
      <c r="L785" t="e">
        <f>[1]!Table1[[#This Row],[Revenue]]-[1]!Table1[[#This Row],[OperationalCost]]</f>
        <v>#REF!</v>
      </c>
      <c r="M785" t="str">
        <f t="shared" si="12"/>
        <v>Aug</v>
      </c>
      <c r="N785" s="15">
        <f>Table11[[#This Row],[SeatsSold]]/Table11[[#This Row],[SeatsAvailable]]</f>
        <v>0.46341463414634149</v>
      </c>
      <c r="O785" s="10"/>
    </row>
    <row r="786" spans="1:15" x14ac:dyDescent="0.3">
      <c r="A786" t="s">
        <v>902</v>
      </c>
      <c r="B786" t="s">
        <v>99</v>
      </c>
      <c r="C786" t="s">
        <v>11</v>
      </c>
      <c r="D786" t="s">
        <v>20</v>
      </c>
      <c r="E786" s="16">
        <v>45759</v>
      </c>
      <c r="F786">
        <v>99</v>
      </c>
      <c r="G786" t="s">
        <v>116</v>
      </c>
      <c r="H786">
        <v>191</v>
      </c>
      <c r="I786">
        <v>133</v>
      </c>
      <c r="J786">
        <v>735889</v>
      </c>
      <c r="K786">
        <v>43405</v>
      </c>
      <c r="L786" t="e">
        <f>[1]!Table1[[#This Row],[Revenue]]-[1]!Table1[[#This Row],[OperationalCost]]</f>
        <v>#REF!</v>
      </c>
      <c r="M786" t="str">
        <f t="shared" si="12"/>
        <v>Apr</v>
      </c>
      <c r="N786" s="15">
        <f>Table11[[#This Row],[SeatsSold]]/Table11[[#This Row],[SeatsAvailable]]</f>
        <v>0.69633507853403143</v>
      </c>
      <c r="O786" s="10"/>
    </row>
    <row r="787" spans="1:15" x14ac:dyDescent="0.3">
      <c r="A787" t="s">
        <v>903</v>
      </c>
      <c r="B787" t="s">
        <v>40</v>
      </c>
      <c r="C787" t="s">
        <v>14</v>
      </c>
      <c r="D787" t="s">
        <v>17</v>
      </c>
      <c r="E787" s="16">
        <v>46046</v>
      </c>
      <c r="F787">
        <v>153</v>
      </c>
      <c r="G787" t="s">
        <v>113</v>
      </c>
      <c r="H787">
        <v>201</v>
      </c>
      <c r="I787">
        <v>98</v>
      </c>
      <c r="J787">
        <v>899346</v>
      </c>
      <c r="K787">
        <v>54804</v>
      </c>
      <c r="L787" t="e">
        <f>[1]!Table1[[#This Row],[Revenue]]-[1]!Table1[[#This Row],[OperationalCost]]</f>
        <v>#REF!</v>
      </c>
      <c r="M787" t="str">
        <f t="shared" si="12"/>
        <v>Jan</v>
      </c>
      <c r="N787" s="15">
        <f>Table11[[#This Row],[SeatsSold]]/Table11[[#This Row],[SeatsAvailable]]</f>
        <v>0.48756218905472637</v>
      </c>
      <c r="O787" s="10"/>
    </row>
    <row r="788" spans="1:15" x14ac:dyDescent="0.3">
      <c r="A788" t="s">
        <v>904</v>
      </c>
      <c r="B788" t="s">
        <v>8</v>
      </c>
      <c r="C788" t="s">
        <v>3</v>
      </c>
      <c r="D788" t="s">
        <v>11</v>
      </c>
      <c r="E788" s="16">
        <v>45770</v>
      </c>
      <c r="F788">
        <v>178</v>
      </c>
      <c r="G788" t="s">
        <v>113</v>
      </c>
      <c r="H788">
        <v>196</v>
      </c>
      <c r="I788">
        <v>132</v>
      </c>
      <c r="J788">
        <v>953436</v>
      </c>
      <c r="K788">
        <v>64276</v>
      </c>
      <c r="L788" t="e">
        <f>[1]!Table1[[#This Row],[Revenue]]-[1]!Table1[[#This Row],[OperationalCost]]</f>
        <v>#REF!</v>
      </c>
      <c r="M788" t="str">
        <f t="shared" si="12"/>
        <v>Apr</v>
      </c>
      <c r="N788" s="15">
        <f>Table11[[#This Row],[SeatsSold]]/Table11[[#This Row],[SeatsAvailable]]</f>
        <v>0.67346938775510201</v>
      </c>
      <c r="O788" s="10"/>
    </row>
    <row r="789" spans="1:15" x14ac:dyDescent="0.3">
      <c r="A789" t="s">
        <v>905</v>
      </c>
      <c r="B789" t="s">
        <v>56</v>
      </c>
      <c r="C789" t="s">
        <v>3</v>
      </c>
      <c r="D789" t="s">
        <v>17</v>
      </c>
      <c r="E789" s="16">
        <v>46163</v>
      </c>
      <c r="F789">
        <v>74</v>
      </c>
      <c r="G789" t="s">
        <v>120</v>
      </c>
      <c r="H789">
        <v>142</v>
      </c>
      <c r="I789">
        <v>98</v>
      </c>
      <c r="J789">
        <v>745878</v>
      </c>
      <c r="K789">
        <v>49236</v>
      </c>
      <c r="L789" t="e">
        <f>[1]!Table1[[#This Row],[Revenue]]-[1]!Table1[[#This Row],[OperationalCost]]</f>
        <v>#REF!</v>
      </c>
      <c r="M789" t="str">
        <f t="shared" si="12"/>
        <v>May</v>
      </c>
      <c r="N789" s="15">
        <f>Table11[[#This Row],[SeatsSold]]/Table11[[#This Row],[SeatsAvailable]]</f>
        <v>0.6901408450704225</v>
      </c>
      <c r="O789" s="10"/>
    </row>
    <row r="790" spans="1:15" x14ac:dyDescent="0.3">
      <c r="A790" t="s">
        <v>906</v>
      </c>
      <c r="B790" t="s">
        <v>67</v>
      </c>
      <c r="C790" t="s">
        <v>9</v>
      </c>
      <c r="D790" t="s">
        <v>15</v>
      </c>
      <c r="E790" s="16">
        <v>46075</v>
      </c>
      <c r="F790">
        <v>119</v>
      </c>
      <c r="G790" t="s">
        <v>120</v>
      </c>
      <c r="H790">
        <v>118</v>
      </c>
      <c r="I790">
        <v>48</v>
      </c>
      <c r="J790">
        <v>494064</v>
      </c>
      <c r="K790">
        <v>55399</v>
      </c>
      <c r="L790" t="e">
        <f>[1]!Table1[[#This Row],[Revenue]]-[1]!Table1[[#This Row],[OperationalCost]]</f>
        <v>#REF!</v>
      </c>
      <c r="M790" t="str">
        <f t="shared" si="12"/>
        <v>Feb</v>
      </c>
      <c r="N790" s="15">
        <f>Table11[[#This Row],[SeatsSold]]/Table11[[#This Row],[SeatsAvailable]]</f>
        <v>0.40677966101694918</v>
      </c>
      <c r="O790" s="10"/>
    </row>
    <row r="791" spans="1:15" x14ac:dyDescent="0.3">
      <c r="A791" t="s">
        <v>907</v>
      </c>
      <c r="B791" t="s">
        <v>39</v>
      </c>
      <c r="C791" t="s">
        <v>14</v>
      </c>
      <c r="D791" t="s">
        <v>20</v>
      </c>
      <c r="E791" s="16">
        <v>46348</v>
      </c>
      <c r="F791">
        <v>170</v>
      </c>
      <c r="G791" t="s">
        <v>122</v>
      </c>
      <c r="H791">
        <v>171</v>
      </c>
      <c r="I791">
        <v>152</v>
      </c>
      <c r="J791">
        <v>1681576</v>
      </c>
      <c r="K791">
        <v>66231</v>
      </c>
      <c r="L791" t="e">
        <f>[1]!Table1[[#This Row],[Revenue]]-[1]!Table1[[#This Row],[OperationalCost]]</f>
        <v>#REF!</v>
      </c>
      <c r="M791" t="str">
        <f t="shared" si="12"/>
        <v>Nov</v>
      </c>
      <c r="N791" s="15">
        <f>Table11[[#This Row],[SeatsSold]]/Table11[[#This Row],[SeatsAvailable]]</f>
        <v>0.88888888888888884</v>
      </c>
      <c r="O791" s="10"/>
    </row>
    <row r="792" spans="1:15" x14ac:dyDescent="0.3">
      <c r="A792" t="s">
        <v>908</v>
      </c>
      <c r="B792" t="s">
        <v>93</v>
      </c>
      <c r="C792" t="s">
        <v>3</v>
      </c>
      <c r="D792" t="s">
        <v>9</v>
      </c>
      <c r="E792" s="16">
        <v>46062</v>
      </c>
      <c r="F792">
        <v>147</v>
      </c>
      <c r="G792" t="s">
        <v>116</v>
      </c>
      <c r="H792">
        <v>96</v>
      </c>
      <c r="I792">
        <v>87</v>
      </c>
      <c r="J792">
        <v>457968</v>
      </c>
      <c r="K792">
        <v>36600</v>
      </c>
      <c r="L792" t="e">
        <f>[1]!Table1[[#This Row],[Revenue]]-[1]!Table1[[#This Row],[OperationalCost]]</f>
        <v>#REF!</v>
      </c>
      <c r="M792" t="str">
        <f t="shared" si="12"/>
        <v>Feb</v>
      </c>
      <c r="N792" s="15">
        <f>Table11[[#This Row],[SeatsSold]]/Table11[[#This Row],[SeatsAvailable]]</f>
        <v>0.90625</v>
      </c>
      <c r="O792" s="10"/>
    </row>
    <row r="793" spans="1:15" x14ac:dyDescent="0.3">
      <c r="A793" t="s">
        <v>909</v>
      </c>
      <c r="B793" t="s">
        <v>43</v>
      </c>
      <c r="C793" t="s">
        <v>9</v>
      </c>
      <c r="D793" t="s">
        <v>17</v>
      </c>
      <c r="E793" s="16">
        <v>45863</v>
      </c>
      <c r="F793">
        <v>197</v>
      </c>
      <c r="G793" t="s">
        <v>120</v>
      </c>
      <c r="H793">
        <v>101</v>
      </c>
      <c r="I793">
        <v>54</v>
      </c>
      <c r="J793">
        <v>510732</v>
      </c>
      <c r="K793">
        <v>63910</v>
      </c>
      <c r="L793" t="e">
        <f>[1]!Table1[[#This Row],[Revenue]]-[1]!Table1[[#This Row],[OperationalCost]]</f>
        <v>#REF!</v>
      </c>
      <c r="M793" t="str">
        <f t="shared" si="12"/>
        <v>Jul</v>
      </c>
      <c r="N793" s="15">
        <f>Table11[[#This Row],[SeatsSold]]/Table11[[#This Row],[SeatsAvailable]]</f>
        <v>0.53465346534653468</v>
      </c>
      <c r="O793" s="10"/>
    </row>
    <row r="794" spans="1:15" x14ac:dyDescent="0.3">
      <c r="A794" t="s">
        <v>910</v>
      </c>
      <c r="B794" t="s">
        <v>91</v>
      </c>
      <c r="C794" t="s">
        <v>15</v>
      </c>
      <c r="D794" t="s">
        <v>19</v>
      </c>
      <c r="E794" s="16">
        <v>46317</v>
      </c>
      <c r="F794">
        <v>147</v>
      </c>
      <c r="G794" t="s">
        <v>118</v>
      </c>
      <c r="H794">
        <v>191</v>
      </c>
      <c r="I794">
        <v>143</v>
      </c>
      <c r="J794">
        <v>1492634</v>
      </c>
      <c r="K794">
        <v>65591</v>
      </c>
      <c r="L794" t="e">
        <f>[1]!Table1[[#This Row],[Revenue]]-[1]!Table1[[#This Row],[OperationalCost]]</f>
        <v>#REF!</v>
      </c>
      <c r="M794" t="str">
        <f t="shared" si="12"/>
        <v>Oct</v>
      </c>
      <c r="N794" s="15">
        <f>Table11[[#This Row],[SeatsSold]]/Table11[[#This Row],[SeatsAvailable]]</f>
        <v>0.74869109947643975</v>
      </c>
      <c r="O794" s="10"/>
    </row>
    <row r="795" spans="1:15" x14ac:dyDescent="0.3">
      <c r="A795" t="s">
        <v>911</v>
      </c>
      <c r="B795" t="s">
        <v>50</v>
      </c>
      <c r="C795" t="s">
        <v>14</v>
      </c>
      <c r="D795" t="s">
        <v>11</v>
      </c>
      <c r="E795" s="16">
        <v>45768</v>
      </c>
      <c r="F795">
        <v>76</v>
      </c>
      <c r="G795" t="s">
        <v>118</v>
      </c>
      <c r="H795">
        <v>195</v>
      </c>
      <c r="I795">
        <v>167</v>
      </c>
      <c r="J795">
        <v>1048927</v>
      </c>
      <c r="K795">
        <v>43510</v>
      </c>
      <c r="L795" t="e">
        <f>[1]!Table1[[#This Row],[Revenue]]-[1]!Table1[[#This Row],[OperationalCost]]</f>
        <v>#REF!</v>
      </c>
      <c r="M795" t="str">
        <f t="shared" si="12"/>
        <v>Apr</v>
      </c>
      <c r="N795" s="15">
        <f>Table11[[#This Row],[SeatsSold]]/Table11[[#This Row],[SeatsAvailable]]</f>
        <v>0.85641025641025637</v>
      </c>
      <c r="O795" s="10"/>
    </row>
    <row r="796" spans="1:15" x14ac:dyDescent="0.3">
      <c r="A796" t="s">
        <v>912</v>
      </c>
      <c r="B796" t="s">
        <v>71</v>
      </c>
      <c r="C796" t="s">
        <v>20</v>
      </c>
      <c r="D796" t="s">
        <v>14</v>
      </c>
      <c r="E796" s="16">
        <v>45712</v>
      </c>
      <c r="F796">
        <v>62</v>
      </c>
      <c r="G796" t="s">
        <v>120</v>
      </c>
      <c r="H796">
        <v>76</v>
      </c>
      <c r="I796">
        <v>51</v>
      </c>
      <c r="J796">
        <v>447219</v>
      </c>
      <c r="K796">
        <v>29376</v>
      </c>
      <c r="L796" t="e">
        <f>[1]!Table1[[#This Row],[Revenue]]-[1]!Table1[[#This Row],[OperationalCost]]</f>
        <v>#REF!</v>
      </c>
      <c r="M796" t="str">
        <f t="shared" si="12"/>
        <v>Feb</v>
      </c>
      <c r="N796" s="15">
        <f>Table11[[#This Row],[SeatsSold]]/Table11[[#This Row],[SeatsAvailable]]</f>
        <v>0.67105263157894735</v>
      </c>
      <c r="O796" s="10"/>
    </row>
    <row r="797" spans="1:15" x14ac:dyDescent="0.3">
      <c r="A797" t="s">
        <v>913</v>
      </c>
      <c r="B797" t="s">
        <v>44</v>
      </c>
      <c r="C797" t="s">
        <v>14</v>
      </c>
      <c r="D797" t="s">
        <v>21</v>
      </c>
      <c r="E797" s="16">
        <v>46294</v>
      </c>
      <c r="F797">
        <v>204</v>
      </c>
      <c r="G797" t="s">
        <v>122</v>
      </c>
      <c r="H797">
        <v>89</v>
      </c>
      <c r="I797">
        <v>82</v>
      </c>
      <c r="J797">
        <v>903476</v>
      </c>
      <c r="K797">
        <v>67895</v>
      </c>
      <c r="L797" t="e">
        <f>[1]!Table1[[#This Row],[Revenue]]-[1]!Table1[[#This Row],[OperationalCost]]</f>
        <v>#REF!</v>
      </c>
      <c r="M797" t="str">
        <f t="shared" si="12"/>
        <v>Sep</v>
      </c>
      <c r="N797" s="15">
        <f>Table11[[#This Row],[SeatsSold]]/Table11[[#This Row],[SeatsAvailable]]</f>
        <v>0.9213483146067416</v>
      </c>
      <c r="O797" s="10"/>
    </row>
    <row r="798" spans="1:15" x14ac:dyDescent="0.3">
      <c r="A798" t="s">
        <v>914</v>
      </c>
      <c r="B798" t="s">
        <v>4</v>
      </c>
      <c r="C798" t="s">
        <v>9</v>
      </c>
      <c r="D798" t="s">
        <v>21</v>
      </c>
      <c r="E798" s="16">
        <v>46335</v>
      </c>
      <c r="F798">
        <v>172</v>
      </c>
      <c r="G798" t="s">
        <v>120</v>
      </c>
      <c r="H798">
        <v>199</v>
      </c>
      <c r="I798">
        <v>106</v>
      </c>
      <c r="J798">
        <v>1207022</v>
      </c>
      <c r="K798">
        <v>78986</v>
      </c>
      <c r="L798" t="e">
        <f>[1]!Table1[[#This Row],[Revenue]]-[1]!Table1[[#This Row],[OperationalCost]]</f>
        <v>#REF!</v>
      </c>
      <c r="M798" t="str">
        <f t="shared" si="12"/>
        <v>Nov</v>
      </c>
      <c r="N798" s="15">
        <f>Table11[[#This Row],[SeatsSold]]/Table11[[#This Row],[SeatsAvailable]]</f>
        <v>0.53266331658291455</v>
      </c>
      <c r="O798" s="10"/>
    </row>
    <row r="799" spans="1:15" x14ac:dyDescent="0.3">
      <c r="A799" t="s">
        <v>915</v>
      </c>
      <c r="B799" t="s">
        <v>99</v>
      </c>
      <c r="C799" t="s">
        <v>11</v>
      </c>
      <c r="D799" t="s">
        <v>20</v>
      </c>
      <c r="E799" s="16">
        <v>45690</v>
      </c>
      <c r="F799">
        <v>155</v>
      </c>
      <c r="G799" t="s">
        <v>122</v>
      </c>
      <c r="H799">
        <v>168</v>
      </c>
      <c r="I799">
        <v>155</v>
      </c>
      <c r="J799">
        <v>1186215</v>
      </c>
      <c r="K799">
        <v>65904</v>
      </c>
      <c r="L799" t="e">
        <f>[1]!Table1[[#This Row],[Revenue]]-[1]!Table1[[#This Row],[OperationalCost]]</f>
        <v>#REF!</v>
      </c>
      <c r="M799" t="str">
        <f t="shared" si="12"/>
        <v>Feb</v>
      </c>
      <c r="N799" s="15">
        <f>Table11[[#This Row],[SeatsSold]]/Table11[[#This Row],[SeatsAvailable]]</f>
        <v>0.92261904761904767</v>
      </c>
      <c r="O799" s="10"/>
    </row>
    <row r="800" spans="1:15" x14ac:dyDescent="0.3">
      <c r="A800" t="s">
        <v>916</v>
      </c>
      <c r="B800" t="s">
        <v>65</v>
      </c>
      <c r="C800" t="s">
        <v>6</v>
      </c>
      <c r="D800" t="s">
        <v>20</v>
      </c>
      <c r="E800" s="16">
        <v>45691</v>
      </c>
      <c r="F800">
        <v>90</v>
      </c>
      <c r="G800" t="s">
        <v>116</v>
      </c>
      <c r="H800">
        <v>147</v>
      </c>
      <c r="I800">
        <v>130</v>
      </c>
      <c r="J800">
        <v>674570</v>
      </c>
      <c r="K800">
        <v>49980</v>
      </c>
      <c r="L800" t="e">
        <f>[1]!Table1[[#This Row],[Revenue]]-[1]!Table1[[#This Row],[OperationalCost]]</f>
        <v>#REF!</v>
      </c>
      <c r="M800" t="str">
        <f t="shared" si="12"/>
        <v>Feb</v>
      </c>
      <c r="N800" s="15">
        <f>Table11[[#This Row],[SeatsSold]]/Table11[[#This Row],[SeatsAvailable]]</f>
        <v>0.88435374149659862</v>
      </c>
      <c r="O800" s="10"/>
    </row>
    <row r="801" spans="1:15" x14ac:dyDescent="0.3">
      <c r="A801" t="s">
        <v>917</v>
      </c>
      <c r="B801" t="s">
        <v>44</v>
      </c>
      <c r="C801" t="s">
        <v>14</v>
      </c>
      <c r="D801" t="s">
        <v>21</v>
      </c>
      <c r="E801" s="16">
        <v>46056</v>
      </c>
      <c r="F801">
        <v>169</v>
      </c>
      <c r="G801" t="s">
        <v>122</v>
      </c>
      <c r="H801">
        <v>215</v>
      </c>
      <c r="I801">
        <v>212</v>
      </c>
      <c r="J801">
        <v>2233844</v>
      </c>
      <c r="K801">
        <v>96187</v>
      </c>
      <c r="L801" t="e">
        <f>[1]!Table1[[#This Row],[Revenue]]-[1]!Table1[[#This Row],[OperationalCost]]</f>
        <v>#REF!</v>
      </c>
      <c r="M801" t="str">
        <f t="shared" si="12"/>
        <v>Feb</v>
      </c>
      <c r="N801" s="15">
        <f>Table11[[#This Row],[SeatsSold]]/Table11[[#This Row],[SeatsAvailable]]</f>
        <v>0.98604651162790702</v>
      </c>
      <c r="O801" s="10"/>
    </row>
    <row r="802" spans="1:15" x14ac:dyDescent="0.3">
      <c r="A802" t="s">
        <v>918</v>
      </c>
      <c r="B802" t="s">
        <v>68</v>
      </c>
      <c r="C802" t="s">
        <v>11</v>
      </c>
      <c r="D802" t="s">
        <v>6</v>
      </c>
      <c r="E802" s="16">
        <v>46145</v>
      </c>
      <c r="F802">
        <v>188</v>
      </c>
      <c r="G802" t="s">
        <v>113</v>
      </c>
      <c r="H802">
        <v>199</v>
      </c>
      <c r="I802">
        <v>54</v>
      </c>
      <c r="J802">
        <v>481248</v>
      </c>
      <c r="K802">
        <v>76150</v>
      </c>
      <c r="L802" t="e">
        <f>[1]!Table1[[#This Row],[Revenue]]-[1]!Table1[[#This Row],[OperationalCost]]</f>
        <v>#REF!</v>
      </c>
      <c r="M802" t="str">
        <f t="shared" si="12"/>
        <v>May</v>
      </c>
      <c r="N802" s="15">
        <f>Table11[[#This Row],[SeatsSold]]/Table11[[#This Row],[SeatsAvailable]]</f>
        <v>0.271356783919598</v>
      </c>
      <c r="O802" s="10"/>
    </row>
    <row r="803" spans="1:15" x14ac:dyDescent="0.3">
      <c r="A803" t="s">
        <v>919</v>
      </c>
      <c r="B803" t="s">
        <v>108</v>
      </c>
      <c r="C803" t="s">
        <v>15</v>
      </c>
      <c r="D803" t="s">
        <v>17</v>
      </c>
      <c r="E803" s="16">
        <v>46289</v>
      </c>
      <c r="F803">
        <v>218</v>
      </c>
      <c r="G803" t="s">
        <v>118</v>
      </c>
      <c r="H803">
        <v>142</v>
      </c>
      <c r="I803">
        <v>81</v>
      </c>
      <c r="J803">
        <v>283986</v>
      </c>
      <c r="K803">
        <v>60488</v>
      </c>
      <c r="L803" t="e">
        <f>[1]!Table1[[#This Row],[Revenue]]-[1]!Table1[[#This Row],[OperationalCost]]</f>
        <v>#REF!</v>
      </c>
      <c r="M803" t="str">
        <f t="shared" si="12"/>
        <v>Sep</v>
      </c>
      <c r="N803" s="15">
        <f>Table11[[#This Row],[SeatsSold]]/Table11[[#This Row],[SeatsAvailable]]</f>
        <v>0.57042253521126762</v>
      </c>
      <c r="O803" s="10"/>
    </row>
    <row r="804" spans="1:15" x14ac:dyDescent="0.3">
      <c r="A804" t="s">
        <v>920</v>
      </c>
      <c r="B804" t="s">
        <v>74</v>
      </c>
      <c r="C804" t="s">
        <v>20</v>
      </c>
      <c r="D804" t="s">
        <v>9</v>
      </c>
      <c r="E804" s="16">
        <v>46033</v>
      </c>
      <c r="F804">
        <v>134</v>
      </c>
      <c r="G804" t="s">
        <v>116</v>
      </c>
      <c r="H804">
        <v>76</v>
      </c>
      <c r="I804">
        <v>61</v>
      </c>
      <c r="J804">
        <v>532835</v>
      </c>
      <c r="K804">
        <v>33660</v>
      </c>
      <c r="L804" t="e">
        <f>[1]!Table1[[#This Row],[Revenue]]-[1]!Table1[[#This Row],[OperationalCost]]</f>
        <v>#REF!</v>
      </c>
      <c r="M804" t="str">
        <f t="shared" si="12"/>
        <v>Jan</v>
      </c>
      <c r="N804" s="15">
        <f>Table11[[#This Row],[SeatsSold]]/Table11[[#This Row],[SeatsAvailable]]</f>
        <v>0.80263157894736847</v>
      </c>
      <c r="O804" s="10"/>
    </row>
    <row r="805" spans="1:15" x14ac:dyDescent="0.3">
      <c r="A805" t="s">
        <v>921</v>
      </c>
      <c r="B805" t="s">
        <v>52</v>
      </c>
      <c r="C805" t="s">
        <v>21</v>
      </c>
      <c r="D805" t="s">
        <v>17</v>
      </c>
      <c r="E805" s="16">
        <v>46079</v>
      </c>
      <c r="F805">
        <v>134</v>
      </c>
      <c r="G805" t="s">
        <v>122</v>
      </c>
      <c r="H805">
        <v>132</v>
      </c>
      <c r="I805">
        <v>71</v>
      </c>
      <c r="J805">
        <v>450424</v>
      </c>
      <c r="K805">
        <v>59178</v>
      </c>
      <c r="L805" t="e">
        <f>[1]!Table1[[#This Row],[Revenue]]-[1]!Table1[[#This Row],[OperationalCost]]</f>
        <v>#REF!</v>
      </c>
      <c r="M805" t="str">
        <f t="shared" si="12"/>
        <v>Feb</v>
      </c>
      <c r="N805" s="15">
        <f>Table11[[#This Row],[SeatsSold]]/Table11[[#This Row],[SeatsAvailable]]</f>
        <v>0.53787878787878785</v>
      </c>
      <c r="O805" s="10"/>
    </row>
    <row r="806" spans="1:15" x14ac:dyDescent="0.3">
      <c r="A806" t="s">
        <v>922</v>
      </c>
      <c r="B806" t="s">
        <v>111</v>
      </c>
      <c r="C806" t="s">
        <v>15</v>
      </c>
      <c r="D806" t="s">
        <v>3</v>
      </c>
      <c r="E806" s="16">
        <v>46362</v>
      </c>
      <c r="F806">
        <v>61</v>
      </c>
      <c r="G806" t="s">
        <v>118</v>
      </c>
      <c r="H806">
        <v>99</v>
      </c>
      <c r="I806">
        <v>61</v>
      </c>
      <c r="J806">
        <v>322141</v>
      </c>
      <c r="K806">
        <v>29108</v>
      </c>
      <c r="L806" t="e">
        <f>[1]!Table1[[#This Row],[Revenue]]-[1]!Table1[[#This Row],[OperationalCost]]</f>
        <v>#REF!</v>
      </c>
      <c r="M806" t="str">
        <f t="shared" si="12"/>
        <v>Dec</v>
      </c>
      <c r="N806" s="15">
        <f>Table11[[#This Row],[SeatsSold]]/Table11[[#This Row],[SeatsAvailable]]</f>
        <v>0.61616161616161613</v>
      </c>
      <c r="O806" s="10"/>
    </row>
    <row r="807" spans="1:15" x14ac:dyDescent="0.3">
      <c r="A807" t="s">
        <v>923</v>
      </c>
      <c r="B807" t="s">
        <v>69</v>
      </c>
      <c r="C807" t="s">
        <v>21</v>
      </c>
      <c r="D807" t="s">
        <v>20</v>
      </c>
      <c r="E807" s="16">
        <v>46129</v>
      </c>
      <c r="F807">
        <v>213</v>
      </c>
      <c r="G807" t="s">
        <v>120</v>
      </c>
      <c r="H807">
        <v>215</v>
      </c>
      <c r="I807">
        <v>171</v>
      </c>
      <c r="J807">
        <v>1607400</v>
      </c>
      <c r="K807">
        <v>58319</v>
      </c>
      <c r="L807" t="e">
        <f>[1]!Table1[[#This Row],[Revenue]]-[1]!Table1[[#This Row],[OperationalCost]]</f>
        <v>#REF!</v>
      </c>
      <c r="M807" t="str">
        <f t="shared" si="12"/>
        <v>Apr</v>
      </c>
      <c r="N807" s="15">
        <f>Table11[[#This Row],[SeatsSold]]/Table11[[#This Row],[SeatsAvailable]]</f>
        <v>0.79534883720930227</v>
      </c>
      <c r="O807" s="10"/>
    </row>
    <row r="808" spans="1:15" x14ac:dyDescent="0.3">
      <c r="A808" t="s">
        <v>924</v>
      </c>
      <c r="B808" t="s">
        <v>65</v>
      </c>
      <c r="C808" t="s">
        <v>6</v>
      </c>
      <c r="D808" t="s">
        <v>20</v>
      </c>
      <c r="E808" s="16">
        <v>45982</v>
      </c>
      <c r="F808">
        <v>141</v>
      </c>
      <c r="G808" t="s">
        <v>116</v>
      </c>
      <c r="H808">
        <v>169</v>
      </c>
      <c r="I808">
        <v>122</v>
      </c>
      <c r="J808">
        <v>1449360</v>
      </c>
      <c r="K808">
        <v>55090</v>
      </c>
      <c r="L808" t="e">
        <f>[1]!Table1[[#This Row],[Revenue]]-[1]!Table1[[#This Row],[OperationalCost]]</f>
        <v>#REF!</v>
      </c>
      <c r="M808" t="str">
        <f t="shared" si="12"/>
        <v>Nov</v>
      </c>
      <c r="N808" s="15">
        <f>Table11[[#This Row],[SeatsSold]]/Table11[[#This Row],[SeatsAvailable]]</f>
        <v>0.72189349112426038</v>
      </c>
      <c r="O808" s="10"/>
    </row>
    <row r="809" spans="1:15" x14ac:dyDescent="0.3">
      <c r="A809" t="s">
        <v>925</v>
      </c>
      <c r="B809" t="s">
        <v>98</v>
      </c>
      <c r="C809" t="s">
        <v>3</v>
      </c>
      <c r="D809" t="s">
        <v>19</v>
      </c>
      <c r="E809" s="16">
        <v>46002</v>
      </c>
      <c r="F809">
        <v>172</v>
      </c>
      <c r="G809" t="s">
        <v>116</v>
      </c>
      <c r="H809">
        <v>156</v>
      </c>
      <c r="I809">
        <v>61</v>
      </c>
      <c r="J809">
        <v>451827</v>
      </c>
      <c r="K809">
        <v>66432</v>
      </c>
      <c r="L809" t="e">
        <f>[1]!Table1[[#This Row],[Revenue]]-[1]!Table1[[#This Row],[OperationalCost]]</f>
        <v>#REF!</v>
      </c>
      <c r="M809" t="str">
        <f t="shared" si="12"/>
        <v>Dec</v>
      </c>
      <c r="N809" s="15">
        <f>Table11[[#This Row],[SeatsSold]]/Table11[[#This Row],[SeatsAvailable]]</f>
        <v>0.39102564102564102</v>
      </c>
      <c r="O809" s="10"/>
    </row>
    <row r="810" spans="1:15" x14ac:dyDescent="0.3">
      <c r="A810" t="s">
        <v>926</v>
      </c>
      <c r="B810" t="s">
        <v>2</v>
      </c>
      <c r="C810" t="s">
        <v>9</v>
      </c>
      <c r="D810" t="s">
        <v>11</v>
      </c>
      <c r="E810" s="16">
        <v>46308</v>
      </c>
      <c r="F810">
        <v>64</v>
      </c>
      <c r="G810" t="s">
        <v>116</v>
      </c>
      <c r="H810">
        <v>124</v>
      </c>
      <c r="I810">
        <v>76</v>
      </c>
      <c r="J810">
        <v>520144</v>
      </c>
      <c r="K810">
        <v>27792</v>
      </c>
      <c r="L810" t="e">
        <f>[1]!Table1[[#This Row],[Revenue]]-[1]!Table1[[#This Row],[OperationalCost]]</f>
        <v>#REF!</v>
      </c>
      <c r="M810" t="str">
        <f t="shared" si="12"/>
        <v>Oct</v>
      </c>
      <c r="N810" s="15">
        <f>Table11[[#This Row],[SeatsSold]]/Table11[[#This Row],[SeatsAvailable]]</f>
        <v>0.61290322580645162</v>
      </c>
      <c r="O810" s="10"/>
    </row>
    <row r="811" spans="1:15" x14ac:dyDescent="0.3">
      <c r="A811" t="s">
        <v>927</v>
      </c>
      <c r="B811" t="s">
        <v>108</v>
      </c>
      <c r="C811" t="s">
        <v>15</v>
      </c>
      <c r="D811" t="s">
        <v>17</v>
      </c>
      <c r="E811" s="16">
        <v>45889</v>
      </c>
      <c r="F811">
        <v>204</v>
      </c>
      <c r="G811" t="s">
        <v>122</v>
      </c>
      <c r="H811">
        <v>218</v>
      </c>
      <c r="I811">
        <v>64</v>
      </c>
      <c r="J811">
        <v>513152</v>
      </c>
      <c r="K811">
        <v>59702</v>
      </c>
      <c r="L811" t="e">
        <f>[1]!Table1[[#This Row],[Revenue]]-[1]!Table1[[#This Row],[OperationalCost]]</f>
        <v>#REF!</v>
      </c>
      <c r="M811" t="str">
        <f t="shared" si="12"/>
        <v>Aug</v>
      </c>
      <c r="N811" s="15">
        <f>Table11[[#This Row],[SeatsSold]]/Table11[[#This Row],[SeatsAvailable]]</f>
        <v>0.29357798165137616</v>
      </c>
      <c r="O811" s="10"/>
    </row>
    <row r="812" spans="1:15" x14ac:dyDescent="0.3">
      <c r="A812" t="s">
        <v>928</v>
      </c>
      <c r="B812" t="s">
        <v>110</v>
      </c>
      <c r="C812" t="s">
        <v>15</v>
      </c>
      <c r="D812" t="s">
        <v>11</v>
      </c>
      <c r="E812" s="16">
        <v>46144</v>
      </c>
      <c r="F812">
        <v>154</v>
      </c>
      <c r="G812" t="s">
        <v>113</v>
      </c>
      <c r="H812">
        <v>158</v>
      </c>
      <c r="I812">
        <v>141</v>
      </c>
      <c r="J812">
        <v>529596</v>
      </c>
      <c r="K812">
        <v>68850</v>
      </c>
      <c r="L812" t="e">
        <f>[1]!Table1[[#This Row],[Revenue]]-[1]!Table1[[#This Row],[OperationalCost]]</f>
        <v>#REF!</v>
      </c>
      <c r="M812" t="str">
        <f t="shared" si="12"/>
        <v>May</v>
      </c>
      <c r="N812" s="15">
        <f>Table11[[#This Row],[SeatsSold]]/Table11[[#This Row],[SeatsAvailable]]</f>
        <v>0.89240506329113922</v>
      </c>
      <c r="O812" s="10"/>
    </row>
    <row r="813" spans="1:15" x14ac:dyDescent="0.3">
      <c r="A813" t="s">
        <v>929</v>
      </c>
      <c r="B813" t="s">
        <v>88</v>
      </c>
      <c r="C813" t="s">
        <v>11</v>
      </c>
      <c r="D813" t="s">
        <v>19</v>
      </c>
      <c r="E813" s="16">
        <v>46101</v>
      </c>
      <c r="F813">
        <v>214</v>
      </c>
      <c r="G813" t="s">
        <v>116</v>
      </c>
      <c r="H813">
        <v>150</v>
      </c>
      <c r="I813">
        <v>65</v>
      </c>
      <c r="J813">
        <v>603720</v>
      </c>
      <c r="K813">
        <v>69108</v>
      </c>
      <c r="L813" t="e">
        <f>[1]!Table1[[#This Row],[Revenue]]-[1]!Table1[[#This Row],[OperationalCost]]</f>
        <v>#REF!</v>
      </c>
      <c r="M813" t="str">
        <f t="shared" si="12"/>
        <v>Mar</v>
      </c>
      <c r="N813" s="15">
        <f>Table11[[#This Row],[SeatsSold]]/Table11[[#This Row],[SeatsAvailable]]</f>
        <v>0.43333333333333335</v>
      </c>
      <c r="O813" s="10"/>
    </row>
    <row r="814" spans="1:15" x14ac:dyDescent="0.3">
      <c r="A814" t="s">
        <v>930</v>
      </c>
      <c r="B814" t="s">
        <v>110</v>
      </c>
      <c r="C814" t="s">
        <v>15</v>
      </c>
      <c r="D814" t="s">
        <v>11</v>
      </c>
      <c r="E814" s="16">
        <v>46122</v>
      </c>
      <c r="F814">
        <v>216</v>
      </c>
      <c r="G814" t="s">
        <v>116</v>
      </c>
      <c r="H814">
        <v>116</v>
      </c>
      <c r="I814">
        <v>42</v>
      </c>
      <c r="J814">
        <v>460194</v>
      </c>
      <c r="K814">
        <v>62404</v>
      </c>
      <c r="L814" t="e">
        <f>[1]!Table1[[#This Row],[Revenue]]-[1]!Table1[[#This Row],[OperationalCost]]</f>
        <v>#REF!</v>
      </c>
      <c r="M814" t="str">
        <f t="shared" si="12"/>
        <v>Apr</v>
      </c>
      <c r="N814" s="15">
        <f>Table11[[#This Row],[SeatsSold]]/Table11[[#This Row],[SeatsAvailable]]</f>
        <v>0.36206896551724138</v>
      </c>
      <c r="O814" s="10"/>
    </row>
    <row r="815" spans="1:15" x14ac:dyDescent="0.3">
      <c r="A815" t="s">
        <v>931</v>
      </c>
      <c r="B815" t="s">
        <v>62</v>
      </c>
      <c r="C815" t="s">
        <v>6</v>
      </c>
      <c r="D815" t="s">
        <v>9</v>
      </c>
      <c r="E815" s="16">
        <v>46334</v>
      </c>
      <c r="F815">
        <v>235</v>
      </c>
      <c r="G815" t="s">
        <v>120</v>
      </c>
      <c r="H815">
        <v>138</v>
      </c>
      <c r="I815">
        <v>121</v>
      </c>
      <c r="J815">
        <v>1358588</v>
      </c>
      <c r="K815">
        <v>91453</v>
      </c>
      <c r="L815" t="e">
        <f>[1]!Table1[[#This Row],[Revenue]]-[1]!Table1[[#This Row],[OperationalCost]]</f>
        <v>#REF!</v>
      </c>
      <c r="M815" t="str">
        <f t="shared" si="12"/>
        <v>Nov</v>
      </c>
      <c r="N815" s="15">
        <f>Table11[[#This Row],[SeatsSold]]/Table11[[#This Row],[SeatsAvailable]]</f>
        <v>0.87681159420289856</v>
      </c>
      <c r="O815" s="10"/>
    </row>
    <row r="816" spans="1:15" x14ac:dyDescent="0.3">
      <c r="A816" t="s">
        <v>932</v>
      </c>
      <c r="B816" t="s">
        <v>64</v>
      </c>
      <c r="C816" t="s">
        <v>15</v>
      </c>
      <c r="D816" t="s">
        <v>20</v>
      </c>
      <c r="E816" s="16">
        <v>46192</v>
      </c>
      <c r="F816">
        <v>96</v>
      </c>
      <c r="G816" t="s">
        <v>118</v>
      </c>
      <c r="H816">
        <v>188</v>
      </c>
      <c r="I816">
        <v>77</v>
      </c>
      <c r="J816">
        <v>495726</v>
      </c>
      <c r="K816">
        <v>44496</v>
      </c>
      <c r="L816" t="e">
        <f>[1]!Table1[[#This Row],[Revenue]]-[1]!Table1[[#This Row],[OperationalCost]]</f>
        <v>#REF!</v>
      </c>
      <c r="M816" t="str">
        <f t="shared" si="12"/>
        <v>Jun</v>
      </c>
      <c r="N816" s="15">
        <f>Table11[[#This Row],[SeatsSold]]/Table11[[#This Row],[SeatsAvailable]]</f>
        <v>0.40957446808510639</v>
      </c>
      <c r="O816" s="10"/>
    </row>
    <row r="817" spans="1:15" x14ac:dyDescent="0.3">
      <c r="A817" t="s">
        <v>933</v>
      </c>
      <c r="B817" t="s">
        <v>77</v>
      </c>
      <c r="C817" t="s">
        <v>17</v>
      </c>
      <c r="D817" t="s">
        <v>6</v>
      </c>
      <c r="E817" s="16">
        <v>45984</v>
      </c>
      <c r="F817">
        <v>61</v>
      </c>
      <c r="G817" t="s">
        <v>113</v>
      </c>
      <c r="H817">
        <v>175</v>
      </c>
      <c r="I817">
        <v>108</v>
      </c>
      <c r="J817">
        <v>777816</v>
      </c>
      <c r="K817">
        <v>38560</v>
      </c>
      <c r="L817" t="e">
        <f>[1]!Table1[[#This Row],[Revenue]]-[1]!Table1[[#This Row],[OperationalCost]]</f>
        <v>#REF!</v>
      </c>
      <c r="M817" t="str">
        <f t="shared" si="12"/>
        <v>Nov</v>
      </c>
      <c r="N817" s="15">
        <f>Table11[[#This Row],[SeatsSold]]/Table11[[#This Row],[SeatsAvailable]]</f>
        <v>0.6171428571428571</v>
      </c>
      <c r="O817" s="10"/>
    </row>
    <row r="818" spans="1:15" x14ac:dyDescent="0.3">
      <c r="A818" t="s">
        <v>934</v>
      </c>
      <c r="B818" t="s">
        <v>87</v>
      </c>
      <c r="C818" t="s">
        <v>19</v>
      </c>
      <c r="D818" t="s">
        <v>9</v>
      </c>
      <c r="E818" s="16">
        <v>46073</v>
      </c>
      <c r="F818">
        <v>106</v>
      </c>
      <c r="G818" t="s">
        <v>122</v>
      </c>
      <c r="H818">
        <v>108</v>
      </c>
      <c r="I818">
        <v>64</v>
      </c>
      <c r="J818">
        <v>188992</v>
      </c>
      <c r="K818">
        <v>36464</v>
      </c>
      <c r="L818" t="e">
        <f>[1]!Table1[[#This Row],[Revenue]]-[1]!Table1[[#This Row],[OperationalCost]]</f>
        <v>#REF!</v>
      </c>
      <c r="M818" t="str">
        <f t="shared" si="12"/>
        <v>Feb</v>
      </c>
      <c r="N818" s="15">
        <f>Table11[[#This Row],[SeatsSold]]/Table11[[#This Row],[SeatsAvailable]]</f>
        <v>0.59259259259259256</v>
      </c>
      <c r="O818" s="10"/>
    </row>
    <row r="819" spans="1:15" x14ac:dyDescent="0.3">
      <c r="A819" t="s">
        <v>935</v>
      </c>
      <c r="B819" t="s">
        <v>36</v>
      </c>
      <c r="C819" t="s">
        <v>6</v>
      </c>
      <c r="D819" t="s">
        <v>11</v>
      </c>
      <c r="E819" s="16">
        <v>46231</v>
      </c>
      <c r="F819">
        <v>156</v>
      </c>
      <c r="G819" t="s">
        <v>120</v>
      </c>
      <c r="H819">
        <v>79</v>
      </c>
      <c r="I819">
        <v>52</v>
      </c>
      <c r="J819">
        <v>265720</v>
      </c>
      <c r="K819">
        <v>38490</v>
      </c>
      <c r="L819" t="e">
        <f>[1]!Table1[[#This Row],[Revenue]]-[1]!Table1[[#This Row],[OperationalCost]]</f>
        <v>#REF!</v>
      </c>
      <c r="M819" t="str">
        <f t="shared" si="12"/>
        <v>Jul</v>
      </c>
      <c r="N819" s="15">
        <f>Table11[[#This Row],[SeatsSold]]/Table11[[#This Row],[SeatsAvailable]]</f>
        <v>0.65822784810126578</v>
      </c>
      <c r="O819" s="10"/>
    </row>
    <row r="820" spans="1:15" x14ac:dyDescent="0.3">
      <c r="A820" t="s">
        <v>936</v>
      </c>
      <c r="B820" t="s">
        <v>76</v>
      </c>
      <c r="C820" t="s">
        <v>20</v>
      </c>
      <c r="D820" t="s">
        <v>21</v>
      </c>
      <c r="E820" s="16">
        <v>45942</v>
      </c>
      <c r="F820">
        <v>213</v>
      </c>
      <c r="G820" t="s">
        <v>116</v>
      </c>
      <c r="H820">
        <v>115</v>
      </c>
      <c r="I820">
        <v>45</v>
      </c>
      <c r="J820">
        <v>470700</v>
      </c>
      <c r="K820">
        <v>37435</v>
      </c>
      <c r="L820" t="e">
        <f>[1]!Table1[[#This Row],[Revenue]]-[1]!Table1[[#This Row],[OperationalCost]]</f>
        <v>#REF!</v>
      </c>
      <c r="M820" t="str">
        <f t="shared" si="12"/>
        <v>Oct</v>
      </c>
      <c r="N820" s="15">
        <f>Table11[[#This Row],[SeatsSold]]/Table11[[#This Row],[SeatsAvailable]]</f>
        <v>0.39130434782608697</v>
      </c>
      <c r="O820" s="10"/>
    </row>
    <row r="821" spans="1:15" x14ac:dyDescent="0.3">
      <c r="A821" t="s">
        <v>937</v>
      </c>
      <c r="B821" t="s">
        <v>56</v>
      </c>
      <c r="C821" t="s">
        <v>3</v>
      </c>
      <c r="D821" t="s">
        <v>17</v>
      </c>
      <c r="E821" s="16">
        <v>46274</v>
      </c>
      <c r="F821">
        <v>121</v>
      </c>
      <c r="G821" t="s">
        <v>122</v>
      </c>
      <c r="H821">
        <v>174</v>
      </c>
      <c r="I821">
        <v>133</v>
      </c>
      <c r="J821">
        <v>529207</v>
      </c>
      <c r="K821">
        <v>46751</v>
      </c>
      <c r="L821" t="e">
        <f>[1]!Table1[[#This Row],[Revenue]]-[1]!Table1[[#This Row],[OperationalCost]]</f>
        <v>#REF!</v>
      </c>
      <c r="M821" t="str">
        <f t="shared" si="12"/>
        <v>Sep</v>
      </c>
      <c r="N821" s="15">
        <f>Table11[[#This Row],[SeatsSold]]/Table11[[#This Row],[SeatsAvailable]]</f>
        <v>0.76436781609195403</v>
      </c>
      <c r="O821" s="10"/>
    </row>
    <row r="822" spans="1:15" x14ac:dyDescent="0.3">
      <c r="A822" t="s">
        <v>938</v>
      </c>
      <c r="B822" t="s">
        <v>7</v>
      </c>
      <c r="C822" t="s">
        <v>9</v>
      </c>
      <c r="D822" t="s">
        <v>3</v>
      </c>
      <c r="E822" s="16">
        <v>46242</v>
      </c>
      <c r="F822">
        <v>233</v>
      </c>
      <c r="G822" t="s">
        <v>116</v>
      </c>
      <c r="H822">
        <v>100</v>
      </c>
      <c r="I822">
        <v>73</v>
      </c>
      <c r="J822">
        <v>810665</v>
      </c>
      <c r="K822">
        <v>63572</v>
      </c>
      <c r="L822" t="e">
        <f>[1]!Table1[[#This Row],[Revenue]]-[1]!Table1[[#This Row],[OperationalCost]]</f>
        <v>#REF!</v>
      </c>
      <c r="M822" t="str">
        <f t="shared" si="12"/>
        <v>Aug</v>
      </c>
      <c r="N822" s="15">
        <f>Table11[[#This Row],[SeatsSold]]/Table11[[#This Row],[SeatsAvailable]]</f>
        <v>0.73</v>
      </c>
      <c r="O822" s="10"/>
    </row>
    <row r="823" spans="1:15" x14ac:dyDescent="0.3">
      <c r="A823" t="s">
        <v>939</v>
      </c>
      <c r="B823" t="s">
        <v>98</v>
      </c>
      <c r="C823" t="s">
        <v>3</v>
      </c>
      <c r="D823" t="s">
        <v>19</v>
      </c>
      <c r="E823" s="16">
        <v>46272</v>
      </c>
      <c r="F823">
        <v>76</v>
      </c>
      <c r="G823" t="s">
        <v>118</v>
      </c>
      <c r="H823">
        <v>154</v>
      </c>
      <c r="I823">
        <v>146</v>
      </c>
      <c r="J823">
        <v>1297648</v>
      </c>
      <c r="K823">
        <v>42632</v>
      </c>
      <c r="L823" t="e">
        <f>[1]!Table1[[#This Row],[Revenue]]-[1]!Table1[[#This Row],[OperationalCost]]</f>
        <v>#REF!</v>
      </c>
      <c r="M823" t="str">
        <f t="shared" si="12"/>
        <v>Sep</v>
      </c>
      <c r="N823" s="15">
        <f>Table11[[#This Row],[SeatsSold]]/Table11[[#This Row],[SeatsAvailable]]</f>
        <v>0.94805194805194803</v>
      </c>
      <c r="O823" s="10"/>
    </row>
    <row r="824" spans="1:15" x14ac:dyDescent="0.3">
      <c r="A824" t="s">
        <v>940</v>
      </c>
      <c r="B824" t="s">
        <v>59</v>
      </c>
      <c r="C824" t="s">
        <v>9</v>
      </c>
      <c r="D824" t="s">
        <v>14</v>
      </c>
      <c r="E824" s="16">
        <v>45767</v>
      </c>
      <c r="F824">
        <v>89</v>
      </c>
      <c r="G824" t="s">
        <v>113</v>
      </c>
      <c r="H824">
        <v>140</v>
      </c>
      <c r="I824">
        <v>96</v>
      </c>
      <c r="J824">
        <v>882240</v>
      </c>
      <c r="K824">
        <v>48665</v>
      </c>
      <c r="L824" t="e">
        <f>[1]!Table1[[#This Row],[Revenue]]-[1]!Table1[[#This Row],[OperationalCost]]</f>
        <v>#REF!</v>
      </c>
      <c r="M824" t="str">
        <f t="shared" si="12"/>
        <v>Apr</v>
      </c>
      <c r="N824" s="15">
        <f>Table11[[#This Row],[SeatsSold]]/Table11[[#This Row],[SeatsAvailable]]</f>
        <v>0.68571428571428572</v>
      </c>
      <c r="O824" s="10"/>
    </row>
    <row r="825" spans="1:15" x14ac:dyDescent="0.3">
      <c r="A825" t="s">
        <v>941</v>
      </c>
      <c r="B825" t="s">
        <v>78</v>
      </c>
      <c r="C825" t="s">
        <v>20</v>
      </c>
      <c r="D825" t="s">
        <v>11</v>
      </c>
      <c r="E825" s="16">
        <v>46204</v>
      </c>
      <c r="F825">
        <v>140</v>
      </c>
      <c r="G825" t="s">
        <v>122</v>
      </c>
      <c r="H825">
        <v>151</v>
      </c>
      <c r="I825">
        <v>109</v>
      </c>
      <c r="J825">
        <v>1029287</v>
      </c>
      <c r="K825">
        <v>55333</v>
      </c>
      <c r="L825" t="e">
        <f>[1]!Table1[[#This Row],[Revenue]]-[1]!Table1[[#This Row],[OperationalCost]]</f>
        <v>#REF!</v>
      </c>
      <c r="M825" t="str">
        <f t="shared" si="12"/>
        <v>Jul</v>
      </c>
      <c r="N825" s="15">
        <f>Table11[[#This Row],[SeatsSold]]/Table11[[#This Row],[SeatsAvailable]]</f>
        <v>0.72185430463576161</v>
      </c>
      <c r="O825" s="10"/>
    </row>
    <row r="826" spans="1:15" x14ac:dyDescent="0.3">
      <c r="A826" t="s">
        <v>942</v>
      </c>
      <c r="B826" t="s">
        <v>112</v>
      </c>
      <c r="C826" t="s">
        <v>19</v>
      </c>
      <c r="D826" t="s">
        <v>14</v>
      </c>
      <c r="E826" s="16">
        <v>46029</v>
      </c>
      <c r="F826">
        <v>166</v>
      </c>
      <c r="G826" t="s">
        <v>118</v>
      </c>
      <c r="H826">
        <v>148</v>
      </c>
      <c r="I826">
        <v>42</v>
      </c>
      <c r="J826">
        <v>128940</v>
      </c>
      <c r="K826">
        <v>61738</v>
      </c>
      <c r="L826" t="e">
        <f>[1]!Table1[[#This Row],[Revenue]]-[1]!Table1[[#This Row],[OperationalCost]]</f>
        <v>#REF!</v>
      </c>
      <c r="M826" t="str">
        <f t="shared" si="12"/>
        <v>Jan</v>
      </c>
      <c r="N826" s="15">
        <f>Table11[[#This Row],[SeatsSold]]/Table11[[#This Row],[SeatsAvailable]]</f>
        <v>0.28378378378378377</v>
      </c>
      <c r="O826" s="10"/>
    </row>
    <row r="827" spans="1:15" x14ac:dyDescent="0.3">
      <c r="A827" t="s">
        <v>943</v>
      </c>
      <c r="B827" t="s">
        <v>4</v>
      </c>
      <c r="C827" t="s">
        <v>9</v>
      </c>
      <c r="D827" t="s">
        <v>21</v>
      </c>
      <c r="E827" s="16">
        <v>46223</v>
      </c>
      <c r="F827">
        <v>143</v>
      </c>
      <c r="G827" t="s">
        <v>118</v>
      </c>
      <c r="H827">
        <v>162</v>
      </c>
      <c r="I827">
        <v>155</v>
      </c>
      <c r="J827">
        <v>697345</v>
      </c>
      <c r="K827">
        <v>59288</v>
      </c>
      <c r="L827" t="e">
        <f>[1]!Table1[[#This Row],[Revenue]]-[1]!Table1[[#This Row],[OperationalCost]]</f>
        <v>#REF!</v>
      </c>
      <c r="M827" t="str">
        <f t="shared" si="12"/>
        <v>Jul</v>
      </c>
      <c r="N827" s="15">
        <f>Table11[[#This Row],[SeatsSold]]/Table11[[#This Row],[SeatsAvailable]]</f>
        <v>0.95679012345679015</v>
      </c>
      <c r="O827" s="10"/>
    </row>
    <row r="828" spans="1:15" x14ac:dyDescent="0.3">
      <c r="A828" t="s">
        <v>944</v>
      </c>
      <c r="B828" t="s">
        <v>66</v>
      </c>
      <c r="C828" t="s">
        <v>6</v>
      </c>
      <c r="D828" t="s">
        <v>17</v>
      </c>
      <c r="E828" s="16">
        <v>45666</v>
      </c>
      <c r="F828">
        <v>145</v>
      </c>
      <c r="G828" t="s">
        <v>118</v>
      </c>
      <c r="H828">
        <v>147</v>
      </c>
      <c r="I828">
        <v>51</v>
      </c>
      <c r="J828">
        <v>324207</v>
      </c>
      <c r="K828">
        <v>47971</v>
      </c>
      <c r="L828" t="e">
        <f>[1]!Table1[[#This Row],[Revenue]]-[1]!Table1[[#This Row],[OperationalCost]]</f>
        <v>#REF!</v>
      </c>
      <c r="M828" t="str">
        <f t="shared" si="12"/>
        <v>Jan</v>
      </c>
      <c r="N828" s="15">
        <f>Table11[[#This Row],[SeatsSold]]/Table11[[#This Row],[SeatsAvailable]]</f>
        <v>0.34693877551020408</v>
      </c>
      <c r="O828" s="10"/>
    </row>
    <row r="829" spans="1:15" x14ac:dyDescent="0.3">
      <c r="A829" t="s">
        <v>945</v>
      </c>
      <c r="B829" t="s">
        <v>50</v>
      </c>
      <c r="C829" t="s">
        <v>14</v>
      </c>
      <c r="D829" t="s">
        <v>11</v>
      </c>
      <c r="E829" s="16">
        <v>46304</v>
      </c>
      <c r="F829">
        <v>126</v>
      </c>
      <c r="G829" t="s">
        <v>120</v>
      </c>
      <c r="H829">
        <v>78</v>
      </c>
      <c r="I829">
        <v>57</v>
      </c>
      <c r="J829">
        <v>217284</v>
      </c>
      <c r="K829">
        <v>46470</v>
      </c>
      <c r="L829" t="e">
        <f>[1]!Table1[[#This Row],[Revenue]]-[1]!Table1[[#This Row],[OperationalCost]]</f>
        <v>#REF!</v>
      </c>
      <c r="M829" t="str">
        <f t="shared" si="12"/>
        <v>Oct</v>
      </c>
      <c r="N829" s="15">
        <f>Table11[[#This Row],[SeatsSold]]/Table11[[#This Row],[SeatsAvailable]]</f>
        <v>0.73076923076923073</v>
      </c>
      <c r="O829" s="10"/>
    </row>
    <row r="830" spans="1:15" x14ac:dyDescent="0.3">
      <c r="A830" t="s">
        <v>946</v>
      </c>
      <c r="B830" t="s">
        <v>104</v>
      </c>
      <c r="C830" t="s">
        <v>17</v>
      </c>
      <c r="D830" t="s">
        <v>21</v>
      </c>
      <c r="E830" s="16">
        <v>46090</v>
      </c>
      <c r="F830">
        <v>70</v>
      </c>
      <c r="G830" t="s">
        <v>113</v>
      </c>
      <c r="H830">
        <v>136</v>
      </c>
      <c r="I830">
        <v>104</v>
      </c>
      <c r="J830">
        <v>373048</v>
      </c>
      <c r="K830">
        <v>40132</v>
      </c>
      <c r="L830" t="e">
        <f>[1]!Table1[[#This Row],[Revenue]]-[1]!Table1[[#This Row],[OperationalCost]]</f>
        <v>#REF!</v>
      </c>
      <c r="M830" t="str">
        <f t="shared" si="12"/>
        <v>Mar</v>
      </c>
      <c r="N830" s="15">
        <f>Table11[[#This Row],[SeatsSold]]/Table11[[#This Row],[SeatsAvailable]]</f>
        <v>0.76470588235294112</v>
      </c>
      <c r="O830" s="10"/>
    </row>
    <row r="831" spans="1:15" x14ac:dyDescent="0.3">
      <c r="A831" t="s">
        <v>947</v>
      </c>
      <c r="B831" t="s">
        <v>110</v>
      </c>
      <c r="C831" t="s">
        <v>15</v>
      </c>
      <c r="D831" t="s">
        <v>11</v>
      </c>
      <c r="E831" s="16">
        <v>45992</v>
      </c>
      <c r="F831">
        <v>161</v>
      </c>
      <c r="G831" t="s">
        <v>122</v>
      </c>
      <c r="H831">
        <v>83</v>
      </c>
      <c r="I831">
        <v>81</v>
      </c>
      <c r="J831">
        <v>446310</v>
      </c>
      <c r="K831">
        <v>61260</v>
      </c>
      <c r="L831" t="e">
        <f>[1]!Table1[[#This Row],[Revenue]]-[1]!Table1[[#This Row],[OperationalCost]]</f>
        <v>#REF!</v>
      </c>
      <c r="M831" t="str">
        <f t="shared" si="12"/>
        <v>Dec</v>
      </c>
      <c r="N831" s="15">
        <f>Table11[[#This Row],[SeatsSold]]/Table11[[#This Row],[SeatsAvailable]]</f>
        <v>0.97590361445783136</v>
      </c>
      <c r="O831" s="10"/>
    </row>
    <row r="832" spans="1:15" x14ac:dyDescent="0.3">
      <c r="A832" t="s">
        <v>948</v>
      </c>
      <c r="B832" t="s">
        <v>39</v>
      </c>
      <c r="C832" t="s">
        <v>14</v>
      </c>
      <c r="D832" t="s">
        <v>20</v>
      </c>
      <c r="E832" s="16">
        <v>46068</v>
      </c>
      <c r="F832">
        <v>96</v>
      </c>
      <c r="G832" t="s">
        <v>118</v>
      </c>
      <c r="H832">
        <v>150</v>
      </c>
      <c r="I832">
        <v>113</v>
      </c>
      <c r="J832">
        <v>434711</v>
      </c>
      <c r="K832">
        <v>32208</v>
      </c>
      <c r="L832" t="e">
        <f>[1]!Table1[[#This Row],[Revenue]]-[1]!Table1[[#This Row],[OperationalCost]]</f>
        <v>#REF!</v>
      </c>
      <c r="M832" t="str">
        <f t="shared" si="12"/>
        <v>Feb</v>
      </c>
      <c r="N832" s="15">
        <f>Table11[[#This Row],[SeatsSold]]/Table11[[#This Row],[SeatsAvailable]]</f>
        <v>0.7533333333333333</v>
      </c>
      <c r="O832" s="10"/>
    </row>
    <row r="833" spans="1:15" x14ac:dyDescent="0.3">
      <c r="A833" t="s">
        <v>949</v>
      </c>
      <c r="B833" t="s">
        <v>67</v>
      </c>
      <c r="C833" t="s">
        <v>9</v>
      </c>
      <c r="D833" t="s">
        <v>15</v>
      </c>
      <c r="E833" s="16">
        <v>46388</v>
      </c>
      <c r="F833">
        <v>211</v>
      </c>
      <c r="G833" t="s">
        <v>113</v>
      </c>
      <c r="H833">
        <v>175</v>
      </c>
      <c r="I833">
        <v>121</v>
      </c>
      <c r="J833">
        <v>1197537</v>
      </c>
      <c r="K833">
        <v>71012</v>
      </c>
      <c r="L833" t="e">
        <f>[1]!Table1[[#This Row],[Revenue]]-[1]!Table1[[#This Row],[OperationalCost]]</f>
        <v>#REF!</v>
      </c>
      <c r="M833" t="str">
        <f t="shared" ref="M833:M896" si="13">TEXT(E833,"MMM")</f>
        <v>Jan</v>
      </c>
      <c r="N833" s="15">
        <f>Table11[[#This Row],[SeatsSold]]/Table11[[#This Row],[SeatsAvailable]]</f>
        <v>0.69142857142857139</v>
      </c>
      <c r="O833" s="10"/>
    </row>
    <row r="834" spans="1:15" x14ac:dyDescent="0.3">
      <c r="A834" t="s">
        <v>950</v>
      </c>
      <c r="B834" t="s">
        <v>112</v>
      </c>
      <c r="C834" t="s">
        <v>19</v>
      </c>
      <c r="D834" t="s">
        <v>14</v>
      </c>
      <c r="E834" s="16">
        <v>46361</v>
      </c>
      <c r="F834">
        <v>196</v>
      </c>
      <c r="G834" t="s">
        <v>118</v>
      </c>
      <c r="H834">
        <v>142</v>
      </c>
      <c r="I834">
        <v>65</v>
      </c>
      <c r="J834">
        <v>252330</v>
      </c>
      <c r="K834">
        <v>69004</v>
      </c>
      <c r="L834" t="e">
        <f>[1]!Table1[[#This Row],[Revenue]]-[1]!Table1[[#This Row],[OperationalCost]]</f>
        <v>#REF!</v>
      </c>
      <c r="M834" t="str">
        <f t="shared" si="13"/>
        <v>Dec</v>
      </c>
      <c r="N834" s="15">
        <f>Table11[[#This Row],[SeatsSold]]/Table11[[#This Row],[SeatsAvailable]]</f>
        <v>0.45774647887323944</v>
      </c>
      <c r="O834" s="10"/>
    </row>
    <row r="835" spans="1:15" x14ac:dyDescent="0.3">
      <c r="A835" t="s">
        <v>951</v>
      </c>
      <c r="B835" t="s">
        <v>55</v>
      </c>
      <c r="C835" t="s">
        <v>14</v>
      </c>
      <c r="D835" t="s">
        <v>6</v>
      </c>
      <c r="E835" s="16">
        <v>46044</v>
      </c>
      <c r="F835">
        <v>191</v>
      </c>
      <c r="G835" t="s">
        <v>113</v>
      </c>
      <c r="H835">
        <v>75</v>
      </c>
      <c r="I835">
        <v>41</v>
      </c>
      <c r="J835">
        <v>477650</v>
      </c>
      <c r="K835">
        <v>72135</v>
      </c>
      <c r="L835" t="e">
        <f>[1]!Table1[[#This Row],[Revenue]]-[1]!Table1[[#This Row],[OperationalCost]]</f>
        <v>#REF!</v>
      </c>
      <c r="M835" t="str">
        <f t="shared" si="13"/>
        <v>Jan</v>
      </c>
      <c r="N835" s="15">
        <f>Table11[[#This Row],[SeatsSold]]/Table11[[#This Row],[SeatsAvailable]]</f>
        <v>0.54666666666666663</v>
      </c>
      <c r="O835" s="10"/>
    </row>
    <row r="836" spans="1:15" x14ac:dyDescent="0.3">
      <c r="A836" t="s">
        <v>952</v>
      </c>
      <c r="B836" t="s">
        <v>7</v>
      </c>
      <c r="C836" t="s">
        <v>9</v>
      </c>
      <c r="D836" t="s">
        <v>3</v>
      </c>
      <c r="E836" s="16">
        <v>46131</v>
      </c>
      <c r="F836">
        <v>95</v>
      </c>
      <c r="G836" t="s">
        <v>118</v>
      </c>
      <c r="H836">
        <v>113</v>
      </c>
      <c r="I836">
        <v>46</v>
      </c>
      <c r="J836">
        <v>417220</v>
      </c>
      <c r="K836">
        <v>47767</v>
      </c>
      <c r="L836" t="e">
        <f>[1]!Table1[[#This Row],[Revenue]]-[1]!Table1[[#This Row],[OperationalCost]]</f>
        <v>#REF!</v>
      </c>
      <c r="M836" t="str">
        <f t="shared" si="13"/>
        <v>Apr</v>
      </c>
      <c r="N836" s="15">
        <f>Table11[[#This Row],[SeatsSold]]/Table11[[#This Row],[SeatsAvailable]]</f>
        <v>0.40707964601769914</v>
      </c>
      <c r="O836" s="10"/>
    </row>
    <row r="837" spans="1:15" x14ac:dyDescent="0.3">
      <c r="A837" t="s">
        <v>953</v>
      </c>
      <c r="B837" t="s">
        <v>91</v>
      </c>
      <c r="C837" t="s">
        <v>15</v>
      </c>
      <c r="D837" t="s">
        <v>19</v>
      </c>
      <c r="E837" s="16">
        <v>45810</v>
      </c>
      <c r="F837">
        <v>67</v>
      </c>
      <c r="G837" t="s">
        <v>118</v>
      </c>
      <c r="H837">
        <v>113</v>
      </c>
      <c r="I837">
        <v>112</v>
      </c>
      <c r="J837">
        <v>495264</v>
      </c>
      <c r="K837">
        <v>32423</v>
      </c>
      <c r="L837" t="e">
        <f>[1]!Table1[[#This Row],[Revenue]]-[1]!Table1[[#This Row],[OperationalCost]]</f>
        <v>#REF!</v>
      </c>
      <c r="M837" t="str">
        <f t="shared" si="13"/>
        <v>Jun</v>
      </c>
      <c r="N837" s="15">
        <f>Table11[[#This Row],[SeatsSold]]/Table11[[#This Row],[SeatsAvailable]]</f>
        <v>0.99115044247787609</v>
      </c>
      <c r="O837" s="10"/>
    </row>
    <row r="838" spans="1:15" x14ac:dyDescent="0.3">
      <c r="A838" t="s">
        <v>954</v>
      </c>
      <c r="B838" t="s">
        <v>105</v>
      </c>
      <c r="C838" t="s">
        <v>17</v>
      </c>
      <c r="D838" t="s">
        <v>11</v>
      </c>
      <c r="E838" s="16">
        <v>46347</v>
      </c>
      <c r="F838">
        <v>171</v>
      </c>
      <c r="G838" t="s">
        <v>122</v>
      </c>
      <c r="H838">
        <v>127</v>
      </c>
      <c r="I838">
        <v>66</v>
      </c>
      <c r="J838">
        <v>370986</v>
      </c>
      <c r="K838">
        <v>51579</v>
      </c>
      <c r="L838" t="e">
        <f>[1]!Table1[[#This Row],[Revenue]]-[1]!Table1[[#This Row],[OperationalCost]]</f>
        <v>#REF!</v>
      </c>
      <c r="M838" t="str">
        <f t="shared" si="13"/>
        <v>Nov</v>
      </c>
      <c r="N838" s="15">
        <f>Table11[[#This Row],[SeatsSold]]/Table11[[#This Row],[SeatsAvailable]]</f>
        <v>0.51968503937007871</v>
      </c>
      <c r="O838" s="10"/>
    </row>
    <row r="839" spans="1:15" x14ac:dyDescent="0.3">
      <c r="A839" t="s">
        <v>955</v>
      </c>
      <c r="B839" t="s">
        <v>66</v>
      </c>
      <c r="C839" t="s">
        <v>6</v>
      </c>
      <c r="D839" t="s">
        <v>17</v>
      </c>
      <c r="E839" s="16">
        <v>45791</v>
      </c>
      <c r="F839">
        <v>155</v>
      </c>
      <c r="G839" t="s">
        <v>113</v>
      </c>
      <c r="H839">
        <v>125</v>
      </c>
      <c r="I839">
        <v>76</v>
      </c>
      <c r="J839">
        <v>425752</v>
      </c>
      <c r="K839">
        <v>50935</v>
      </c>
      <c r="L839" t="e">
        <f>[1]!Table1[[#This Row],[Revenue]]-[1]!Table1[[#This Row],[OperationalCost]]</f>
        <v>#REF!</v>
      </c>
      <c r="M839" t="str">
        <f t="shared" si="13"/>
        <v>May</v>
      </c>
      <c r="N839" s="15">
        <f>Table11[[#This Row],[SeatsSold]]/Table11[[#This Row],[SeatsAvailable]]</f>
        <v>0.60799999999999998</v>
      </c>
      <c r="O839" s="10"/>
    </row>
    <row r="840" spans="1:15" x14ac:dyDescent="0.3">
      <c r="A840" t="s">
        <v>956</v>
      </c>
      <c r="B840" t="s">
        <v>10</v>
      </c>
      <c r="C840" t="s">
        <v>17</v>
      </c>
      <c r="D840" t="s">
        <v>14</v>
      </c>
      <c r="E840" s="16">
        <v>45687</v>
      </c>
      <c r="F840">
        <v>119</v>
      </c>
      <c r="G840" t="s">
        <v>118</v>
      </c>
      <c r="H840">
        <v>130</v>
      </c>
      <c r="I840">
        <v>119</v>
      </c>
      <c r="J840">
        <v>1176672</v>
      </c>
      <c r="K840">
        <v>44397</v>
      </c>
      <c r="L840" t="e">
        <f>[1]!Table1[[#This Row],[Revenue]]-[1]!Table1[[#This Row],[OperationalCost]]</f>
        <v>#REF!</v>
      </c>
      <c r="M840" t="str">
        <f t="shared" si="13"/>
        <v>Jan</v>
      </c>
      <c r="N840" s="15">
        <f>Table11[[#This Row],[SeatsSold]]/Table11[[#This Row],[SeatsAvailable]]</f>
        <v>0.91538461538461535</v>
      </c>
      <c r="O840" s="10"/>
    </row>
    <row r="841" spans="1:15" x14ac:dyDescent="0.3">
      <c r="A841" t="s">
        <v>957</v>
      </c>
      <c r="B841" t="s">
        <v>90</v>
      </c>
      <c r="C841" t="s">
        <v>15</v>
      </c>
      <c r="D841" t="s">
        <v>6</v>
      </c>
      <c r="E841" s="16">
        <v>45745</v>
      </c>
      <c r="F841">
        <v>47</v>
      </c>
      <c r="G841" t="s">
        <v>120</v>
      </c>
      <c r="H841">
        <v>104</v>
      </c>
      <c r="I841">
        <v>81</v>
      </c>
      <c r="J841">
        <v>730053</v>
      </c>
      <c r="K841">
        <v>27801</v>
      </c>
      <c r="L841" t="e">
        <f>[1]!Table1[[#This Row],[Revenue]]-[1]!Table1[[#This Row],[OperationalCost]]</f>
        <v>#REF!</v>
      </c>
      <c r="M841" t="str">
        <f t="shared" si="13"/>
        <v>Mar</v>
      </c>
      <c r="N841" s="15">
        <f>Table11[[#This Row],[SeatsSold]]/Table11[[#This Row],[SeatsAvailable]]</f>
        <v>0.77884615384615385</v>
      </c>
      <c r="O841" s="10"/>
    </row>
    <row r="842" spans="1:15" x14ac:dyDescent="0.3">
      <c r="A842" t="s">
        <v>958</v>
      </c>
      <c r="B842" t="s">
        <v>77</v>
      </c>
      <c r="C842" t="s">
        <v>17</v>
      </c>
      <c r="D842" t="s">
        <v>6</v>
      </c>
      <c r="E842" s="16">
        <v>46269</v>
      </c>
      <c r="F842">
        <v>110</v>
      </c>
      <c r="G842" t="s">
        <v>122</v>
      </c>
      <c r="H842">
        <v>94</v>
      </c>
      <c r="I842">
        <v>75</v>
      </c>
      <c r="J842">
        <v>259650</v>
      </c>
      <c r="K842">
        <v>30140</v>
      </c>
      <c r="L842" t="e">
        <f>[1]!Table1[[#This Row],[Revenue]]-[1]!Table1[[#This Row],[OperationalCost]]</f>
        <v>#REF!</v>
      </c>
      <c r="M842" t="str">
        <f t="shared" si="13"/>
        <v>Sep</v>
      </c>
      <c r="N842" s="15">
        <f>Table11[[#This Row],[SeatsSold]]/Table11[[#This Row],[SeatsAvailable]]</f>
        <v>0.7978723404255319</v>
      </c>
      <c r="O842" s="10"/>
    </row>
    <row r="843" spans="1:15" x14ac:dyDescent="0.3">
      <c r="A843" t="s">
        <v>959</v>
      </c>
      <c r="B843" t="s">
        <v>2</v>
      </c>
      <c r="C843" t="s">
        <v>9</v>
      </c>
      <c r="D843" t="s">
        <v>11</v>
      </c>
      <c r="E843" s="16">
        <v>46020</v>
      </c>
      <c r="F843">
        <v>200</v>
      </c>
      <c r="G843" t="s">
        <v>116</v>
      </c>
      <c r="H843">
        <v>81</v>
      </c>
      <c r="I843">
        <v>40</v>
      </c>
      <c r="J843">
        <v>266200</v>
      </c>
      <c r="K843">
        <v>69078</v>
      </c>
      <c r="L843" t="e">
        <f>[1]!Table1[[#This Row],[Revenue]]-[1]!Table1[[#This Row],[OperationalCost]]</f>
        <v>#REF!</v>
      </c>
      <c r="M843" t="str">
        <f t="shared" si="13"/>
        <v>Dec</v>
      </c>
      <c r="N843" s="15">
        <f>Table11[[#This Row],[SeatsSold]]/Table11[[#This Row],[SeatsAvailable]]</f>
        <v>0.49382716049382713</v>
      </c>
      <c r="O843" s="10"/>
    </row>
    <row r="844" spans="1:15" x14ac:dyDescent="0.3">
      <c r="A844" t="s">
        <v>960</v>
      </c>
      <c r="B844" t="s">
        <v>107</v>
      </c>
      <c r="C844" t="s">
        <v>17</v>
      </c>
      <c r="D844" t="s">
        <v>19</v>
      </c>
      <c r="E844" s="16">
        <v>46062</v>
      </c>
      <c r="F844">
        <v>216</v>
      </c>
      <c r="G844" t="s">
        <v>118</v>
      </c>
      <c r="H844">
        <v>103</v>
      </c>
      <c r="I844">
        <v>45</v>
      </c>
      <c r="J844">
        <v>244710</v>
      </c>
      <c r="K844">
        <v>52845</v>
      </c>
      <c r="L844" t="e">
        <f>[1]!Table1[[#This Row],[Revenue]]-[1]!Table1[[#This Row],[OperationalCost]]</f>
        <v>#REF!</v>
      </c>
      <c r="M844" t="str">
        <f t="shared" si="13"/>
        <v>Feb</v>
      </c>
      <c r="N844" s="15">
        <f>Table11[[#This Row],[SeatsSold]]/Table11[[#This Row],[SeatsAvailable]]</f>
        <v>0.43689320388349512</v>
      </c>
      <c r="O844" s="10"/>
    </row>
    <row r="845" spans="1:15" x14ac:dyDescent="0.3">
      <c r="A845" t="s">
        <v>961</v>
      </c>
      <c r="B845" t="s">
        <v>68</v>
      </c>
      <c r="C845" t="s">
        <v>11</v>
      </c>
      <c r="D845" t="s">
        <v>6</v>
      </c>
      <c r="E845" s="16">
        <v>46005</v>
      </c>
      <c r="F845">
        <v>164</v>
      </c>
      <c r="G845" t="s">
        <v>113</v>
      </c>
      <c r="H845">
        <v>92</v>
      </c>
      <c r="I845">
        <v>60</v>
      </c>
      <c r="J845">
        <v>671400</v>
      </c>
      <c r="K845">
        <v>48392</v>
      </c>
      <c r="L845" t="e">
        <f>[1]!Table1[[#This Row],[Revenue]]-[1]!Table1[[#This Row],[OperationalCost]]</f>
        <v>#REF!</v>
      </c>
      <c r="M845" t="str">
        <f t="shared" si="13"/>
        <v>Dec</v>
      </c>
      <c r="N845" s="15">
        <f>Table11[[#This Row],[SeatsSold]]/Table11[[#This Row],[SeatsAvailable]]</f>
        <v>0.65217391304347827</v>
      </c>
      <c r="O845" s="10"/>
    </row>
    <row r="846" spans="1:15" x14ac:dyDescent="0.3">
      <c r="A846" t="s">
        <v>962</v>
      </c>
      <c r="B846" t="s">
        <v>51</v>
      </c>
      <c r="C846" t="s">
        <v>19</v>
      </c>
      <c r="D846" t="s">
        <v>3</v>
      </c>
      <c r="E846" s="16">
        <v>45978</v>
      </c>
      <c r="F846">
        <v>56</v>
      </c>
      <c r="G846" t="s">
        <v>113</v>
      </c>
      <c r="H846">
        <v>197</v>
      </c>
      <c r="I846">
        <v>111</v>
      </c>
      <c r="J846">
        <v>933177</v>
      </c>
      <c r="K846">
        <v>42824</v>
      </c>
      <c r="L846" t="e">
        <f>[1]!Table1[[#This Row],[Revenue]]-[1]!Table1[[#This Row],[OperationalCost]]</f>
        <v>#REF!</v>
      </c>
      <c r="M846" t="str">
        <f t="shared" si="13"/>
        <v>Nov</v>
      </c>
      <c r="N846" s="15">
        <f>Table11[[#This Row],[SeatsSold]]/Table11[[#This Row],[SeatsAvailable]]</f>
        <v>0.56345177664974622</v>
      </c>
      <c r="O846" s="10"/>
    </row>
    <row r="847" spans="1:15" x14ac:dyDescent="0.3">
      <c r="A847" t="s">
        <v>963</v>
      </c>
      <c r="B847" t="s">
        <v>109</v>
      </c>
      <c r="C847" t="s">
        <v>19</v>
      </c>
      <c r="D847" t="s">
        <v>21</v>
      </c>
      <c r="E847" s="16">
        <v>46187</v>
      </c>
      <c r="F847">
        <v>125</v>
      </c>
      <c r="G847" t="s">
        <v>120</v>
      </c>
      <c r="H847">
        <v>112</v>
      </c>
      <c r="I847">
        <v>80</v>
      </c>
      <c r="J847">
        <v>843920</v>
      </c>
      <c r="K847">
        <v>44614</v>
      </c>
      <c r="L847" t="e">
        <f>[1]!Table1[[#This Row],[Revenue]]-[1]!Table1[[#This Row],[OperationalCost]]</f>
        <v>#REF!</v>
      </c>
      <c r="M847" t="str">
        <f t="shared" si="13"/>
        <v>Jun</v>
      </c>
      <c r="N847" s="15">
        <f>Table11[[#This Row],[SeatsSold]]/Table11[[#This Row],[SeatsAvailable]]</f>
        <v>0.7142857142857143</v>
      </c>
      <c r="O847" s="10"/>
    </row>
    <row r="848" spans="1:15" x14ac:dyDescent="0.3">
      <c r="A848" t="s">
        <v>964</v>
      </c>
      <c r="B848" t="s">
        <v>65</v>
      </c>
      <c r="C848" t="s">
        <v>6</v>
      </c>
      <c r="D848" t="s">
        <v>20</v>
      </c>
      <c r="E848" s="16">
        <v>45851</v>
      </c>
      <c r="F848">
        <v>83</v>
      </c>
      <c r="G848" t="s">
        <v>122</v>
      </c>
      <c r="H848">
        <v>128</v>
      </c>
      <c r="I848">
        <v>63</v>
      </c>
      <c r="J848">
        <v>194481</v>
      </c>
      <c r="K848">
        <v>38608</v>
      </c>
      <c r="L848" t="e">
        <f>[1]!Table1[[#This Row],[Revenue]]-[1]!Table1[[#This Row],[OperationalCost]]</f>
        <v>#REF!</v>
      </c>
      <c r="M848" t="str">
        <f t="shared" si="13"/>
        <v>Jul</v>
      </c>
      <c r="N848" s="15">
        <f>Table11[[#This Row],[SeatsSold]]/Table11[[#This Row],[SeatsAvailable]]</f>
        <v>0.4921875</v>
      </c>
      <c r="O848" s="10"/>
    </row>
    <row r="849" spans="1:15" x14ac:dyDescent="0.3">
      <c r="A849" t="s">
        <v>965</v>
      </c>
      <c r="B849" t="s">
        <v>50</v>
      </c>
      <c r="C849" t="s">
        <v>14</v>
      </c>
      <c r="D849" t="s">
        <v>11</v>
      </c>
      <c r="E849" s="16">
        <v>46104</v>
      </c>
      <c r="F849">
        <v>74</v>
      </c>
      <c r="G849" t="s">
        <v>120</v>
      </c>
      <c r="H849">
        <v>80</v>
      </c>
      <c r="I849">
        <v>68</v>
      </c>
      <c r="J849">
        <v>567188</v>
      </c>
      <c r="K849">
        <v>35782</v>
      </c>
      <c r="L849" t="e">
        <f>[1]!Table1[[#This Row],[Revenue]]-[1]!Table1[[#This Row],[OperationalCost]]</f>
        <v>#REF!</v>
      </c>
      <c r="M849" t="str">
        <f t="shared" si="13"/>
        <v>Mar</v>
      </c>
      <c r="N849" s="15">
        <f>Table11[[#This Row],[SeatsSold]]/Table11[[#This Row],[SeatsAvailable]]</f>
        <v>0.85</v>
      </c>
      <c r="O849" s="10"/>
    </row>
    <row r="850" spans="1:15" x14ac:dyDescent="0.3">
      <c r="A850" t="s">
        <v>966</v>
      </c>
      <c r="B850" t="s">
        <v>36</v>
      </c>
      <c r="C850" t="s">
        <v>6</v>
      </c>
      <c r="D850" t="s">
        <v>11</v>
      </c>
      <c r="E850" s="16">
        <v>45773</v>
      </c>
      <c r="F850">
        <v>229</v>
      </c>
      <c r="G850" t="s">
        <v>113</v>
      </c>
      <c r="H850">
        <v>101</v>
      </c>
      <c r="I850">
        <v>62</v>
      </c>
      <c r="J850">
        <v>250046</v>
      </c>
      <c r="K850">
        <v>54740</v>
      </c>
      <c r="L850" t="e">
        <f>[1]!Table1[[#This Row],[Revenue]]-[1]!Table1[[#This Row],[OperationalCost]]</f>
        <v>#REF!</v>
      </c>
      <c r="M850" t="str">
        <f t="shared" si="13"/>
        <v>Apr</v>
      </c>
      <c r="N850" s="15">
        <f>Table11[[#This Row],[SeatsSold]]/Table11[[#This Row],[SeatsAvailable]]</f>
        <v>0.61386138613861385</v>
      </c>
      <c r="O850" s="10"/>
    </row>
    <row r="851" spans="1:15" x14ac:dyDescent="0.3">
      <c r="A851" t="s">
        <v>967</v>
      </c>
      <c r="B851" t="s">
        <v>34</v>
      </c>
      <c r="C851" t="s">
        <v>14</v>
      </c>
      <c r="D851" t="s">
        <v>9</v>
      </c>
      <c r="E851" s="16">
        <v>46178</v>
      </c>
      <c r="F851">
        <v>114</v>
      </c>
      <c r="G851" t="s">
        <v>116</v>
      </c>
      <c r="H851">
        <v>219</v>
      </c>
      <c r="I851">
        <v>94</v>
      </c>
      <c r="J851">
        <v>241298</v>
      </c>
      <c r="K851">
        <v>78450</v>
      </c>
      <c r="L851" t="e">
        <f>[1]!Table1[[#This Row],[Revenue]]-[1]!Table1[[#This Row],[OperationalCost]]</f>
        <v>#REF!</v>
      </c>
      <c r="M851" t="str">
        <f t="shared" si="13"/>
        <v>Jun</v>
      </c>
      <c r="N851" s="15">
        <f>Table11[[#This Row],[SeatsSold]]/Table11[[#This Row],[SeatsAvailable]]</f>
        <v>0.42922374429223742</v>
      </c>
      <c r="O851" s="10"/>
    </row>
    <row r="852" spans="1:15" x14ac:dyDescent="0.3">
      <c r="A852" t="s">
        <v>968</v>
      </c>
      <c r="B852" t="s">
        <v>55</v>
      </c>
      <c r="C852" t="s">
        <v>14</v>
      </c>
      <c r="D852" t="s">
        <v>6</v>
      </c>
      <c r="E852" s="16">
        <v>45736</v>
      </c>
      <c r="F852">
        <v>108</v>
      </c>
      <c r="G852" t="s">
        <v>120</v>
      </c>
      <c r="H852">
        <v>94</v>
      </c>
      <c r="I852">
        <v>61</v>
      </c>
      <c r="J852">
        <v>178425</v>
      </c>
      <c r="K852">
        <v>31170</v>
      </c>
      <c r="L852" t="e">
        <f>[1]!Table1[[#This Row],[Revenue]]-[1]!Table1[[#This Row],[OperationalCost]]</f>
        <v>#REF!</v>
      </c>
      <c r="M852" t="str">
        <f t="shared" si="13"/>
        <v>Mar</v>
      </c>
      <c r="N852" s="15">
        <f>Table11[[#This Row],[SeatsSold]]/Table11[[#This Row],[SeatsAvailable]]</f>
        <v>0.64893617021276595</v>
      </c>
      <c r="O852" s="10"/>
    </row>
    <row r="853" spans="1:15" x14ac:dyDescent="0.3">
      <c r="A853" t="s">
        <v>969</v>
      </c>
      <c r="B853" t="s">
        <v>104</v>
      </c>
      <c r="C853" t="s">
        <v>17</v>
      </c>
      <c r="D853" t="s">
        <v>21</v>
      </c>
      <c r="E853" s="16">
        <v>46262</v>
      </c>
      <c r="F853">
        <v>72</v>
      </c>
      <c r="G853" t="s">
        <v>118</v>
      </c>
      <c r="H853">
        <v>109</v>
      </c>
      <c r="I853">
        <v>43</v>
      </c>
      <c r="J853">
        <v>164604</v>
      </c>
      <c r="K853">
        <v>44096</v>
      </c>
      <c r="L853" t="e">
        <f>[1]!Table1[[#This Row],[Revenue]]-[1]!Table1[[#This Row],[OperationalCost]]</f>
        <v>#REF!</v>
      </c>
      <c r="M853" t="str">
        <f t="shared" si="13"/>
        <v>Aug</v>
      </c>
      <c r="N853" s="15">
        <f>Table11[[#This Row],[SeatsSold]]/Table11[[#This Row],[SeatsAvailable]]</f>
        <v>0.39449541284403672</v>
      </c>
      <c r="O853" s="10"/>
    </row>
    <row r="854" spans="1:15" x14ac:dyDescent="0.3">
      <c r="A854" t="s">
        <v>970</v>
      </c>
      <c r="B854" t="s">
        <v>36</v>
      </c>
      <c r="C854" t="s">
        <v>6</v>
      </c>
      <c r="D854" t="s">
        <v>11</v>
      </c>
      <c r="E854" s="16">
        <v>46301</v>
      </c>
      <c r="F854">
        <v>113</v>
      </c>
      <c r="G854" t="s">
        <v>116</v>
      </c>
      <c r="H854">
        <v>71</v>
      </c>
      <c r="I854">
        <v>61</v>
      </c>
      <c r="J854">
        <v>196298</v>
      </c>
      <c r="K854">
        <v>49400</v>
      </c>
      <c r="L854" t="e">
        <f>[1]!Table1[[#This Row],[Revenue]]-[1]!Table1[[#This Row],[OperationalCost]]</f>
        <v>#REF!</v>
      </c>
      <c r="M854" t="str">
        <f t="shared" si="13"/>
        <v>Oct</v>
      </c>
      <c r="N854" s="15">
        <f>Table11[[#This Row],[SeatsSold]]/Table11[[#This Row],[SeatsAvailable]]</f>
        <v>0.85915492957746475</v>
      </c>
      <c r="O854" s="10"/>
    </row>
    <row r="855" spans="1:15" x14ac:dyDescent="0.3">
      <c r="A855" t="s">
        <v>971</v>
      </c>
      <c r="B855" t="s">
        <v>16</v>
      </c>
      <c r="C855" t="s">
        <v>6</v>
      </c>
      <c r="D855" t="s">
        <v>21</v>
      </c>
      <c r="E855" s="16">
        <v>46240</v>
      </c>
      <c r="F855">
        <v>78</v>
      </c>
      <c r="G855" t="s">
        <v>113</v>
      </c>
      <c r="H855">
        <v>82</v>
      </c>
      <c r="I855">
        <v>81</v>
      </c>
      <c r="J855">
        <v>577935</v>
      </c>
      <c r="K855">
        <v>23464</v>
      </c>
      <c r="L855" t="e">
        <f>[1]!Table1[[#This Row],[Revenue]]-[1]!Table1[[#This Row],[OperationalCost]]</f>
        <v>#REF!</v>
      </c>
      <c r="M855" t="str">
        <f t="shared" si="13"/>
        <v>Aug</v>
      </c>
      <c r="N855" s="15">
        <f>Table11[[#This Row],[SeatsSold]]/Table11[[#This Row],[SeatsAvailable]]</f>
        <v>0.98780487804878048</v>
      </c>
      <c r="O855" s="10"/>
    </row>
    <row r="856" spans="1:15" x14ac:dyDescent="0.3">
      <c r="A856" t="s">
        <v>972</v>
      </c>
      <c r="B856" t="s">
        <v>46</v>
      </c>
      <c r="C856" t="s">
        <v>3</v>
      </c>
      <c r="D856" t="s">
        <v>15</v>
      </c>
      <c r="E856" s="16">
        <v>46274</v>
      </c>
      <c r="F856">
        <v>142</v>
      </c>
      <c r="G856" t="s">
        <v>122</v>
      </c>
      <c r="H856">
        <v>172</v>
      </c>
      <c r="I856">
        <v>105</v>
      </c>
      <c r="J856">
        <v>568680</v>
      </c>
      <c r="K856">
        <v>57006</v>
      </c>
      <c r="L856" t="e">
        <f>[1]!Table1[[#This Row],[Revenue]]-[1]!Table1[[#This Row],[OperationalCost]]</f>
        <v>#REF!</v>
      </c>
      <c r="M856" t="str">
        <f t="shared" si="13"/>
        <v>Sep</v>
      </c>
      <c r="N856" s="15">
        <f>Table11[[#This Row],[SeatsSold]]/Table11[[#This Row],[SeatsAvailable]]</f>
        <v>0.61046511627906974</v>
      </c>
      <c r="O856" s="10"/>
    </row>
    <row r="857" spans="1:15" x14ac:dyDescent="0.3">
      <c r="A857" t="s">
        <v>973</v>
      </c>
      <c r="B857" t="s">
        <v>5</v>
      </c>
      <c r="C857" t="s">
        <v>3</v>
      </c>
      <c r="D857" t="s">
        <v>20</v>
      </c>
      <c r="E857" s="16">
        <v>45871</v>
      </c>
      <c r="F857">
        <v>86</v>
      </c>
      <c r="G857" t="s">
        <v>120</v>
      </c>
      <c r="H857">
        <v>173</v>
      </c>
      <c r="I857">
        <v>112</v>
      </c>
      <c r="J857">
        <v>562800</v>
      </c>
      <c r="K857">
        <v>39888</v>
      </c>
      <c r="L857" t="e">
        <f>[1]!Table1[[#This Row],[Revenue]]-[1]!Table1[[#This Row],[OperationalCost]]</f>
        <v>#REF!</v>
      </c>
      <c r="M857" t="str">
        <f t="shared" si="13"/>
        <v>Aug</v>
      </c>
      <c r="N857" s="15">
        <f>Table11[[#This Row],[SeatsSold]]/Table11[[#This Row],[SeatsAvailable]]</f>
        <v>0.64739884393063585</v>
      </c>
      <c r="O857" s="10"/>
    </row>
    <row r="858" spans="1:15" x14ac:dyDescent="0.3">
      <c r="A858" t="s">
        <v>974</v>
      </c>
      <c r="B858" t="s">
        <v>66</v>
      </c>
      <c r="C858" t="s">
        <v>6</v>
      </c>
      <c r="D858" t="s">
        <v>17</v>
      </c>
      <c r="E858" s="16">
        <v>45975</v>
      </c>
      <c r="F858">
        <v>220</v>
      </c>
      <c r="G858" t="s">
        <v>116</v>
      </c>
      <c r="H858">
        <v>103</v>
      </c>
      <c r="I858">
        <v>85</v>
      </c>
      <c r="J858">
        <v>346290</v>
      </c>
      <c r="K858">
        <v>68813</v>
      </c>
      <c r="L858" t="e">
        <f>[1]!Table1[[#This Row],[Revenue]]-[1]!Table1[[#This Row],[OperationalCost]]</f>
        <v>#REF!</v>
      </c>
      <c r="M858" t="str">
        <f t="shared" si="13"/>
        <v>Nov</v>
      </c>
      <c r="N858" s="15">
        <f>Table11[[#This Row],[SeatsSold]]/Table11[[#This Row],[SeatsAvailable]]</f>
        <v>0.82524271844660191</v>
      </c>
      <c r="O858" s="10"/>
    </row>
    <row r="859" spans="1:15" x14ac:dyDescent="0.3">
      <c r="A859" t="s">
        <v>975</v>
      </c>
      <c r="B859" t="s">
        <v>2</v>
      </c>
      <c r="C859" t="s">
        <v>9</v>
      </c>
      <c r="D859" t="s">
        <v>11</v>
      </c>
      <c r="E859" s="16">
        <v>46114</v>
      </c>
      <c r="F859">
        <v>144</v>
      </c>
      <c r="G859" t="s">
        <v>120</v>
      </c>
      <c r="H859">
        <v>138</v>
      </c>
      <c r="I859">
        <v>112</v>
      </c>
      <c r="J859">
        <v>1056272</v>
      </c>
      <c r="K859">
        <v>46536</v>
      </c>
      <c r="L859" t="e">
        <f>[1]!Table1[[#This Row],[Revenue]]-[1]!Table1[[#This Row],[OperationalCost]]</f>
        <v>#REF!</v>
      </c>
      <c r="M859" t="str">
        <f t="shared" si="13"/>
        <v>Apr</v>
      </c>
      <c r="N859" s="15">
        <f>Table11[[#This Row],[SeatsSold]]/Table11[[#This Row],[SeatsAvailable]]</f>
        <v>0.81159420289855078</v>
      </c>
      <c r="O859" s="10"/>
    </row>
    <row r="860" spans="1:15" x14ac:dyDescent="0.3">
      <c r="A860" t="s">
        <v>976</v>
      </c>
      <c r="B860" t="s">
        <v>37</v>
      </c>
      <c r="C860" t="s">
        <v>21</v>
      </c>
      <c r="D860" t="s">
        <v>14</v>
      </c>
      <c r="E860" s="16">
        <v>46102</v>
      </c>
      <c r="F860">
        <v>206</v>
      </c>
      <c r="G860" t="s">
        <v>120</v>
      </c>
      <c r="H860">
        <v>93</v>
      </c>
      <c r="I860">
        <v>42</v>
      </c>
      <c r="J860">
        <v>458220</v>
      </c>
      <c r="K860">
        <v>61056</v>
      </c>
      <c r="L860" t="e">
        <f>[1]!Table1[[#This Row],[Revenue]]-[1]!Table1[[#This Row],[OperationalCost]]</f>
        <v>#REF!</v>
      </c>
      <c r="M860" t="str">
        <f t="shared" si="13"/>
        <v>Mar</v>
      </c>
      <c r="N860" s="15">
        <f>Table11[[#This Row],[SeatsSold]]/Table11[[#This Row],[SeatsAvailable]]</f>
        <v>0.45161290322580644</v>
      </c>
      <c r="O860" s="10"/>
    </row>
    <row r="861" spans="1:15" x14ac:dyDescent="0.3">
      <c r="A861" t="s">
        <v>977</v>
      </c>
      <c r="B861" t="s">
        <v>59</v>
      </c>
      <c r="C861" t="s">
        <v>9</v>
      </c>
      <c r="D861" t="s">
        <v>14</v>
      </c>
      <c r="E861" s="16">
        <v>46165</v>
      </c>
      <c r="F861">
        <v>179</v>
      </c>
      <c r="G861" t="s">
        <v>116</v>
      </c>
      <c r="H861">
        <v>91</v>
      </c>
      <c r="I861">
        <v>58</v>
      </c>
      <c r="J861">
        <v>589918</v>
      </c>
      <c r="K861">
        <v>50449</v>
      </c>
      <c r="L861" t="e">
        <f>[1]!Table1[[#This Row],[Revenue]]-[1]!Table1[[#This Row],[OperationalCost]]</f>
        <v>#REF!</v>
      </c>
      <c r="M861" t="str">
        <f t="shared" si="13"/>
        <v>May</v>
      </c>
      <c r="N861" s="15">
        <f>Table11[[#This Row],[SeatsSold]]/Table11[[#This Row],[SeatsAvailable]]</f>
        <v>0.63736263736263732</v>
      </c>
      <c r="O861" s="10"/>
    </row>
    <row r="862" spans="1:15" x14ac:dyDescent="0.3">
      <c r="A862" t="s">
        <v>978</v>
      </c>
      <c r="B862" t="s">
        <v>102</v>
      </c>
      <c r="C862" t="s">
        <v>6</v>
      </c>
      <c r="D862" t="s">
        <v>19</v>
      </c>
      <c r="E862" s="16">
        <v>45810</v>
      </c>
      <c r="F862">
        <v>77</v>
      </c>
      <c r="G862" t="s">
        <v>118</v>
      </c>
      <c r="H862">
        <v>133</v>
      </c>
      <c r="I862">
        <v>106</v>
      </c>
      <c r="J862">
        <v>1007742</v>
      </c>
      <c r="K862">
        <v>44940</v>
      </c>
      <c r="L862" t="e">
        <f>[1]!Table1[[#This Row],[Revenue]]-[1]!Table1[[#This Row],[OperationalCost]]</f>
        <v>#REF!</v>
      </c>
      <c r="M862" t="str">
        <f t="shared" si="13"/>
        <v>Jun</v>
      </c>
      <c r="N862" s="15">
        <f>Table11[[#This Row],[SeatsSold]]/Table11[[#This Row],[SeatsAvailable]]</f>
        <v>0.79699248120300747</v>
      </c>
      <c r="O862" s="10"/>
    </row>
    <row r="863" spans="1:15" x14ac:dyDescent="0.3">
      <c r="A863" t="s">
        <v>979</v>
      </c>
      <c r="B863" t="s">
        <v>80</v>
      </c>
      <c r="C863" t="s">
        <v>20</v>
      </c>
      <c r="D863" t="s">
        <v>15</v>
      </c>
      <c r="E863" s="16">
        <v>45736</v>
      </c>
      <c r="F863">
        <v>56</v>
      </c>
      <c r="G863" t="s">
        <v>116</v>
      </c>
      <c r="H863">
        <v>97</v>
      </c>
      <c r="I863">
        <v>72</v>
      </c>
      <c r="J863">
        <v>681192</v>
      </c>
      <c r="K863">
        <v>22688</v>
      </c>
      <c r="L863" t="e">
        <f>[1]!Table1[[#This Row],[Revenue]]-[1]!Table1[[#This Row],[OperationalCost]]</f>
        <v>#REF!</v>
      </c>
      <c r="M863" t="str">
        <f t="shared" si="13"/>
        <v>Mar</v>
      </c>
      <c r="N863" s="15">
        <f>Table11[[#This Row],[SeatsSold]]/Table11[[#This Row],[SeatsAvailable]]</f>
        <v>0.74226804123711343</v>
      </c>
      <c r="O863" s="10"/>
    </row>
    <row r="864" spans="1:15" x14ac:dyDescent="0.3">
      <c r="A864" t="s">
        <v>980</v>
      </c>
      <c r="B864" t="s">
        <v>102</v>
      </c>
      <c r="C864" t="s">
        <v>6</v>
      </c>
      <c r="D864" t="s">
        <v>19</v>
      </c>
      <c r="E864" s="16">
        <v>46021</v>
      </c>
      <c r="F864">
        <v>110</v>
      </c>
      <c r="G864" t="s">
        <v>116</v>
      </c>
      <c r="H864">
        <v>90</v>
      </c>
      <c r="I864">
        <v>89</v>
      </c>
      <c r="J864">
        <v>956572</v>
      </c>
      <c r="K864">
        <v>23450</v>
      </c>
      <c r="L864" t="e">
        <f>[1]!Table1[[#This Row],[Revenue]]-[1]!Table1[[#This Row],[OperationalCost]]</f>
        <v>#REF!</v>
      </c>
      <c r="M864" t="str">
        <f t="shared" si="13"/>
        <v>Dec</v>
      </c>
      <c r="N864" s="15">
        <f>Table11[[#This Row],[SeatsSold]]/Table11[[#This Row],[SeatsAvailable]]</f>
        <v>0.98888888888888893</v>
      </c>
      <c r="O864" s="10"/>
    </row>
    <row r="865" spans="1:15" x14ac:dyDescent="0.3">
      <c r="A865" t="s">
        <v>981</v>
      </c>
      <c r="B865" t="s">
        <v>18</v>
      </c>
      <c r="C865" t="s">
        <v>6</v>
      </c>
      <c r="D865" t="s">
        <v>14</v>
      </c>
      <c r="E865" s="16">
        <v>45844</v>
      </c>
      <c r="F865">
        <v>145</v>
      </c>
      <c r="G865" t="s">
        <v>122</v>
      </c>
      <c r="H865">
        <v>91</v>
      </c>
      <c r="I865">
        <v>66</v>
      </c>
      <c r="J865">
        <v>486816</v>
      </c>
      <c r="K865">
        <v>49930</v>
      </c>
      <c r="L865" t="e">
        <f>[1]!Table1[[#This Row],[Revenue]]-[1]!Table1[[#This Row],[OperationalCost]]</f>
        <v>#REF!</v>
      </c>
      <c r="M865" t="str">
        <f t="shared" si="13"/>
        <v>Jul</v>
      </c>
      <c r="N865" s="15">
        <f>Table11[[#This Row],[SeatsSold]]/Table11[[#This Row],[SeatsAvailable]]</f>
        <v>0.72527472527472525</v>
      </c>
      <c r="O865" s="10"/>
    </row>
    <row r="866" spans="1:15" x14ac:dyDescent="0.3">
      <c r="A866" t="s">
        <v>982</v>
      </c>
      <c r="B866" t="s">
        <v>36</v>
      </c>
      <c r="C866" t="s">
        <v>6</v>
      </c>
      <c r="D866" t="s">
        <v>11</v>
      </c>
      <c r="E866" s="16">
        <v>46296</v>
      </c>
      <c r="F866">
        <v>112</v>
      </c>
      <c r="G866" t="s">
        <v>118</v>
      </c>
      <c r="H866">
        <v>117</v>
      </c>
      <c r="I866">
        <v>67</v>
      </c>
      <c r="J866">
        <v>370644</v>
      </c>
      <c r="K866">
        <v>43058</v>
      </c>
      <c r="L866" t="e">
        <f>[1]!Table1[[#This Row],[Revenue]]-[1]!Table1[[#This Row],[OperationalCost]]</f>
        <v>#REF!</v>
      </c>
      <c r="M866" t="str">
        <f t="shared" si="13"/>
        <v>Oct</v>
      </c>
      <c r="N866" s="15">
        <f>Table11[[#This Row],[SeatsSold]]/Table11[[#This Row],[SeatsAvailable]]</f>
        <v>0.57264957264957261</v>
      </c>
      <c r="O866" s="10"/>
    </row>
    <row r="867" spans="1:15" x14ac:dyDescent="0.3">
      <c r="A867" t="s">
        <v>983</v>
      </c>
      <c r="B867" t="s">
        <v>51</v>
      </c>
      <c r="C867" t="s">
        <v>19</v>
      </c>
      <c r="D867" t="s">
        <v>3</v>
      </c>
      <c r="E867" s="16">
        <v>46102</v>
      </c>
      <c r="F867">
        <v>181</v>
      </c>
      <c r="G867" t="s">
        <v>122</v>
      </c>
      <c r="H867">
        <v>71</v>
      </c>
      <c r="I867">
        <v>65</v>
      </c>
      <c r="J867">
        <v>286715</v>
      </c>
      <c r="K867">
        <v>30996</v>
      </c>
      <c r="L867" t="e">
        <f>[1]!Table1[[#This Row],[Revenue]]-[1]!Table1[[#This Row],[OperationalCost]]</f>
        <v>#REF!</v>
      </c>
      <c r="M867" t="str">
        <f t="shared" si="13"/>
        <v>Mar</v>
      </c>
      <c r="N867" s="15">
        <f>Table11[[#This Row],[SeatsSold]]/Table11[[#This Row],[SeatsAvailable]]</f>
        <v>0.91549295774647887</v>
      </c>
      <c r="O867" s="10"/>
    </row>
    <row r="868" spans="1:15" x14ac:dyDescent="0.3">
      <c r="A868" t="s">
        <v>984</v>
      </c>
      <c r="B868" t="s">
        <v>36</v>
      </c>
      <c r="C868" t="s">
        <v>6</v>
      </c>
      <c r="D868" t="s">
        <v>11</v>
      </c>
      <c r="E868" s="16">
        <v>46366</v>
      </c>
      <c r="F868">
        <v>148</v>
      </c>
      <c r="G868" t="s">
        <v>116</v>
      </c>
      <c r="H868">
        <v>194</v>
      </c>
      <c r="I868">
        <v>117</v>
      </c>
      <c r="J868">
        <v>983970</v>
      </c>
      <c r="K868">
        <v>78922</v>
      </c>
      <c r="L868" t="e">
        <f>[1]!Table1[[#This Row],[Revenue]]-[1]!Table1[[#This Row],[OperationalCost]]</f>
        <v>#REF!</v>
      </c>
      <c r="M868" t="str">
        <f t="shared" si="13"/>
        <v>Dec</v>
      </c>
      <c r="N868" s="15">
        <f>Table11[[#This Row],[SeatsSold]]/Table11[[#This Row],[SeatsAvailable]]</f>
        <v>0.60309278350515461</v>
      </c>
      <c r="O868" s="10"/>
    </row>
    <row r="869" spans="1:15" x14ac:dyDescent="0.3">
      <c r="A869" t="s">
        <v>985</v>
      </c>
      <c r="B869" t="s">
        <v>51</v>
      </c>
      <c r="C869" t="s">
        <v>19</v>
      </c>
      <c r="D869" t="s">
        <v>3</v>
      </c>
      <c r="E869" s="16">
        <v>45786</v>
      </c>
      <c r="F869">
        <v>79</v>
      </c>
      <c r="G869" t="s">
        <v>122</v>
      </c>
      <c r="H869">
        <v>118</v>
      </c>
      <c r="I869">
        <v>54</v>
      </c>
      <c r="J869">
        <v>149040</v>
      </c>
      <c r="K869">
        <v>38646</v>
      </c>
      <c r="L869" t="e">
        <f>[1]!Table1[[#This Row],[Revenue]]-[1]!Table1[[#This Row],[OperationalCost]]</f>
        <v>#REF!</v>
      </c>
      <c r="M869" t="str">
        <f t="shared" si="13"/>
        <v>May</v>
      </c>
      <c r="N869" s="15">
        <f>Table11[[#This Row],[SeatsSold]]/Table11[[#This Row],[SeatsAvailable]]</f>
        <v>0.4576271186440678</v>
      </c>
      <c r="O869" s="10"/>
    </row>
    <row r="870" spans="1:15" x14ac:dyDescent="0.3">
      <c r="A870" t="s">
        <v>986</v>
      </c>
      <c r="B870" t="s">
        <v>82</v>
      </c>
      <c r="C870" t="s">
        <v>20</v>
      </c>
      <c r="D870" t="s">
        <v>19</v>
      </c>
      <c r="E870" s="16">
        <v>46150</v>
      </c>
      <c r="F870">
        <v>211</v>
      </c>
      <c r="G870" t="s">
        <v>113</v>
      </c>
      <c r="H870">
        <v>131</v>
      </c>
      <c r="I870">
        <v>95</v>
      </c>
      <c r="J870">
        <v>1075780</v>
      </c>
      <c r="K870">
        <v>48810</v>
      </c>
      <c r="L870" t="e">
        <f>[1]!Table1[[#This Row],[Revenue]]-[1]!Table1[[#This Row],[OperationalCost]]</f>
        <v>#REF!</v>
      </c>
      <c r="M870" t="str">
        <f t="shared" si="13"/>
        <v>May</v>
      </c>
      <c r="N870" s="15">
        <f>Table11[[#This Row],[SeatsSold]]/Table11[[#This Row],[SeatsAvailable]]</f>
        <v>0.72519083969465647</v>
      </c>
      <c r="O870" s="10"/>
    </row>
    <row r="871" spans="1:15" x14ac:dyDescent="0.3">
      <c r="A871" t="s">
        <v>987</v>
      </c>
      <c r="B871" t="s">
        <v>101</v>
      </c>
      <c r="C871" t="s">
        <v>19</v>
      </c>
      <c r="D871" t="s">
        <v>11</v>
      </c>
      <c r="E871" s="16">
        <v>45809</v>
      </c>
      <c r="F871">
        <v>166</v>
      </c>
      <c r="G871" t="s">
        <v>120</v>
      </c>
      <c r="H871">
        <v>75</v>
      </c>
      <c r="I871">
        <v>47</v>
      </c>
      <c r="J871">
        <v>245387</v>
      </c>
      <c r="K871">
        <v>40869</v>
      </c>
      <c r="L871" t="e">
        <f>[1]!Table1[[#This Row],[Revenue]]-[1]!Table1[[#This Row],[OperationalCost]]</f>
        <v>#REF!</v>
      </c>
      <c r="M871" t="str">
        <f t="shared" si="13"/>
        <v>Jun</v>
      </c>
      <c r="N871" s="15">
        <f>Table11[[#This Row],[SeatsSold]]/Table11[[#This Row],[SeatsAvailable]]</f>
        <v>0.62666666666666671</v>
      </c>
      <c r="O871" s="10"/>
    </row>
    <row r="872" spans="1:15" x14ac:dyDescent="0.3">
      <c r="A872" t="s">
        <v>988</v>
      </c>
      <c r="B872" t="s">
        <v>36</v>
      </c>
      <c r="C872" t="s">
        <v>6</v>
      </c>
      <c r="D872" t="s">
        <v>11</v>
      </c>
      <c r="E872" s="16">
        <v>45678</v>
      </c>
      <c r="F872">
        <v>160</v>
      </c>
      <c r="G872" t="s">
        <v>116</v>
      </c>
      <c r="H872">
        <v>132</v>
      </c>
      <c r="I872">
        <v>65</v>
      </c>
      <c r="J872">
        <v>476450</v>
      </c>
      <c r="K872">
        <v>66160</v>
      </c>
      <c r="L872" t="e">
        <f>[1]!Table1[[#This Row],[Revenue]]-[1]!Table1[[#This Row],[OperationalCost]]</f>
        <v>#REF!</v>
      </c>
      <c r="M872" t="str">
        <f t="shared" si="13"/>
        <v>Jan</v>
      </c>
      <c r="N872" s="15">
        <f>Table11[[#This Row],[SeatsSold]]/Table11[[#This Row],[SeatsAvailable]]</f>
        <v>0.49242424242424243</v>
      </c>
      <c r="O872" s="10"/>
    </row>
    <row r="873" spans="1:15" x14ac:dyDescent="0.3">
      <c r="A873" t="s">
        <v>989</v>
      </c>
      <c r="B873" t="s">
        <v>54</v>
      </c>
      <c r="C873" t="s">
        <v>20</v>
      </c>
      <c r="D873" t="s">
        <v>17</v>
      </c>
      <c r="E873" s="16">
        <v>45666</v>
      </c>
      <c r="F873">
        <v>71</v>
      </c>
      <c r="G873" t="s">
        <v>120</v>
      </c>
      <c r="H873">
        <v>176</v>
      </c>
      <c r="I873">
        <v>166</v>
      </c>
      <c r="J873">
        <v>1988680</v>
      </c>
      <c r="K873">
        <v>58208</v>
      </c>
      <c r="L873" t="e">
        <f>[1]!Table1[[#This Row],[Revenue]]-[1]!Table1[[#This Row],[OperationalCost]]</f>
        <v>#REF!</v>
      </c>
      <c r="M873" t="str">
        <f t="shared" si="13"/>
        <v>Jan</v>
      </c>
      <c r="N873" s="15">
        <f>Table11[[#This Row],[SeatsSold]]/Table11[[#This Row],[SeatsAvailable]]</f>
        <v>0.94318181818181823</v>
      </c>
      <c r="O873" s="10"/>
    </row>
    <row r="874" spans="1:15" x14ac:dyDescent="0.3">
      <c r="A874" t="s">
        <v>990</v>
      </c>
      <c r="B874" t="s">
        <v>100</v>
      </c>
      <c r="C874" t="s">
        <v>19</v>
      </c>
      <c r="D874" t="s">
        <v>20</v>
      </c>
      <c r="E874" s="16">
        <v>46157</v>
      </c>
      <c r="F874">
        <v>147</v>
      </c>
      <c r="G874" t="s">
        <v>120</v>
      </c>
      <c r="H874">
        <v>201</v>
      </c>
      <c r="I874">
        <v>191</v>
      </c>
      <c r="J874">
        <v>2004163</v>
      </c>
      <c r="K874">
        <v>45408</v>
      </c>
      <c r="L874" t="e">
        <f>[1]!Table1[[#This Row],[Revenue]]-[1]!Table1[[#This Row],[OperationalCost]]</f>
        <v>#REF!</v>
      </c>
      <c r="M874" t="str">
        <f t="shared" si="13"/>
        <v>May</v>
      </c>
      <c r="N874" s="15">
        <f>Table11[[#This Row],[SeatsSold]]/Table11[[#This Row],[SeatsAvailable]]</f>
        <v>0.95024875621890548</v>
      </c>
      <c r="O874" s="10"/>
    </row>
    <row r="875" spans="1:15" x14ac:dyDescent="0.3">
      <c r="A875" t="s">
        <v>991</v>
      </c>
      <c r="B875" t="s">
        <v>99</v>
      </c>
      <c r="C875" t="s">
        <v>11</v>
      </c>
      <c r="D875" t="s">
        <v>20</v>
      </c>
      <c r="E875" s="16">
        <v>46090</v>
      </c>
      <c r="F875">
        <v>192</v>
      </c>
      <c r="G875" t="s">
        <v>118</v>
      </c>
      <c r="H875">
        <v>211</v>
      </c>
      <c r="I875">
        <v>56</v>
      </c>
      <c r="J875">
        <v>385728</v>
      </c>
      <c r="K875">
        <v>93966</v>
      </c>
      <c r="L875" t="e">
        <f>[1]!Table1[[#This Row],[Revenue]]-[1]!Table1[[#This Row],[OperationalCost]]</f>
        <v>#REF!</v>
      </c>
      <c r="M875" t="str">
        <f t="shared" si="13"/>
        <v>Mar</v>
      </c>
      <c r="N875" s="15">
        <f>Table11[[#This Row],[SeatsSold]]/Table11[[#This Row],[SeatsAvailable]]</f>
        <v>0.26540284360189575</v>
      </c>
      <c r="O875" s="10"/>
    </row>
    <row r="876" spans="1:15" x14ac:dyDescent="0.3">
      <c r="A876" t="s">
        <v>992</v>
      </c>
      <c r="B876" t="s">
        <v>84</v>
      </c>
      <c r="C876" t="s">
        <v>6</v>
      </c>
      <c r="D876" t="s">
        <v>3</v>
      </c>
      <c r="E876" s="16">
        <v>46164</v>
      </c>
      <c r="F876">
        <v>204</v>
      </c>
      <c r="G876" t="s">
        <v>118</v>
      </c>
      <c r="H876">
        <v>184</v>
      </c>
      <c r="I876">
        <v>151</v>
      </c>
      <c r="J876">
        <v>428840</v>
      </c>
      <c r="K876">
        <v>60996</v>
      </c>
      <c r="L876" t="e">
        <f>[1]!Table1[[#This Row],[Revenue]]-[1]!Table1[[#This Row],[OperationalCost]]</f>
        <v>#REF!</v>
      </c>
      <c r="M876" t="str">
        <f t="shared" si="13"/>
        <v>May</v>
      </c>
      <c r="N876" s="15">
        <f>Table11[[#This Row],[SeatsSold]]/Table11[[#This Row],[SeatsAvailable]]</f>
        <v>0.82065217391304346</v>
      </c>
      <c r="O876" s="10"/>
    </row>
    <row r="877" spans="1:15" x14ac:dyDescent="0.3">
      <c r="A877" t="s">
        <v>993</v>
      </c>
      <c r="B877" t="s">
        <v>2</v>
      </c>
      <c r="C877" t="s">
        <v>9</v>
      </c>
      <c r="D877" t="s">
        <v>11</v>
      </c>
      <c r="E877" s="16">
        <v>46010</v>
      </c>
      <c r="F877">
        <v>157</v>
      </c>
      <c r="G877" t="s">
        <v>113</v>
      </c>
      <c r="H877">
        <v>199</v>
      </c>
      <c r="I877">
        <v>96</v>
      </c>
      <c r="J877">
        <v>773376</v>
      </c>
      <c r="K877">
        <v>92370</v>
      </c>
      <c r="L877" t="e">
        <f>[1]!Table1[[#This Row],[Revenue]]-[1]!Table1[[#This Row],[OperationalCost]]</f>
        <v>#REF!</v>
      </c>
      <c r="M877" t="str">
        <f t="shared" si="13"/>
        <v>Dec</v>
      </c>
      <c r="N877" s="15">
        <f>Table11[[#This Row],[SeatsSold]]/Table11[[#This Row],[SeatsAvailable]]</f>
        <v>0.48241206030150752</v>
      </c>
      <c r="O877" s="10"/>
    </row>
    <row r="878" spans="1:15" x14ac:dyDescent="0.3">
      <c r="A878" t="s">
        <v>994</v>
      </c>
      <c r="B878" t="s">
        <v>18</v>
      </c>
      <c r="C878" t="s">
        <v>6</v>
      </c>
      <c r="D878" t="s">
        <v>14</v>
      </c>
      <c r="E878" s="16">
        <v>45958</v>
      </c>
      <c r="F878">
        <v>230</v>
      </c>
      <c r="G878" t="s">
        <v>120</v>
      </c>
      <c r="H878">
        <v>176</v>
      </c>
      <c r="I878">
        <v>132</v>
      </c>
      <c r="J878">
        <v>1351416</v>
      </c>
      <c r="K878">
        <v>79094</v>
      </c>
      <c r="L878" t="e">
        <f>[1]!Table1[[#This Row],[Revenue]]-[1]!Table1[[#This Row],[OperationalCost]]</f>
        <v>#REF!</v>
      </c>
      <c r="M878" t="str">
        <f t="shared" si="13"/>
        <v>Oct</v>
      </c>
      <c r="N878" s="15">
        <f>Table11[[#This Row],[SeatsSold]]/Table11[[#This Row],[SeatsAvailable]]</f>
        <v>0.75</v>
      </c>
      <c r="O878" s="10"/>
    </row>
    <row r="879" spans="1:15" x14ac:dyDescent="0.3">
      <c r="A879" t="s">
        <v>995</v>
      </c>
      <c r="B879" t="s">
        <v>4</v>
      </c>
      <c r="C879" t="s">
        <v>9</v>
      </c>
      <c r="D879" t="s">
        <v>21</v>
      </c>
      <c r="E879" s="16">
        <v>46365</v>
      </c>
      <c r="F879">
        <v>236</v>
      </c>
      <c r="G879" t="s">
        <v>122</v>
      </c>
      <c r="H879">
        <v>193</v>
      </c>
      <c r="I879">
        <v>73</v>
      </c>
      <c r="J879">
        <v>389747</v>
      </c>
      <c r="K879">
        <v>63516</v>
      </c>
      <c r="L879" t="e">
        <f>[1]!Table1[[#This Row],[Revenue]]-[1]!Table1[[#This Row],[OperationalCost]]</f>
        <v>#REF!</v>
      </c>
      <c r="M879" t="str">
        <f t="shared" si="13"/>
        <v>Dec</v>
      </c>
      <c r="N879" s="15">
        <f>Table11[[#This Row],[SeatsSold]]/Table11[[#This Row],[SeatsAvailable]]</f>
        <v>0.37823834196891193</v>
      </c>
      <c r="O879" s="10"/>
    </row>
    <row r="880" spans="1:15" x14ac:dyDescent="0.3">
      <c r="A880" t="s">
        <v>996</v>
      </c>
      <c r="B880" t="s">
        <v>90</v>
      </c>
      <c r="C880" t="s">
        <v>15</v>
      </c>
      <c r="D880" t="s">
        <v>6</v>
      </c>
      <c r="E880" s="16">
        <v>45761</v>
      </c>
      <c r="F880">
        <v>151</v>
      </c>
      <c r="G880" t="s">
        <v>120</v>
      </c>
      <c r="H880">
        <v>147</v>
      </c>
      <c r="I880">
        <v>70</v>
      </c>
      <c r="J880">
        <v>415170</v>
      </c>
      <c r="K880">
        <v>53086</v>
      </c>
      <c r="L880" t="e">
        <f>[1]!Table1[[#This Row],[Revenue]]-[1]!Table1[[#This Row],[OperationalCost]]</f>
        <v>#REF!</v>
      </c>
      <c r="M880" t="str">
        <f t="shared" si="13"/>
        <v>Apr</v>
      </c>
      <c r="N880" s="15">
        <f>Table11[[#This Row],[SeatsSold]]/Table11[[#This Row],[SeatsAvailable]]</f>
        <v>0.47619047619047616</v>
      </c>
      <c r="O880" s="10"/>
    </row>
    <row r="881" spans="1:15" x14ac:dyDescent="0.3">
      <c r="A881" t="s">
        <v>997</v>
      </c>
      <c r="B881" t="s">
        <v>54</v>
      </c>
      <c r="C881" t="s">
        <v>20</v>
      </c>
      <c r="D881" t="s">
        <v>17</v>
      </c>
      <c r="E881" s="16">
        <v>45925</v>
      </c>
      <c r="F881">
        <v>136</v>
      </c>
      <c r="G881" t="s">
        <v>113</v>
      </c>
      <c r="H881">
        <v>114</v>
      </c>
      <c r="I881">
        <v>104</v>
      </c>
      <c r="J881">
        <v>314392</v>
      </c>
      <c r="K881">
        <v>37420</v>
      </c>
      <c r="L881" t="e">
        <f>[1]!Table1[[#This Row],[Revenue]]-[1]!Table1[[#This Row],[OperationalCost]]</f>
        <v>#REF!</v>
      </c>
      <c r="M881" t="str">
        <f t="shared" si="13"/>
        <v>Sep</v>
      </c>
      <c r="N881" s="15">
        <f>Table11[[#This Row],[SeatsSold]]/Table11[[#This Row],[SeatsAvailable]]</f>
        <v>0.91228070175438591</v>
      </c>
      <c r="O881" s="10"/>
    </row>
    <row r="882" spans="1:15" x14ac:dyDescent="0.3">
      <c r="A882" t="s">
        <v>998</v>
      </c>
      <c r="B882" t="s">
        <v>41</v>
      </c>
      <c r="C882" t="s">
        <v>17</v>
      </c>
      <c r="D882" t="s">
        <v>3</v>
      </c>
      <c r="E882" s="16">
        <v>46290</v>
      </c>
      <c r="F882">
        <v>103</v>
      </c>
      <c r="G882" t="s">
        <v>122</v>
      </c>
      <c r="H882">
        <v>213</v>
      </c>
      <c r="I882">
        <v>97</v>
      </c>
      <c r="J882">
        <v>1015396</v>
      </c>
      <c r="K882">
        <v>54729</v>
      </c>
      <c r="L882" t="e">
        <f>[1]!Table1[[#This Row],[Revenue]]-[1]!Table1[[#This Row],[OperationalCost]]</f>
        <v>#REF!</v>
      </c>
      <c r="M882" t="str">
        <f t="shared" si="13"/>
        <v>Sep</v>
      </c>
      <c r="N882" s="15">
        <f>Table11[[#This Row],[SeatsSold]]/Table11[[#This Row],[SeatsAvailable]]</f>
        <v>0.45539906103286387</v>
      </c>
      <c r="O882" s="10"/>
    </row>
    <row r="883" spans="1:15" x14ac:dyDescent="0.3">
      <c r="A883" t="s">
        <v>999</v>
      </c>
      <c r="B883" t="s">
        <v>69</v>
      </c>
      <c r="C883" t="s">
        <v>21</v>
      </c>
      <c r="D883" t="s">
        <v>20</v>
      </c>
      <c r="E883" s="16">
        <v>46228</v>
      </c>
      <c r="F883">
        <v>113</v>
      </c>
      <c r="G883" t="s">
        <v>113</v>
      </c>
      <c r="H883">
        <v>201</v>
      </c>
      <c r="I883">
        <v>194</v>
      </c>
      <c r="J883">
        <v>815964</v>
      </c>
      <c r="K883">
        <v>52392</v>
      </c>
      <c r="L883" t="e">
        <f>[1]!Table1[[#This Row],[Revenue]]-[1]!Table1[[#This Row],[OperationalCost]]</f>
        <v>#REF!</v>
      </c>
      <c r="M883" t="str">
        <f t="shared" si="13"/>
        <v>Jul</v>
      </c>
      <c r="N883" s="15">
        <f>Table11[[#This Row],[SeatsSold]]/Table11[[#This Row],[SeatsAvailable]]</f>
        <v>0.96517412935323388</v>
      </c>
      <c r="O883" s="10"/>
    </row>
    <row r="884" spans="1:15" x14ac:dyDescent="0.3">
      <c r="A884" t="s">
        <v>1000</v>
      </c>
      <c r="B884" t="s">
        <v>36</v>
      </c>
      <c r="C884" t="s">
        <v>6</v>
      </c>
      <c r="D884" t="s">
        <v>11</v>
      </c>
      <c r="E884" s="16">
        <v>45771</v>
      </c>
      <c r="F884">
        <v>72</v>
      </c>
      <c r="G884" t="s">
        <v>116</v>
      </c>
      <c r="H884">
        <v>96</v>
      </c>
      <c r="I884">
        <v>92</v>
      </c>
      <c r="J884">
        <v>1077780</v>
      </c>
      <c r="K884">
        <v>29424</v>
      </c>
      <c r="L884" t="e">
        <f>[1]!Table1[[#This Row],[Revenue]]-[1]!Table1[[#This Row],[OperationalCost]]</f>
        <v>#REF!</v>
      </c>
      <c r="M884" t="str">
        <f t="shared" si="13"/>
        <v>Apr</v>
      </c>
      <c r="N884" s="15">
        <f>Table11[[#This Row],[SeatsSold]]/Table11[[#This Row],[SeatsAvailable]]</f>
        <v>0.95833333333333337</v>
      </c>
      <c r="O884" s="10"/>
    </row>
    <row r="885" spans="1:15" x14ac:dyDescent="0.3">
      <c r="A885" t="s">
        <v>1001</v>
      </c>
      <c r="B885" t="s">
        <v>93</v>
      </c>
      <c r="C885" t="s">
        <v>3</v>
      </c>
      <c r="D885" t="s">
        <v>9</v>
      </c>
      <c r="E885" s="16">
        <v>46303</v>
      </c>
      <c r="F885">
        <v>75</v>
      </c>
      <c r="G885" t="s">
        <v>113</v>
      </c>
      <c r="H885">
        <v>162</v>
      </c>
      <c r="I885">
        <v>60</v>
      </c>
      <c r="J885">
        <v>437160</v>
      </c>
      <c r="K885">
        <v>51333</v>
      </c>
      <c r="L885" t="e">
        <f>[1]!Table1[[#This Row],[Revenue]]-[1]!Table1[[#This Row],[OperationalCost]]</f>
        <v>#REF!</v>
      </c>
      <c r="M885" t="str">
        <f t="shared" si="13"/>
        <v>Oct</v>
      </c>
      <c r="N885" s="15">
        <f>Table11[[#This Row],[SeatsSold]]/Table11[[#This Row],[SeatsAvailable]]</f>
        <v>0.37037037037037035</v>
      </c>
      <c r="O885" s="10"/>
    </row>
    <row r="886" spans="1:15" x14ac:dyDescent="0.3">
      <c r="A886" t="s">
        <v>1002</v>
      </c>
      <c r="B886" t="s">
        <v>84</v>
      </c>
      <c r="C886" t="s">
        <v>6</v>
      </c>
      <c r="D886" t="s">
        <v>3</v>
      </c>
      <c r="E886" s="16">
        <v>45815</v>
      </c>
      <c r="F886">
        <v>210</v>
      </c>
      <c r="G886" t="s">
        <v>118</v>
      </c>
      <c r="H886">
        <v>155</v>
      </c>
      <c r="I886">
        <v>144</v>
      </c>
      <c r="J886">
        <v>685008</v>
      </c>
      <c r="K886">
        <v>52015</v>
      </c>
      <c r="L886" t="e">
        <f>[1]!Table1[[#This Row],[Revenue]]-[1]!Table1[[#This Row],[OperationalCost]]</f>
        <v>#REF!</v>
      </c>
      <c r="M886" t="str">
        <f t="shared" si="13"/>
        <v>Jun</v>
      </c>
      <c r="N886" s="15">
        <f>Table11[[#This Row],[SeatsSold]]/Table11[[#This Row],[SeatsAvailable]]</f>
        <v>0.92903225806451617</v>
      </c>
      <c r="O886" s="10"/>
    </row>
    <row r="887" spans="1:15" x14ac:dyDescent="0.3">
      <c r="A887" t="s">
        <v>1003</v>
      </c>
      <c r="B887" t="s">
        <v>66</v>
      </c>
      <c r="C887" t="s">
        <v>6</v>
      </c>
      <c r="D887" t="s">
        <v>17</v>
      </c>
      <c r="E887" s="16">
        <v>45664</v>
      </c>
      <c r="F887">
        <v>107</v>
      </c>
      <c r="G887" t="s">
        <v>120</v>
      </c>
      <c r="H887">
        <v>157</v>
      </c>
      <c r="I887">
        <v>76</v>
      </c>
      <c r="J887">
        <v>818824</v>
      </c>
      <c r="K887">
        <v>33298</v>
      </c>
      <c r="L887" t="e">
        <f>[1]!Table1[[#This Row],[Revenue]]-[1]!Table1[[#This Row],[OperationalCost]]</f>
        <v>#REF!</v>
      </c>
      <c r="M887" t="str">
        <f t="shared" si="13"/>
        <v>Jan</v>
      </c>
      <c r="N887" s="15">
        <f>Table11[[#This Row],[SeatsSold]]/Table11[[#This Row],[SeatsAvailable]]</f>
        <v>0.48407643312101911</v>
      </c>
      <c r="O887" s="10"/>
    </row>
    <row r="888" spans="1:15" x14ac:dyDescent="0.3">
      <c r="A888" t="s">
        <v>1004</v>
      </c>
      <c r="B888" t="s">
        <v>73</v>
      </c>
      <c r="C888" t="s">
        <v>19</v>
      </c>
      <c r="D888" t="s">
        <v>17</v>
      </c>
      <c r="E888" s="16">
        <v>46082</v>
      </c>
      <c r="F888">
        <v>137</v>
      </c>
      <c r="G888" t="s">
        <v>113</v>
      </c>
      <c r="H888">
        <v>108</v>
      </c>
      <c r="I888">
        <v>107</v>
      </c>
      <c r="J888">
        <v>1006763</v>
      </c>
      <c r="K888">
        <v>36806</v>
      </c>
      <c r="L888" t="e">
        <f>[1]!Table1[[#This Row],[Revenue]]-[1]!Table1[[#This Row],[OperationalCost]]</f>
        <v>#REF!</v>
      </c>
      <c r="M888" t="str">
        <f t="shared" si="13"/>
        <v>Mar</v>
      </c>
      <c r="N888" s="15">
        <f>Table11[[#This Row],[SeatsSold]]/Table11[[#This Row],[SeatsAvailable]]</f>
        <v>0.9907407407407407</v>
      </c>
      <c r="O888" s="10"/>
    </row>
    <row r="889" spans="1:15" x14ac:dyDescent="0.3">
      <c r="A889" t="s">
        <v>1005</v>
      </c>
      <c r="B889" t="s">
        <v>77</v>
      </c>
      <c r="C889" t="s">
        <v>17</v>
      </c>
      <c r="D889" t="s">
        <v>6</v>
      </c>
      <c r="E889" s="16">
        <v>46077</v>
      </c>
      <c r="F889">
        <v>162</v>
      </c>
      <c r="G889" t="s">
        <v>116</v>
      </c>
      <c r="H889">
        <v>162</v>
      </c>
      <c r="I889">
        <v>160</v>
      </c>
      <c r="J889">
        <v>477920</v>
      </c>
      <c r="K889">
        <v>56700</v>
      </c>
      <c r="L889" t="e">
        <f>[1]!Table1[[#This Row],[Revenue]]-[1]!Table1[[#This Row],[OperationalCost]]</f>
        <v>#REF!</v>
      </c>
      <c r="M889" t="str">
        <f t="shared" si="13"/>
        <v>Feb</v>
      </c>
      <c r="N889" s="15">
        <f>Table11[[#This Row],[SeatsSold]]/Table11[[#This Row],[SeatsAvailable]]</f>
        <v>0.98765432098765427</v>
      </c>
      <c r="O889" s="10"/>
    </row>
    <row r="890" spans="1:15" x14ac:dyDescent="0.3">
      <c r="A890" t="s">
        <v>1006</v>
      </c>
      <c r="B890" t="s">
        <v>80</v>
      </c>
      <c r="C890" t="s">
        <v>20</v>
      </c>
      <c r="D890" t="s">
        <v>15</v>
      </c>
      <c r="E890" s="16">
        <v>45729</v>
      </c>
      <c r="F890">
        <v>66</v>
      </c>
      <c r="G890" t="s">
        <v>118</v>
      </c>
      <c r="H890">
        <v>150</v>
      </c>
      <c r="I890">
        <v>91</v>
      </c>
      <c r="J890">
        <v>472472</v>
      </c>
      <c r="K890">
        <v>29496</v>
      </c>
      <c r="L890" t="e">
        <f>[1]!Table1[[#This Row],[Revenue]]-[1]!Table1[[#This Row],[OperationalCost]]</f>
        <v>#REF!</v>
      </c>
      <c r="M890" t="str">
        <f t="shared" si="13"/>
        <v>Mar</v>
      </c>
      <c r="N890" s="15">
        <f>Table11[[#This Row],[SeatsSold]]/Table11[[#This Row],[SeatsAvailable]]</f>
        <v>0.60666666666666669</v>
      </c>
      <c r="O890" s="10"/>
    </row>
    <row r="891" spans="1:15" x14ac:dyDescent="0.3">
      <c r="A891" t="s">
        <v>1007</v>
      </c>
      <c r="B891" t="s">
        <v>103</v>
      </c>
      <c r="C891" t="s">
        <v>17</v>
      </c>
      <c r="D891" t="s">
        <v>20</v>
      </c>
      <c r="E891" s="16">
        <v>46334</v>
      </c>
      <c r="F891">
        <v>209</v>
      </c>
      <c r="G891" t="s">
        <v>113</v>
      </c>
      <c r="H891">
        <v>217</v>
      </c>
      <c r="I891">
        <v>54</v>
      </c>
      <c r="J891">
        <v>594864</v>
      </c>
      <c r="K891">
        <v>81334</v>
      </c>
      <c r="L891" t="e">
        <f>[1]!Table1[[#This Row],[Revenue]]-[1]!Table1[[#This Row],[OperationalCost]]</f>
        <v>#REF!</v>
      </c>
      <c r="M891" t="str">
        <f t="shared" si="13"/>
        <v>Nov</v>
      </c>
      <c r="N891" s="15">
        <f>Table11[[#This Row],[SeatsSold]]/Table11[[#This Row],[SeatsAvailable]]</f>
        <v>0.24884792626728111</v>
      </c>
      <c r="O891" s="10"/>
    </row>
    <row r="892" spans="1:15" x14ac:dyDescent="0.3">
      <c r="A892" t="s">
        <v>1008</v>
      </c>
      <c r="B892" t="s">
        <v>106</v>
      </c>
      <c r="C892" t="s">
        <v>17</v>
      </c>
      <c r="D892" t="s">
        <v>15</v>
      </c>
      <c r="E892" s="16">
        <v>45969</v>
      </c>
      <c r="F892">
        <v>229</v>
      </c>
      <c r="G892" t="s">
        <v>118</v>
      </c>
      <c r="H892">
        <v>158</v>
      </c>
      <c r="I892">
        <v>41</v>
      </c>
      <c r="J892">
        <v>290403</v>
      </c>
      <c r="K892">
        <v>95683</v>
      </c>
      <c r="L892" t="e">
        <f>[1]!Table1[[#This Row],[Revenue]]-[1]!Table1[[#This Row],[OperationalCost]]</f>
        <v>#REF!</v>
      </c>
      <c r="M892" t="str">
        <f t="shared" si="13"/>
        <v>Nov</v>
      </c>
      <c r="N892" s="15">
        <f>Table11[[#This Row],[SeatsSold]]/Table11[[#This Row],[SeatsAvailable]]</f>
        <v>0.25949367088607594</v>
      </c>
      <c r="O892" s="10"/>
    </row>
    <row r="893" spans="1:15" x14ac:dyDescent="0.3">
      <c r="A893" t="s">
        <v>1009</v>
      </c>
      <c r="B893" t="s">
        <v>55</v>
      </c>
      <c r="C893" t="s">
        <v>14</v>
      </c>
      <c r="D893" t="s">
        <v>6</v>
      </c>
      <c r="E893" s="16">
        <v>46114</v>
      </c>
      <c r="F893">
        <v>209</v>
      </c>
      <c r="G893" t="s">
        <v>113</v>
      </c>
      <c r="H893">
        <v>209</v>
      </c>
      <c r="I893">
        <v>199</v>
      </c>
      <c r="J893">
        <v>1939056</v>
      </c>
      <c r="K893">
        <v>97394</v>
      </c>
      <c r="L893" t="e">
        <f>[1]!Table1[[#This Row],[Revenue]]-[1]!Table1[[#This Row],[OperationalCost]]</f>
        <v>#REF!</v>
      </c>
      <c r="M893" t="str">
        <f t="shared" si="13"/>
        <v>Apr</v>
      </c>
      <c r="N893" s="15">
        <f>Table11[[#This Row],[SeatsSold]]/Table11[[#This Row],[SeatsAvailable]]</f>
        <v>0.95215311004784686</v>
      </c>
      <c r="O893" s="10"/>
    </row>
    <row r="894" spans="1:15" x14ac:dyDescent="0.3">
      <c r="A894" t="s">
        <v>1010</v>
      </c>
      <c r="B894" t="s">
        <v>72</v>
      </c>
      <c r="C894" t="s">
        <v>17</v>
      </c>
      <c r="D894" t="s">
        <v>9</v>
      </c>
      <c r="E894" s="16">
        <v>45966</v>
      </c>
      <c r="F894">
        <v>66</v>
      </c>
      <c r="G894" t="s">
        <v>122</v>
      </c>
      <c r="H894">
        <v>207</v>
      </c>
      <c r="I894">
        <v>125</v>
      </c>
      <c r="J894">
        <v>1111125</v>
      </c>
      <c r="K894">
        <v>54123</v>
      </c>
      <c r="L894" t="e">
        <f>[1]!Table1[[#This Row],[Revenue]]-[1]!Table1[[#This Row],[OperationalCost]]</f>
        <v>#REF!</v>
      </c>
      <c r="M894" t="str">
        <f t="shared" si="13"/>
        <v>Nov</v>
      </c>
      <c r="N894" s="15">
        <f>Table11[[#This Row],[SeatsSold]]/Table11[[#This Row],[SeatsAvailable]]</f>
        <v>0.60386473429951693</v>
      </c>
      <c r="O894" s="10"/>
    </row>
    <row r="895" spans="1:15" x14ac:dyDescent="0.3">
      <c r="A895" t="s">
        <v>1011</v>
      </c>
      <c r="B895" t="s">
        <v>88</v>
      </c>
      <c r="C895" t="s">
        <v>11</v>
      </c>
      <c r="D895" t="s">
        <v>19</v>
      </c>
      <c r="E895" s="16">
        <v>45876</v>
      </c>
      <c r="F895">
        <v>68</v>
      </c>
      <c r="G895" t="s">
        <v>116</v>
      </c>
      <c r="H895">
        <v>211</v>
      </c>
      <c r="I895">
        <v>119</v>
      </c>
      <c r="J895">
        <v>1313879</v>
      </c>
      <c r="K895">
        <v>65138</v>
      </c>
      <c r="L895" t="e">
        <f>[1]!Table1[[#This Row],[Revenue]]-[1]!Table1[[#This Row],[OperationalCost]]</f>
        <v>#REF!</v>
      </c>
      <c r="M895" t="str">
        <f t="shared" si="13"/>
        <v>Aug</v>
      </c>
      <c r="N895" s="15">
        <f>Table11[[#This Row],[SeatsSold]]/Table11[[#This Row],[SeatsAvailable]]</f>
        <v>0.56398104265402849</v>
      </c>
      <c r="O895" s="10"/>
    </row>
    <row r="896" spans="1:15" x14ac:dyDescent="0.3">
      <c r="A896" t="s">
        <v>1012</v>
      </c>
      <c r="B896" t="s">
        <v>39</v>
      </c>
      <c r="C896" t="s">
        <v>14</v>
      </c>
      <c r="D896" t="s">
        <v>20</v>
      </c>
      <c r="E896" s="16">
        <v>45686</v>
      </c>
      <c r="F896">
        <v>183</v>
      </c>
      <c r="G896" t="s">
        <v>116</v>
      </c>
      <c r="H896">
        <v>136</v>
      </c>
      <c r="I896">
        <v>70</v>
      </c>
      <c r="J896">
        <v>523530</v>
      </c>
      <c r="K896">
        <v>70148</v>
      </c>
      <c r="L896" t="e">
        <f>[1]!Table1[[#This Row],[Revenue]]-[1]!Table1[[#This Row],[OperationalCost]]</f>
        <v>#REF!</v>
      </c>
      <c r="M896" t="str">
        <f t="shared" si="13"/>
        <v>Jan</v>
      </c>
      <c r="N896" s="15">
        <f>Table11[[#This Row],[SeatsSold]]/Table11[[#This Row],[SeatsAvailable]]</f>
        <v>0.51470588235294112</v>
      </c>
      <c r="O896" s="10"/>
    </row>
    <row r="897" spans="1:15" x14ac:dyDescent="0.3">
      <c r="A897" t="s">
        <v>1013</v>
      </c>
      <c r="B897" t="s">
        <v>5</v>
      </c>
      <c r="C897" t="s">
        <v>3</v>
      </c>
      <c r="D897" t="s">
        <v>20</v>
      </c>
      <c r="E897" s="16">
        <v>46039</v>
      </c>
      <c r="F897">
        <v>111</v>
      </c>
      <c r="G897" t="s">
        <v>116</v>
      </c>
      <c r="H897">
        <v>160</v>
      </c>
      <c r="I897">
        <v>55</v>
      </c>
      <c r="J897">
        <v>180510</v>
      </c>
      <c r="K897">
        <v>49506</v>
      </c>
      <c r="L897" t="e">
        <f>[1]!Table1[[#This Row],[Revenue]]-[1]!Table1[[#This Row],[OperationalCost]]</f>
        <v>#REF!</v>
      </c>
      <c r="M897" t="str">
        <f t="shared" ref="M897:M960" si="14">TEXT(E897,"MMM")</f>
        <v>Jan</v>
      </c>
      <c r="N897" s="15">
        <f>Table11[[#This Row],[SeatsSold]]/Table11[[#This Row],[SeatsAvailable]]</f>
        <v>0.34375</v>
      </c>
      <c r="O897" s="10"/>
    </row>
    <row r="898" spans="1:15" x14ac:dyDescent="0.3">
      <c r="A898" t="s">
        <v>1014</v>
      </c>
      <c r="B898" t="s">
        <v>102</v>
      </c>
      <c r="C898" t="s">
        <v>6</v>
      </c>
      <c r="D898" t="s">
        <v>19</v>
      </c>
      <c r="E898" s="16">
        <v>46244</v>
      </c>
      <c r="F898">
        <v>233</v>
      </c>
      <c r="G898" t="s">
        <v>122</v>
      </c>
      <c r="H898">
        <v>186</v>
      </c>
      <c r="I898">
        <v>126</v>
      </c>
      <c r="J898">
        <v>802368</v>
      </c>
      <c r="K898">
        <v>104108</v>
      </c>
      <c r="L898" t="e">
        <f>[1]!Table1[[#This Row],[Revenue]]-[1]!Table1[[#This Row],[OperationalCost]]</f>
        <v>#REF!</v>
      </c>
      <c r="M898" t="str">
        <f t="shared" si="14"/>
        <v>Aug</v>
      </c>
      <c r="N898" s="15">
        <f>Table11[[#This Row],[SeatsSold]]/Table11[[#This Row],[SeatsAvailable]]</f>
        <v>0.67741935483870963</v>
      </c>
      <c r="O898" s="10"/>
    </row>
    <row r="899" spans="1:15" x14ac:dyDescent="0.3">
      <c r="A899" t="s">
        <v>1015</v>
      </c>
      <c r="B899" t="s">
        <v>83</v>
      </c>
      <c r="C899" t="s">
        <v>11</v>
      </c>
      <c r="D899" t="s">
        <v>9</v>
      </c>
      <c r="E899" s="16">
        <v>46016</v>
      </c>
      <c r="F899">
        <v>121</v>
      </c>
      <c r="G899" t="s">
        <v>118</v>
      </c>
      <c r="H899">
        <v>216</v>
      </c>
      <c r="I899">
        <v>212</v>
      </c>
      <c r="J899">
        <v>1016116</v>
      </c>
      <c r="K899">
        <v>72144</v>
      </c>
      <c r="L899" t="e">
        <f>[1]!Table1[[#This Row],[Revenue]]-[1]!Table1[[#This Row],[OperationalCost]]</f>
        <v>#REF!</v>
      </c>
      <c r="M899" t="str">
        <f t="shared" si="14"/>
        <v>Dec</v>
      </c>
      <c r="N899" s="15">
        <f>Table11[[#This Row],[SeatsSold]]/Table11[[#This Row],[SeatsAvailable]]</f>
        <v>0.98148148148148151</v>
      </c>
      <c r="O899" s="10"/>
    </row>
    <row r="900" spans="1:15" x14ac:dyDescent="0.3">
      <c r="A900" t="s">
        <v>1016</v>
      </c>
      <c r="B900" t="s">
        <v>7</v>
      </c>
      <c r="C900" t="s">
        <v>9</v>
      </c>
      <c r="D900" t="s">
        <v>3</v>
      </c>
      <c r="E900" s="16">
        <v>45993</v>
      </c>
      <c r="F900">
        <v>177</v>
      </c>
      <c r="G900" t="s">
        <v>116</v>
      </c>
      <c r="H900">
        <v>119</v>
      </c>
      <c r="I900">
        <v>86</v>
      </c>
      <c r="J900">
        <v>855098</v>
      </c>
      <c r="K900">
        <v>39588</v>
      </c>
      <c r="L900" t="e">
        <f>[1]!Table1[[#This Row],[Revenue]]-[1]!Table1[[#This Row],[OperationalCost]]</f>
        <v>#REF!</v>
      </c>
      <c r="M900" t="str">
        <f t="shared" si="14"/>
        <v>Dec</v>
      </c>
      <c r="N900" s="15">
        <f>Table11[[#This Row],[SeatsSold]]/Table11[[#This Row],[SeatsAvailable]]</f>
        <v>0.72268907563025209</v>
      </c>
      <c r="O900" s="10"/>
    </row>
    <row r="901" spans="1:15" x14ac:dyDescent="0.3">
      <c r="A901" t="s">
        <v>1017</v>
      </c>
      <c r="B901" t="s">
        <v>77</v>
      </c>
      <c r="C901" t="s">
        <v>17</v>
      </c>
      <c r="D901" t="s">
        <v>6</v>
      </c>
      <c r="E901" s="16">
        <v>45741</v>
      </c>
      <c r="F901">
        <v>68</v>
      </c>
      <c r="G901" t="s">
        <v>122</v>
      </c>
      <c r="H901">
        <v>178</v>
      </c>
      <c r="I901">
        <v>73</v>
      </c>
      <c r="J901">
        <v>752046</v>
      </c>
      <c r="K901">
        <v>46364</v>
      </c>
      <c r="L901" t="e">
        <f>[1]!Table1[[#This Row],[Revenue]]-[1]!Table1[[#This Row],[OperationalCost]]</f>
        <v>#REF!</v>
      </c>
      <c r="M901" t="str">
        <f t="shared" si="14"/>
        <v>Mar</v>
      </c>
      <c r="N901" s="15">
        <f>Table11[[#This Row],[SeatsSold]]/Table11[[#This Row],[SeatsAvailable]]</f>
        <v>0.4101123595505618</v>
      </c>
      <c r="O901" s="10"/>
    </row>
    <row r="902" spans="1:15" x14ac:dyDescent="0.3">
      <c r="A902" t="s">
        <v>1018</v>
      </c>
      <c r="B902" t="s">
        <v>56</v>
      </c>
      <c r="C902" t="s">
        <v>3</v>
      </c>
      <c r="D902" t="s">
        <v>17</v>
      </c>
      <c r="E902" s="16">
        <v>46351</v>
      </c>
      <c r="F902">
        <v>179</v>
      </c>
      <c r="G902" t="s">
        <v>120</v>
      </c>
      <c r="H902">
        <v>220</v>
      </c>
      <c r="I902">
        <v>183</v>
      </c>
      <c r="J902">
        <v>2013366</v>
      </c>
      <c r="K902">
        <v>71899</v>
      </c>
      <c r="L902" t="e">
        <f>[1]!Table1[[#This Row],[Revenue]]-[1]!Table1[[#This Row],[OperationalCost]]</f>
        <v>#REF!</v>
      </c>
      <c r="M902" t="str">
        <f t="shared" si="14"/>
        <v>Nov</v>
      </c>
      <c r="N902" s="15">
        <f>Table11[[#This Row],[SeatsSold]]/Table11[[#This Row],[SeatsAvailable]]</f>
        <v>0.83181818181818179</v>
      </c>
      <c r="O902" s="10"/>
    </row>
    <row r="903" spans="1:15" x14ac:dyDescent="0.3">
      <c r="A903" t="s">
        <v>1019</v>
      </c>
      <c r="B903" t="s">
        <v>90</v>
      </c>
      <c r="C903" t="s">
        <v>15</v>
      </c>
      <c r="D903" t="s">
        <v>6</v>
      </c>
      <c r="E903" s="16">
        <v>46309</v>
      </c>
      <c r="F903">
        <v>153</v>
      </c>
      <c r="G903" t="s">
        <v>120</v>
      </c>
      <c r="H903">
        <v>195</v>
      </c>
      <c r="I903">
        <v>146</v>
      </c>
      <c r="J903">
        <v>754528</v>
      </c>
      <c r="K903">
        <v>64623</v>
      </c>
      <c r="L903" t="e">
        <f>[1]!Table1[[#This Row],[Revenue]]-[1]!Table1[[#This Row],[OperationalCost]]</f>
        <v>#REF!</v>
      </c>
      <c r="M903" t="str">
        <f t="shared" si="14"/>
        <v>Oct</v>
      </c>
      <c r="N903" s="15">
        <f>Table11[[#This Row],[SeatsSold]]/Table11[[#This Row],[SeatsAvailable]]</f>
        <v>0.74871794871794872</v>
      </c>
      <c r="O903" s="10"/>
    </row>
    <row r="904" spans="1:15" x14ac:dyDescent="0.3">
      <c r="A904" t="s">
        <v>1020</v>
      </c>
      <c r="B904" t="s">
        <v>50</v>
      </c>
      <c r="C904" t="s">
        <v>14</v>
      </c>
      <c r="D904" t="s">
        <v>11</v>
      </c>
      <c r="E904" s="16">
        <v>46386</v>
      </c>
      <c r="F904">
        <v>162</v>
      </c>
      <c r="G904" t="s">
        <v>113</v>
      </c>
      <c r="H904">
        <v>201</v>
      </c>
      <c r="I904">
        <v>175</v>
      </c>
      <c r="J904">
        <v>775950</v>
      </c>
      <c r="K904">
        <v>75048</v>
      </c>
      <c r="L904" t="e">
        <f>[1]!Table1[[#This Row],[Revenue]]-[1]!Table1[[#This Row],[OperationalCost]]</f>
        <v>#REF!</v>
      </c>
      <c r="M904" t="str">
        <f t="shared" si="14"/>
        <v>Dec</v>
      </c>
      <c r="N904" s="15">
        <f>Table11[[#This Row],[SeatsSold]]/Table11[[#This Row],[SeatsAvailable]]</f>
        <v>0.87064676616915426</v>
      </c>
      <c r="O904" s="10"/>
    </row>
    <row r="905" spans="1:15" x14ac:dyDescent="0.3">
      <c r="A905" t="s">
        <v>1021</v>
      </c>
      <c r="B905" t="s">
        <v>36</v>
      </c>
      <c r="C905" t="s">
        <v>6</v>
      </c>
      <c r="D905" t="s">
        <v>11</v>
      </c>
      <c r="E905" s="16">
        <v>45691</v>
      </c>
      <c r="F905">
        <v>236</v>
      </c>
      <c r="G905" t="s">
        <v>113</v>
      </c>
      <c r="H905">
        <v>213</v>
      </c>
      <c r="I905">
        <v>134</v>
      </c>
      <c r="J905">
        <v>595630</v>
      </c>
      <c r="K905">
        <v>103856</v>
      </c>
      <c r="L905" t="e">
        <f>[1]!Table1[[#This Row],[Revenue]]-[1]!Table1[[#This Row],[OperationalCost]]</f>
        <v>#REF!</v>
      </c>
      <c r="M905" t="str">
        <f t="shared" si="14"/>
        <v>Feb</v>
      </c>
      <c r="N905" s="15">
        <f>Table11[[#This Row],[SeatsSold]]/Table11[[#This Row],[SeatsAvailable]]</f>
        <v>0.62910798122065725</v>
      </c>
      <c r="O905" s="10"/>
    </row>
    <row r="906" spans="1:15" x14ac:dyDescent="0.3">
      <c r="A906" t="s">
        <v>1022</v>
      </c>
      <c r="B906" t="s">
        <v>95</v>
      </c>
      <c r="C906" t="s">
        <v>3</v>
      </c>
      <c r="D906" t="s">
        <v>14</v>
      </c>
      <c r="E906" s="16">
        <v>46036</v>
      </c>
      <c r="F906">
        <v>191</v>
      </c>
      <c r="G906" t="s">
        <v>118</v>
      </c>
      <c r="H906">
        <v>80</v>
      </c>
      <c r="I906">
        <v>73</v>
      </c>
      <c r="J906">
        <v>365803</v>
      </c>
      <c r="K906">
        <v>42650</v>
      </c>
      <c r="L906" t="e">
        <f>[1]!Table1[[#This Row],[Revenue]]-[1]!Table1[[#This Row],[OperationalCost]]</f>
        <v>#REF!</v>
      </c>
      <c r="M906" t="str">
        <f t="shared" si="14"/>
        <v>Jan</v>
      </c>
      <c r="N906" s="15">
        <f>Table11[[#This Row],[SeatsSold]]/Table11[[#This Row],[SeatsAvailable]]</f>
        <v>0.91249999999999998</v>
      </c>
      <c r="O906" s="10"/>
    </row>
    <row r="907" spans="1:15" x14ac:dyDescent="0.3">
      <c r="A907" t="s">
        <v>1023</v>
      </c>
      <c r="B907" t="s">
        <v>73</v>
      </c>
      <c r="C907" t="s">
        <v>19</v>
      </c>
      <c r="D907" t="s">
        <v>17</v>
      </c>
      <c r="E907" s="16">
        <v>45968</v>
      </c>
      <c r="F907">
        <v>120</v>
      </c>
      <c r="G907" t="s">
        <v>120</v>
      </c>
      <c r="H907">
        <v>77</v>
      </c>
      <c r="I907">
        <v>49</v>
      </c>
      <c r="J907">
        <v>236572</v>
      </c>
      <c r="K907">
        <v>46799</v>
      </c>
      <c r="L907" t="e">
        <f>[1]!Table1[[#This Row],[Revenue]]-[1]!Table1[[#This Row],[OperationalCost]]</f>
        <v>#REF!</v>
      </c>
      <c r="M907" t="str">
        <f t="shared" si="14"/>
        <v>Nov</v>
      </c>
      <c r="N907" s="15">
        <f>Table11[[#This Row],[SeatsSold]]/Table11[[#This Row],[SeatsAvailable]]</f>
        <v>0.63636363636363635</v>
      </c>
      <c r="O907" s="10"/>
    </row>
    <row r="908" spans="1:15" x14ac:dyDescent="0.3">
      <c r="A908" t="s">
        <v>1024</v>
      </c>
      <c r="B908" t="s">
        <v>76</v>
      </c>
      <c r="C908" t="s">
        <v>20</v>
      </c>
      <c r="D908" t="s">
        <v>21</v>
      </c>
      <c r="E908" s="16">
        <v>45948</v>
      </c>
      <c r="F908">
        <v>100</v>
      </c>
      <c r="G908" t="s">
        <v>113</v>
      </c>
      <c r="H908">
        <v>195</v>
      </c>
      <c r="I908">
        <v>40</v>
      </c>
      <c r="J908">
        <v>180160</v>
      </c>
      <c r="K908">
        <v>58955</v>
      </c>
      <c r="L908" t="e">
        <f>[1]!Table1[[#This Row],[Revenue]]-[1]!Table1[[#This Row],[OperationalCost]]</f>
        <v>#REF!</v>
      </c>
      <c r="M908" t="str">
        <f t="shared" si="14"/>
        <v>Oct</v>
      </c>
      <c r="N908" s="15">
        <f>Table11[[#This Row],[SeatsSold]]/Table11[[#This Row],[SeatsAvailable]]</f>
        <v>0.20512820512820512</v>
      </c>
      <c r="O908" s="10"/>
    </row>
    <row r="909" spans="1:15" x14ac:dyDescent="0.3">
      <c r="A909" t="s">
        <v>1025</v>
      </c>
      <c r="B909" t="s">
        <v>5</v>
      </c>
      <c r="C909" t="s">
        <v>3</v>
      </c>
      <c r="D909" t="s">
        <v>20</v>
      </c>
      <c r="E909" s="16">
        <v>46085</v>
      </c>
      <c r="F909">
        <v>168</v>
      </c>
      <c r="G909" t="s">
        <v>116</v>
      </c>
      <c r="H909">
        <v>149</v>
      </c>
      <c r="I909">
        <v>112</v>
      </c>
      <c r="J909">
        <v>1110032</v>
      </c>
      <c r="K909">
        <v>60832</v>
      </c>
      <c r="L909" t="e">
        <f>[1]!Table1[[#This Row],[Revenue]]-[1]!Table1[[#This Row],[OperationalCost]]</f>
        <v>#REF!</v>
      </c>
      <c r="M909" t="str">
        <f t="shared" si="14"/>
        <v>Mar</v>
      </c>
      <c r="N909" s="15">
        <f>Table11[[#This Row],[SeatsSold]]/Table11[[#This Row],[SeatsAvailable]]</f>
        <v>0.75167785234899331</v>
      </c>
      <c r="O909" s="10"/>
    </row>
    <row r="910" spans="1:15" x14ac:dyDescent="0.3">
      <c r="A910" t="s">
        <v>1026</v>
      </c>
      <c r="B910" t="s">
        <v>18</v>
      </c>
      <c r="C910" t="s">
        <v>6</v>
      </c>
      <c r="D910" t="s">
        <v>14</v>
      </c>
      <c r="E910" s="16">
        <v>45799</v>
      </c>
      <c r="F910">
        <v>174</v>
      </c>
      <c r="G910" t="s">
        <v>120</v>
      </c>
      <c r="H910">
        <v>185</v>
      </c>
      <c r="I910">
        <v>154</v>
      </c>
      <c r="J910">
        <v>760760</v>
      </c>
      <c r="K910">
        <v>54192</v>
      </c>
      <c r="L910" t="e">
        <f>[1]!Table1[[#This Row],[Revenue]]-[1]!Table1[[#This Row],[OperationalCost]]</f>
        <v>#REF!</v>
      </c>
      <c r="M910" t="str">
        <f t="shared" si="14"/>
        <v>May</v>
      </c>
      <c r="N910" s="15">
        <f>Table11[[#This Row],[SeatsSold]]/Table11[[#This Row],[SeatsAvailable]]</f>
        <v>0.83243243243243248</v>
      </c>
      <c r="O910" s="10"/>
    </row>
    <row r="911" spans="1:15" x14ac:dyDescent="0.3">
      <c r="A911" t="s">
        <v>1027</v>
      </c>
      <c r="B911" t="s">
        <v>108</v>
      </c>
      <c r="C911" t="s">
        <v>15</v>
      </c>
      <c r="D911" t="s">
        <v>17</v>
      </c>
      <c r="E911" s="16">
        <v>46054</v>
      </c>
      <c r="F911">
        <v>104</v>
      </c>
      <c r="G911" t="s">
        <v>120</v>
      </c>
      <c r="H911">
        <v>156</v>
      </c>
      <c r="I911">
        <v>109</v>
      </c>
      <c r="J911">
        <v>354250</v>
      </c>
      <c r="K911">
        <v>60372</v>
      </c>
      <c r="L911" t="e">
        <f>[1]!Table1[[#This Row],[Revenue]]-[1]!Table1[[#This Row],[OperationalCost]]</f>
        <v>#REF!</v>
      </c>
      <c r="M911" t="str">
        <f t="shared" si="14"/>
        <v>Feb</v>
      </c>
      <c r="N911" s="15">
        <f>Table11[[#This Row],[SeatsSold]]/Table11[[#This Row],[SeatsAvailable]]</f>
        <v>0.69871794871794868</v>
      </c>
      <c r="O911" s="10"/>
    </row>
    <row r="912" spans="1:15" x14ac:dyDescent="0.3">
      <c r="A912" t="s">
        <v>1028</v>
      </c>
      <c r="B912" t="s">
        <v>51</v>
      </c>
      <c r="C912" t="s">
        <v>19</v>
      </c>
      <c r="D912" t="s">
        <v>3</v>
      </c>
      <c r="E912" s="16">
        <v>45827</v>
      </c>
      <c r="F912">
        <v>226</v>
      </c>
      <c r="G912" t="s">
        <v>122</v>
      </c>
      <c r="H912">
        <v>216</v>
      </c>
      <c r="I912">
        <v>201</v>
      </c>
      <c r="J912">
        <v>1519560</v>
      </c>
      <c r="K912">
        <v>112358</v>
      </c>
      <c r="L912" t="e">
        <f>[1]!Table1[[#This Row],[Revenue]]-[1]!Table1[[#This Row],[OperationalCost]]</f>
        <v>#REF!</v>
      </c>
      <c r="M912" t="str">
        <f t="shared" si="14"/>
        <v>Jun</v>
      </c>
      <c r="N912" s="15">
        <f>Table11[[#This Row],[SeatsSold]]/Table11[[#This Row],[SeatsAvailable]]</f>
        <v>0.93055555555555558</v>
      </c>
      <c r="O912" s="10"/>
    </row>
    <row r="913" spans="1:15" x14ac:dyDescent="0.3">
      <c r="A913" t="s">
        <v>1029</v>
      </c>
      <c r="B913" t="s">
        <v>46</v>
      </c>
      <c r="C913" t="s">
        <v>3</v>
      </c>
      <c r="D913" t="s">
        <v>15</v>
      </c>
      <c r="E913" s="16">
        <v>45745</v>
      </c>
      <c r="F913">
        <v>94</v>
      </c>
      <c r="G913" t="s">
        <v>116</v>
      </c>
      <c r="H913">
        <v>208</v>
      </c>
      <c r="I913">
        <v>187</v>
      </c>
      <c r="J913">
        <v>629442</v>
      </c>
      <c r="K913">
        <v>69214</v>
      </c>
      <c r="L913" t="e">
        <f>[1]!Table1[[#This Row],[Revenue]]-[1]!Table1[[#This Row],[OperationalCost]]</f>
        <v>#REF!</v>
      </c>
      <c r="M913" t="str">
        <f t="shared" si="14"/>
        <v>Mar</v>
      </c>
      <c r="N913" s="15">
        <f>Table11[[#This Row],[SeatsSold]]/Table11[[#This Row],[SeatsAvailable]]</f>
        <v>0.89903846153846156</v>
      </c>
      <c r="O913" s="10"/>
    </row>
    <row r="914" spans="1:15" x14ac:dyDescent="0.3">
      <c r="A914" t="s">
        <v>1030</v>
      </c>
      <c r="B914" t="s">
        <v>2</v>
      </c>
      <c r="C914" t="s">
        <v>9</v>
      </c>
      <c r="D914" t="s">
        <v>11</v>
      </c>
      <c r="E914" s="16">
        <v>46172</v>
      </c>
      <c r="F914">
        <v>49</v>
      </c>
      <c r="G914" t="s">
        <v>122</v>
      </c>
      <c r="H914">
        <v>206</v>
      </c>
      <c r="I914">
        <v>86</v>
      </c>
      <c r="J914">
        <v>241660</v>
      </c>
      <c r="K914">
        <v>36502</v>
      </c>
      <c r="L914" t="e">
        <f>[1]!Table1[[#This Row],[Revenue]]-[1]!Table1[[#This Row],[OperationalCost]]</f>
        <v>#REF!</v>
      </c>
      <c r="M914" t="str">
        <f t="shared" si="14"/>
        <v>May</v>
      </c>
      <c r="N914" s="15">
        <f>Table11[[#This Row],[SeatsSold]]/Table11[[#This Row],[SeatsAvailable]]</f>
        <v>0.41747572815533979</v>
      </c>
      <c r="O914" s="10"/>
    </row>
    <row r="915" spans="1:15" x14ac:dyDescent="0.3">
      <c r="A915" t="s">
        <v>1031</v>
      </c>
      <c r="B915" t="s">
        <v>2</v>
      </c>
      <c r="C915" t="s">
        <v>9</v>
      </c>
      <c r="D915" t="s">
        <v>11</v>
      </c>
      <c r="E915" s="16">
        <v>45744</v>
      </c>
      <c r="F915">
        <v>181</v>
      </c>
      <c r="G915" t="s">
        <v>116</v>
      </c>
      <c r="H915">
        <v>152</v>
      </c>
      <c r="I915">
        <v>91</v>
      </c>
      <c r="J915">
        <v>294567</v>
      </c>
      <c r="K915">
        <v>57265</v>
      </c>
      <c r="L915" t="e">
        <f>[1]!Table1[[#This Row],[Revenue]]-[1]!Table1[[#This Row],[OperationalCost]]</f>
        <v>#REF!</v>
      </c>
      <c r="M915" t="str">
        <f t="shared" si="14"/>
        <v>Mar</v>
      </c>
      <c r="N915" s="15">
        <f>Table11[[#This Row],[SeatsSold]]/Table11[[#This Row],[SeatsAvailable]]</f>
        <v>0.59868421052631582</v>
      </c>
      <c r="O915" s="10"/>
    </row>
    <row r="916" spans="1:15" x14ac:dyDescent="0.3">
      <c r="A916" t="s">
        <v>1032</v>
      </c>
      <c r="B916" t="s">
        <v>61</v>
      </c>
      <c r="C916" t="s">
        <v>21</v>
      </c>
      <c r="D916" t="s">
        <v>6</v>
      </c>
      <c r="E916" s="16">
        <v>45842</v>
      </c>
      <c r="F916">
        <v>151</v>
      </c>
      <c r="G916" t="s">
        <v>122</v>
      </c>
      <c r="H916">
        <v>205</v>
      </c>
      <c r="I916">
        <v>121</v>
      </c>
      <c r="J916">
        <v>1059718</v>
      </c>
      <c r="K916">
        <v>49050</v>
      </c>
      <c r="L916" t="e">
        <f>[1]!Table1[[#This Row],[Revenue]]-[1]!Table1[[#This Row],[OperationalCost]]</f>
        <v>#REF!</v>
      </c>
      <c r="M916" t="str">
        <f t="shared" si="14"/>
        <v>Jul</v>
      </c>
      <c r="N916" s="15">
        <f>Table11[[#This Row],[SeatsSold]]/Table11[[#This Row],[SeatsAvailable]]</f>
        <v>0.59024390243902436</v>
      </c>
      <c r="O916" s="10"/>
    </row>
    <row r="917" spans="1:15" x14ac:dyDescent="0.3">
      <c r="A917" t="s">
        <v>1033</v>
      </c>
      <c r="B917" t="s">
        <v>95</v>
      </c>
      <c r="C917" t="s">
        <v>3</v>
      </c>
      <c r="D917" t="s">
        <v>14</v>
      </c>
      <c r="E917" s="16">
        <v>46212</v>
      </c>
      <c r="F917">
        <v>88</v>
      </c>
      <c r="G917" t="s">
        <v>118</v>
      </c>
      <c r="H917">
        <v>106</v>
      </c>
      <c r="I917">
        <v>63</v>
      </c>
      <c r="J917">
        <v>421281</v>
      </c>
      <c r="K917">
        <v>25110</v>
      </c>
      <c r="L917" t="e">
        <f>[1]!Table1[[#This Row],[Revenue]]-[1]!Table1[[#This Row],[OperationalCost]]</f>
        <v>#REF!</v>
      </c>
      <c r="M917" t="str">
        <f t="shared" si="14"/>
        <v>Jul</v>
      </c>
      <c r="N917" s="15">
        <f>Table11[[#This Row],[SeatsSold]]/Table11[[#This Row],[SeatsAvailable]]</f>
        <v>0.59433962264150941</v>
      </c>
      <c r="O917" s="10"/>
    </row>
    <row r="918" spans="1:15" x14ac:dyDescent="0.3">
      <c r="A918" t="s">
        <v>1034</v>
      </c>
      <c r="B918" t="s">
        <v>92</v>
      </c>
      <c r="C918" t="s">
        <v>19</v>
      </c>
      <c r="D918" t="s">
        <v>6</v>
      </c>
      <c r="E918" s="16">
        <v>46352</v>
      </c>
      <c r="F918">
        <v>88</v>
      </c>
      <c r="G918" t="s">
        <v>122</v>
      </c>
      <c r="H918">
        <v>153</v>
      </c>
      <c r="I918">
        <v>63</v>
      </c>
      <c r="J918">
        <v>185535</v>
      </c>
      <c r="K918">
        <v>35660</v>
      </c>
      <c r="L918" t="e">
        <f>[1]!Table1[[#This Row],[Revenue]]-[1]!Table1[[#This Row],[OperationalCost]]</f>
        <v>#REF!</v>
      </c>
      <c r="M918" t="str">
        <f t="shared" si="14"/>
        <v>Nov</v>
      </c>
      <c r="N918" s="15">
        <f>Table11[[#This Row],[SeatsSold]]/Table11[[#This Row],[SeatsAvailable]]</f>
        <v>0.41176470588235292</v>
      </c>
      <c r="O918" s="10"/>
    </row>
    <row r="919" spans="1:15" x14ac:dyDescent="0.3">
      <c r="A919" t="s">
        <v>1035</v>
      </c>
      <c r="B919" t="s">
        <v>41</v>
      </c>
      <c r="C919" t="s">
        <v>17</v>
      </c>
      <c r="D919" t="s">
        <v>3</v>
      </c>
      <c r="E919" s="16">
        <v>45985</v>
      </c>
      <c r="F919">
        <v>81</v>
      </c>
      <c r="G919" t="s">
        <v>120</v>
      </c>
      <c r="H919">
        <v>152</v>
      </c>
      <c r="I919">
        <v>73</v>
      </c>
      <c r="J919">
        <v>631596</v>
      </c>
      <c r="K919">
        <v>26286</v>
      </c>
      <c r="L919" t="e">
        <f>[1]!Table1[[#This Row],[Revenue]]-[1]!Table1[[#This Row],[OperationalCost]]</f>
        <v>#REF!</v>
      </c>
      <c r="M919" t="str">
        <f t="shared" si="14"/>
        <v>Nov</v>
      </c>
      <c r="N919" s="15">
        <f>Table11[[#This Row],[SeatsSold]]/Table11[[#This Row],[SeatsAvailable]]</f>
        <v>0.48026315789473684</v>
      </c>
      <c r="O919" s="10"/>
    </row>
    <row r="920" spans="1:15" x14ac:dyDescent="0.3">
      <c r="A920" t="s">
        <v>1036</v>
      </c>
      <c r="B920" t="s">
        <v>58</v>
      </c>
      <c r="C920" t="s">
        <v>9</v>
      </c>
      <c r="D920" t="s">
        <v>19</v>
      </c>
      <c r="E920" s="16">
        <v>46269</v>
      </c>
      <c r="F920">
        <v>195</v>
      </c>
      <c r="G920" t="s">
        <v>113</v>
      </c>
      <c r="H920">
        <v>196</v>
      </c>
      <c r="I920">
        <v>170</v>
      </c>
      <c r="J920">
        <v>1829880</v>
      </c>
      <c r="K920">
        <v>63874</v>
      </c>
      <c r="L920" t="e">
        <f>[1]!Table1[[#This Row],[Revenue]]-[1]!Table1[[#This Row],[OperationalCost]]</f>
        <v>#REF!</v>
      </c>
      <c r="M920" t="str">
        <f t="shared" si="14"/>
        <v>Sep</v>
      </c>
      <c r="N920" s="15">
        <f>Table11[[#This Row],[SeatsSold]]/Table11[[#This Row],[SeatsAvailable]]</f>
        <v>0.86734693877551017</v>
      </c>
      <c r="O920" s="10"/>
    </row>
    <row r="921" spans="1:15" x14ac:dyDescent="0.3">
      <c r="A921" t="s">
        <v>1037</v>
      </c>
      <c r="B921" t="s">
        <v>100</v>
      </c>
      <c r="C921" t="s">
        <v>19</v>
      </c>
      <c r="D921" t="s">
        <v>20</v>
      </c>
      <c r="E921" s="16">
        <v>45983</v>
      </c>
      <c r="F921">
        <v>163</v>
      </c>
      <c r="G921" t="s">
        <v>116</v>
      </c>
      <c r="H921">
        <v>174</v>
      </c>
      <c r="I921">
        <v>56</v>
      </c>
      <c r="J921">
        <v>584192</v>
      </c>
      <c r="K921">
        <v>52717</v>
      </c>
      <c r="L921" t="e">
        <f>[1]!Table1[[#This Row],[Revenue]]-[1]!Table1[[#This Row],[OperationalCost]]</f>
        <v>#REF!</v>
      </c>
      <c r="M921" t="str">
        <f t="shared" si="14"/>
        <v>Nov</v>
      </c>
      <c r="N921" s="15">
        <f>Table11[[#This Row],[SeatsSold]]/Table11[[#This Row],[SeatsAvailable]]</f>
        <v>0.32183908045977011</v>
      </c>
      <c r="O921" s="10"/>
    </row>
    <row r="922" spans="1:15" x14ac:dyDescent="0.3">
      <c r="A922" t="s">
        <v>1038</v>
      </c>
      <c r="B922" t="s">
        <v>60</v>
      </c>
      <c r="C922" t="s">
        <v>9</v>
      </c>
      <c r="D922" t="s">
        <v>20</v>
      </c>
      <c r="E922" s="16">
        <v>45933</v>
      </c>
      <c r="F922">
        <v>186</v>
      </c>
      <c r="G922" t="s">
        <v>116</v>
      </c>
      <c r="H922">
        <v>95</v>
      </c>
      <c r="I922">
        <v>55</v>
      </c>
      <c r="J922">
        <v>637340</v>
      </c>
      <c r="K922">
        <v>63836</v>
      </c>
      <c r="L922" t="e">
        <f>[1]!Table1[[#This Row],[Revenue]]-[1]!Table1[[#This Row],[OperationalCost]]</f>
        <v>#REF!</v>
      </c>
      <c r="M922" t="str">
        <f t="shared" si="14"/>
        <v>Oct</v>
      </c>
      <c r="N922" s="15">
        <f>Table11[[#This Row],[SeatsSold]]/Table11[[#This Row],[SeatsAvailable]]</f>
        <v>0.57894736842105265</v>
      </c>
      <c r="O922" s="10"/>
    </row>
    <row r="923" spans="1:15" x14ac:dyDescent="0.3">
      <c r="A923" t="s">
        <v>1039</v>
      </c>
      <c r="B923" t="s">
        <v>92</v>
      </c>
      <c r="C923" t="s">
        <v>19</v>
      </c>
      <c r="D923" t="s">
        <v>6</v>
      </c>
      <c r="E923" s="16">
        <v>46114</v>
      </c>
      <c r="F923">
        <v>66</v>
      </c>
      <c r="G923" t="s">
        <v>116</v>
      </c>
      <c r="H923">
        <v>122</v>
      </c>
      <c r="I923">
        <v>58</v>
      </c>
      <c r="J923">
        <v>499728</v>
      </c>
      <c r="K923">
        <v>32034</v>
      </c>
      <c r="L923" t="e">
        <f>[1]!Table1[[#This Row],[Revenue]]-[1]!Table1[[#This Row],[OperationalCost]]</f>
        <v>#REF!</v>
      </c>
      <c r="M923" t="str">
        <f t="shared" si="14"/>
        <v>Apr</v>
      </c>
      <c r="N923" s="15">
        <f>Table11[[#This Row],[SeatsSold]]/Table11[[#This Row],[SeatsAvailable]]</f>
        <v>0.47540983606557374</v>
      </c>
      <c r="O923" s="10"/>
    </row>
    <row r="924" spans="1:15" x14ac:dyDescent="0.3">
      <c r="A924" t="s">
        <v>1040</v>
      </c>
      <c r="B924" t="s">
        <v>67</v>
      </c>
      <c r="C924" t="s">
        <v>9</v>
      </c>
      <c r="D924" t="s">
        <v>15</v>
      </c>
      <c r="E924" s="16">
        <v>46091</v>
      </c>
      <c r="F924">
        <v>187</v>
      </c>
      <c r="G924" t="s">
        <v>120</v>
      </c>
      <c r="H924">
        <v>80</v>
      </c>
      <c r="I924">
        <v>40</v>
      </c>
      <c r="J924">
        <v>404480</v>
      </c>
      <c r="K924">
        <v>64306</v>
      </c>
      <c r="L924" t="e">
        <f>[1]!Table1[[#This Row],[Revenue]]-[1]!Table1[[#This Row],[OperationalCost]]</f>
        <v>#REF!</v>
      </c>
      <c r="M924" t="str">
        <f t="shared" si="14"/>
        <v>Mar</v>
      </c>
      <c r="N924" s="15">
        <f>Table11[[#This Row],[SeatsSold]]/Table11[[#This Row],[SeatsAvailable]]</f>
        <v>0.5</v>
      </c>
      <c r="O924" s="10"/>
    </row>
    <row r="925" spans="1:15" x14ac:dyDescent="0.3">
      <c r="A925" t="s">
        <v>1041</v>
      </c>
      <c r="B925" t="s">
        <v>39</v>
      </c>
      <c r="C925" t="s">
        <v>14</v>
      </c>
      <c r="D925" t="s">
        <v>20</v>
      </c>
      <c r="E925" s="16">
        <v>45719</v>
      </c>
      <c r="F925">
        <v>168</v>
      </c>
      <c r="G925" t="s">
        <v>118</v>
      </c>
      <c r="H925">
        <v>134</v>
      </c>
      <c r="I925">
        <v>127</v>
      </c>
      <c r="J925">
        <v>1108456</v>
      </c>
      <c r="K925">
        <v>67406</v>
      </c>
      <c r="L925" t="e">
        <f>[1]!Table1[[#This Row],[Revenue]]-[1]!Table1[[#This Row],[OperationalCost]]</f>
        <v>#REF!</v>
      </c>
      <c r="M925" t="str">
        <f t="shared" si="14"/>
        <v>Mar</v>
      </c>
      <c r="N925" s="15">
        <f>Table11[[#This Row],[SeatsSold]]/Table11[[#This Row],[SeatsAvailable]]</f>
        <v>0.94776119402985071</v>
      </c>
      <c r="O925" s="10"/>
    </row>
    <row r="926" spans="1:15" x14ac:dyDescent="0.3">
      <c r="A926" t="s">
        <v>1042</v>
      </c>
      <c r="B926" t="s">
        <v>67</v>
      </c>
      <c r="C926" t="s">
        <v>9</v>
      </c>
      <c r="D926" t="s">
        <v>15</v>
      </c>
      <c r="E926" s="16">
        <v>45946</v>
      </c>
      <c r="F926">
        <v>56</v>
      </c>
      <c r="G926" t="s">
        <v>113</v>
      </c>
      <c r="H926">
        <v>206</v>
      </c>
      <c r="I926">
        <v>184</v>
      </c>
      <c r="J926">
        <v>670680</v>
      </c>
      <c r="K926">
        <v>31988</v>
      </c>
      <c r="L926" t="e">
        <f>[1]!Table1[[#This Row],[Revenue]]-[1]!Table1[[#This Row],[OperationalCost]]</f>
        <v>#REF!</v>
      </c>
      <c r="M926" t="str">
        <f t="shared" si="14"/>
        <v>Oct</v>
      </c>
      <c r="N926" s="15">
        <f>Table11[[#This Row],[SeatsSold]]/Table11[[#This Row],[SeatsAvailable]]</f>
        <v>0.89320388349514568</v>
      </c>
      <c r="O926" s="10"/>
    </row>
    <row r="927" spans="1:15" x14ac:dyDescent="0.3">
      <c r="A927" t="s">
        <v>1043</v>
      </c>
      <c r="B927" t="s">
        <v>41</v>
      </c>
      <c r="C927" t="s">
        <v>17</v>
      </c>
      <c r="D927" t="s">
        <v>3</v>
      </c>
      <c r="E927" s="16">
        <v>45801</v>
      </c>
      <c r="F927">
        <v>230</v>
      </c>
      <c r="G927" t="s">
        <v>116</v>
      </c>
      <c r="H927">
        <v>141</v>
      </c>
      <c r="I927">
        <v>95</v>
      </c>
      <c r="J927">
        <v>565630</v>
      </c>
      <c r="K927">
        <v>92949</v>
      </c>
      <c r="L927" t="e">
        <f>[1]!Table1[[#This Row],[Revenue]]-[1]!Table1[[#This Row],[OperationalCost]]</f>
        <v>#REF!</v>
      </c>
      <c r="M927" t="str">
        <f t="shared" si="14"/>
        <v>May</v>
      </c>
      <c r="N927" s="15">
        <f>Table11[[#This Row],[SeatsSold]]/Table11[[#This Row],[SeatsAvailable]]</f>
        <v>0.67375886524822692</v>
      </c>
      <c r="O927" s="10"/>
    </row>
    <row r="928" spans="1:15" x14ac:dyDescent="0.3">
      <c r="A928" t="s">
        <v>1044</v>
      </c>
      <c r="B928" t="s">
        <v>52</v>
      </c>
      <c r="C928" t="s">
        <v>21</v>
      </c>
      <c r="D928" t="s">
        <v>17</v>
      </c>
      <c r="E928" s="16">
        <v>46308</v>
      </c>
      <c r="F928">
        <v>111</v>
      </c>
      <c r="G928" t="s">
        <v>120</v>
      </c>
      <c r="H928">
        <v>139</v>
      </c>
      <c r="I928">
        <v>71</v>
      </c>
      <c r="J928">
        <v>551599</v>
      </c>
      <c r="K928">
        <v>41464</v>
      </c>
      <c r="L928" t="e">
        <f>[1]!Table1[[#This Row],[Revenue]]-[1]!Table1[[#This Row],[OperationalCost]]</f>
        <v>#REF!</v>
      </c>
      <c r="M928" t="str">
        <f t="shared" si="14"/>
        <v>Oct</v>
      </c>
      <c r="N928" s="15">
        <f>Table11[[#This Row],[SeatsSold]]/Table11[[#This Row],[SeatsAvailable]]</f>
        <v>0.51079136690647486</v>
      </c>
      <c r="O928" s="10"/>
    </row>
    <row r="929" spans="1:15" x14ac:dyDescent="0.3">
      <c r="A929" t="s">
        <v>1045</v>
      </c>
      <c r="B929" t="s">
        <v>16</v>
      </c>
      <c r="C929" t="s">
        <v>6</v>
      </c>
      <c r="D929" t="s">
        <v>21</v>
      </c>
      <c r="E929" s="16">
        <v>45674</v>
      </c>
      <c r="F929">
        <v>222</v>
      </c>
      <c r="G929" t="s">
        <v>113</v>
      </c>
      <c r="H929">
        <v>70</v>
      </c>
      <c r="I929">
        <v>59</v>
      </c>
      <c r="J929">
        <v>608113</v>
      </c>
      <c r="K929">
        <v>32602</v>
      </c>
      <c r="L929" t="e">
        <f>[1]!Table1[[#This Row],[Revenue]]-[1]!Table1[[#This Row],[OperationalCost]]</f>
        <v>#REF!</v>
      </c>
      <c r="M929" t="str">
        <f t="shared" si="14"/>
        <v>Jan</v>
      </c>
      <c r="N929" s="15">
        <f>Table11[[#This Row],[SeatsSold]]/Table11[[#This Row],[SeatsAvailable]]</f>
        <v>0.84285714285714286</v>
      </c>
      <c r="O929" s="10"/>
    </row>
    <row r="930" spans="1:15" x14ac:dyDescent="0.3">
      <c r="A930" t="s">
        <v>1046</v>
      </c>
      <c r="B930" t="s">
        <v>55</v>
      </c>
      <c r="C930" t="s">
        <v>14</v>
      </c>
      <c r="D930" t="s">
        <v>6</v>
      </c>
      <c r="E930" s="16">
        <v>46227</v>
      </c>
      <c r="F930">
        <v>223</v>
      </c>
      <c r="G930" t="s">
        <v>120</v>
      </c>
      <c r="H930">
        <v>170</v>
      </c>
      <c r="I930">
        <v>60</v>
      </c>
      <c r="J930">
        <v>226200</v>
      </c>
      <c r="K930">
        <v>72101</v>
      </c>
      <c r="L930" t="e">
        <f>[1]!Table1[[#This Row],[Revenue]]-[1]!Table1[[#This Row],[OperationalCost]]</f>
        <v>#REF!</v>
      </c>
      <c r="M930" t="str">
        <f t="shared" si="14"/>
        <v>Jul</v>
      </c>
      <c r="N930" s="15">
        <f>Table11[[#This Row],[SeatsSold]]/Table11[[#This Row],[SeatsAvailable]]</f>
        <v>0.35294117647058826</v>
      </c>
      <c r="O930" s="10"/>
    </row>
    <row r="931" spans="1:15" x14ac:dyDescent="0.3">
      <c r="A931" t="s">
        <v>1047</v>
      </c>
      <c r="B931" t="s">
        <v>84</v>
      </c>
      <c r="C931" t="s">
        <v>6</v>
      </c>
      <c r="D931" t="s">
        <v>3</v>
      </c>
      <c r="E931" s="16">
        <v>46019</v>
      </c>
      <c r="F931">
        <v>141</v>
      </c>
      <c r="G931" t="s">
        <v>116</v>
      </c>
      <c r="H931">
        <v>161</v>
      </c>
      <c r="I931">
        <v>89</v>
      </c>
      <c r="J931">
        <v>480867</v>
      </c>
      <c r="K931">
        <v>55220</v>
      </c>
      <c r="L931" t="e">
        <f>[1]!Table1[[#This Row],[Revenue]]-[1]!Table1[[#This Row],[OperationalCost]]</f>
        <v>#REF!</v>
      </c>
      <c r="M931" t="str">
        <f t="shared" si="14"/>
        <v>Dec</v>
      </c>
      <c r="N931" s="15">
        <f>Table11[[#This Row],[SeatsSold]]/Table11[[#This Row],[SeatsAvailable]]</f>
        <v>0.55279503105590067</v>
      </c>
      <c r="O931" s="10"/>
    </row>
    <row r="932" spans="1:15" x14ac:dyDescent="0.3">
      <c r="A932" t="s">
        <v>1048</v>
      </c>
      <c r="B932" t="s">
        <v>8</v>
      </c>
      <c r="C932" t="s">
        <v>3</v>
      </c>
      <c r="D932" t="s">
        <v>11</v>
      </c>
      <c r="E932" s="16">
        <v>46037</v>
      </c>
      <c r="F932">
        <v>94</v>
      </c>
      <c r="G932" t="s">
        <v>120</v>
      </c>
      <c r="H932">
        <v>72</v>
      </c>
      <c r="I932">
        <v>54</v>
      </c>
      <c r="J932">
        <v>152496</v>
      </c>
      <c r="K932">
        <v>30266</v>
      </c>
      <c r="L932" t="e">
        <f>[1]!Table1[[#This Row],[Revenue]]-[1]!Table1[[#This Row],[OperationalCost]]</f>
        <v>#REF!</v>
      </c>
      <c r="M932" t="str">
        <f t="shared" si="14"/>
        <v>Jan</v>
      </c>
      <c r="N932" s="15">
        <f>Table11[[#This Row],[SeatsSold]]/Table11[[#This Row],[SeatsAvailable]]</f>
        <v>0.75</v>
      </c>
      <c r="O932" s="10"/>
    </row>
    <row r="933" spans="1:15" x14ac:dyDescent="0.3">
      <c r="A933" t="s">
        <v>1049</v>
      </c>
      <c r="B933" t="s">
        <v>7</v>
      </c>
      <c r="C933" t="s">
        <v>9</v>
      </c>
      <c r="D933" t="s">
        <v>3</v>
      </c>
      <c r="E933" s="16">
        <v>46286</v>
      </c>
      <c r="F933">
        <v>205</v>
      </c>
      <c r="G933" t="s">
        <v>118</v>
      </c>
      <c r="H933">
        <v>126</v>
      </c>
      <c r="I933">
        <v>69</v>
      </c>
      <c r="J933">
        <v>730710</v>
      </c>
      <c r="K933">
        <v>54674</v>
      </c>
      <c r="L933" t="e">
        <f>[1]!Table1[[#This Row],[Revenue]]-[1]!Table1[[#This Row],[OperationalCost]]</f>
        <v>#REF!</v>
      </c>
      <c r="M933" t="str">
        <f t="shared" si="14"/>
        <v>Sep</v>
      </c>
      <c r="N933" s="15">
        <f>Table11[[#This Row],[SeatsSold]]/Table11[[#This Row],[SeatsAvailable]]</f>
        <v>0.54761904761904767</v>
      </c>
      <c r="O933" s="10"/>
    </row>
    <row r="934" spans="1:15" x14ac:dyDescent="0.3">
      <c r="A934" t="s">
        <v>1050</v>
      </c>
      <c r="B934" t="s">
        <v>101</v>
      </c>
      <c r="C934" t="s">
        <v>19</v>
      </c>
      <c r="D934" t="s">
        <v>11</v>
      </c>
      <c r="E934" s="16">
        <v>46378</v>
      </c>
      <c r="F934">
        <v>225</v>
      </c>
      <c r="G934" t="s">
        <v>116</v>
      </c>
      <c r="H934">
        <v>123</v>
      </c>
      <c r="I934">
        <v>40</v>
      </c>
      <c r="J934">
        <v>228480</v>
      </c>
      <c r="K934">
        <v>85938</v>
      </c>
      <c r="L934" t="e">
        <f>[1]!Table1[[#This Row],[Revenue]]-[1]!Table1[[#This Row],[OperationalCost]]</f>
        <v>#REF!</v>
      </c>
      <c r="M934" t="str">
        <f t="shared" si="14"/>
        <v>Dec</v>
      </c>
      <c r="N934" s="15">
        <f>Table11[[#This Row],[SeatsSold]]/Table11[[#This Row],[SeatsAvailable]]</f>
        <v>0.32520325203252032</v>
      </c>
      <c r="O934" s="10"/>
    </row>
    <row r="935" spans="1:15" x14ac:dyDescent="0.3">
      <c r="A935" t="s">
        <v>1051</v>
      </c>
      <c r="B935" t="s">
        <v>96</v>
      </c>
      <c r="C935" t="s">
        <v>3</v>
      </c>
      <c r="D935" t="s">
        <v>21</v>
      </c>
      <c r="E935" s="16">
        <v>46240</v>
      </c>
      <c r="F935">
        <v>173</v>
      </c>
      <c r="G935" t="s">
        <v>120</v>
      </c>
      <c r="H935">
        <v>113</v>
      </c>
      <c r="I935">
        <v>110</v>
      </c>
      <c r="J935">
        <v>624140</v>
      </c>
      <c r="K935">
        <v>75136</v>
      </c>
      <c r="L935" t="e">
        <f>[1]!Table1[[#This Row],[Revenue]]-[1]!Table1[[#This Row],[OperationalCost]]</f>
        <v>#REF!</v>
      </c>
      <c r="M935" t="str">
        <f t="shared" si="14"/>
        <v>Aug</v>
      </c>
      <c r="N935" s="15">
        <f>Table11[[#This Row],[SeatsSold]]/Table11[[#This Row],[SeatsAvailable]]</f>
        <v>0.97345132743362828</v>
      </c>
      <c r="O935" s="10"/>
    </row>
    <row r="936" spans="1:15" x14ac:dyDescent="0.3">
      <c r="A936" t="s">
        <v>1052</v>
      </c>
      <c r="B936" t="s">
        <v>63</v>
      </c>
      <c r="C936" t="s">
        <v>15</v>
      </c>
      <c r="D936" t="s">
        <v>14</v>
      </c>
      <c r="E936" s="16">
        <v>45724</v>
      </c>
      <c r="F936">
        <v>195</v>
      </c>
      <c r="G936" t="s">
        <v>113</v>
      </c>
      <c r="H936">
        <v>86</v>
      </c>
      <c r="I936">
        <v>48</v>
      </c>
      <c r="J936">
        <v>324144</v>
      </c>
      <c r="K936">
        <v>63543</v>
      </c>
      <c r="L936" t="e">
        <f>[1]!Table1[[#This Row],[Revenue]]-[1]!Table1[[#This Row],[OperationalCost]]</f>
        <v>#REF!</v>
      </c>
      <c r="M936" t="str">
        <f t="shared" si="14"/>
        <v>Mar</v>
      </c>
      <c r="N936" s="15">
        <f>Table11[[#This Row],[SeatsSold]]/Table11[[#This Row],[SeatsAvailable]]</f>
        <v>0.55813953488372092</v>
      </c>
      <c r="O936" s="10"/>
    </row>
    <row r="937" spans="1:15" x14ac:dyDescent="0.3">
      <c r="A937" t="s">
        <v>1053</v>
      </c>
      <c r="B937" t="s">
        <v>88</v>
      </c>
      <c r="C937" t="s">
        <v>11</v>
      </c>
      <c r="D937" t="s">
        <v>19</v>
      </c>
      <c r="E937" s="16">
        <v>45854</v>
      </c>
      <c r="F937">
        <v>218</v>
      </c>
      <c r="G937" t="s">
        <v>122</v>
      </c>
      <c r="H937">
        <v>206</v>
      </c>
      <c r="I937">
        <v>197</v>
      </c>
      <c r="J937">
        <v>1308671</v>
      </c>
      <c r="K937">
        <v>110030</v>
      </c>
      <c r="L937" t="e">
        <f>[1]!Table1[[#This Row],[Revenue]]-[1]!Table1[[#This Row],[OperationalCost]]</f>
        <v>#REF!</v>
      </c>
      <c r="M937" t="str">
        <f t="shared" si="14"/>
        <v>Jul</v>
      </c>
      <c r="N937" s="15">
        <f>Table11[[#This Row],[SeatsSold]]/Table11[[#This Row],[SeatsAvailable]]</f>
        <v>0.9563106796116505</v>
      </c>
      <c r="O937" s="10"/>
    </row>
    <row r="938" spans="1:15" x14ac:dyDescent="0.3">
      <c r="A938" t="s">
        <v>1054</v>
      </c>
      <c r="B938" t="s">
        <v>65</v>
      </c>
      <c r="C938" t="s">
        <v>6</v>
      </c>
      <c r="D938" t="s">
        <v>20</v>
      </c>
      <c r="E938" s="16">
        <v>46095</v>
      </c>
      <c r="F938">
        <v>209</v>
      </c>
      <c r="G938" t="s">
        <v>122</v>
      </c>
      <c r="H938">
        <v>152</v>
      </c>
      <c r="I938">
        <v>95</v>
      </c>
      <c r="J938">
        <v>870770</v>
      </c>
      <c r="K938">
        <v>56582</v>
      </c>
      <c r="L938" t="e">
        <f>[1]!Table1[[#This Row],[Revenue]]-[1]!Table1[[#This Row],[OperationalCost]]</f>
        <v>#REF!</v>
      </c>
      <c r="M938" t="str">
        <f t="shared" si="14"/>
        <v>Mar</v>
      </c>
      <c r="N938" s="15">
        <f>Table11[[#This Row],[SeatsSold]]/Table11[[#This Row],[SeatsAvailable]]</f>
        <v>0.625</v>
      </c>
      <c r="O938" s="10"/>
    </row>
    <row r="939" spans="1:15" x14ac:dyDescent="0.3">
      <c r="A939" t="s">
        <v>1055</v>
      </c>
      <c r="B939" t="s">
        <v>68</v>
      </c>
      <c r="C939" t="s">
        <v>11</v>
      </c>
      <c r="D939" t="s">
        <v>6</v>
      </c>
      <c r="E939" s="16">
        <v>46165</v>
      </c>
      <c r="F939">
        <v>137</v>
      </c>
      <c r="G939" t="s">
        <v>116</v>
      </c>
      <c r="H939">
        <v>81</v>
      </c>
      <c r="I939">
        <v>54</v>
      </c>
      <c r="J939">
        <v>176526</v>
      </c>
      <c r="K939">
        <v>41314</v>
      </c>
      <c r="L939" t="e">
        <f>[1]!Table1[[#This Row],[Revenue]]-[1]!Table1[[#This Row],[OperationalCost]]</f>
        <v>#REF!</v>
      </c>
      <c r="M939" t="str">
        <f t="shared" si="14"/>
        <v>May</v>
      </c>
      <c r="N939" s="15">
        <f>Table11[[#This Row],[SeatsSold]]/Table11[[#This Row],[SeatsAvailable]]</f>
        <v>0.66666666666666663</v>
      </c>
      <c r="O939" s="10"/>
    </row>
    <row r="940" spans="1:15" x14ac:dyDescent="0.3">
      <c r="A940" t="s">
        <v>1056</v>
      </c>
      <c r="B940" t="s">
        <v>68</v>
      </c>
      <c r="C940" t="s">
        <v>11</v>
      </c>
      <c r="D940" t="s">
        <v>6</v>
      </c>
      <c r="E940" s="16">
        <v>45981</v>
      </c>
      <c r="F940">
        <v>46</v>
      </c>
      <c r="G940" t="s">
        <v>120</v>
      </c>
      <c r="H940">
        <v>119</v>
      </c>
      <c r="I940">
        <v>82</v>
      </c>
      <c r="J940">
        <v>314880</v>
      </c>
      <c r="K940">
        <v>22470</v>
      </c>
      <c r="L940" t="e">
        <f>[1]!Table1[[#This Row],[Revenue]]-[1]!Table1[[#This Row],[OperationalCost]]</f>
        <v>#REF!</v>
      </c>
      <c r="M940" t="str">
        <f t="shared" si="14"/>
        <v>Nov</v>
      </c>
      <c r="N940" s="15">
        <f>Table11[[#This Row],[SeatsSold]]/Table11[[#This Row],[SeatsAvailable]]</f>
        <v>0.68907563025210083</v>
      </c>
      <c r="O940" s="10"/>
    </row>
    <row r="941" spans="1:15" x14ac:dyDescent="0.3">
      <c r="A941" t="s">
        <v>1057</v>
      </c>
      <c r="B941" t="s">
        <v>49</v>
      </c>
      <c r="C941" t="s">
        <v>9</v>
      </c>
      <c r="D941" t="s">
        <v>6</v>
      </c>
      <c r="E941" s="16">
        <v>45734</v>
      </c>
      <c r="F941">
        <v>108</v>
      </c>
      <c r="G941" t="s">
        <v>113</v>
      </c>
      <c r="H941">
        <v>112</v>
      </c>
      <c r="I941">
        <v>82</v>
      </c>
      <c r="J941">
        <v>622544</v>
      </c>
      <c r="K941">
        <v>41568</v>
      </c>
      <c r="L941" t="e">
        <f>[1]!Table1[[#This Row],[Revenue]]-[1]!Table1[[#This Row],[OperationalCost]]</f>
        <v>#REF!</v>
      </c>
      <c r="M941" t="str">
        <f t="shared" si="14"/>
        <v>Mar</v>
      </c>
      <c r="N941" s="15">
        <f>Table11[[#This Row],[SeatsSold]]/Table11[[#This Row],[SeatsAvailable]]</f>
        <v>0.7321428571428571</v>
      </c>
      <c r="O941" s="10"/>
    </row>
    <row r="942" spans="1:15" x14ac:dyDescent="0.3">
      <c r="A942" t="s">
        <v>1058</v>
      </c>
      <c r="B942" t="s">
        <v>5</v>
      </c>
      <c r="C942" t="s">
        <v>3</v>
      </c>
      <c r="D942" t="s">
        <v>20</v>
      </c>
      <c r="E942" s="16">
        <v>46149</v>
      </c>
      <c r="F942">
        <v>155</v>
      </c>
      <c r="G942" t="s">
        <v>122</v>
      </c>
      <c r="H942">
        <v>155</v>
      </c>
      <c r="I942">
        <v>147</v>
      </c>
      <c r="J942">
        <v>970494</v>
      </c>
      <c r="K942">
        <v>44950</v>
      </c>
      <c r="L942" t="e">
        <f>[1]!Table1[[#This Row],[Revenue]]-[1]!Table1[[#This Row],[OperationalCost]]</f>
        <v>#REF!</v>
      </c>
      <c r="M942" t="str">
        <f t="shared" si="14"/>
        <v>May</v>
      </c>
      <c r="N942" s="15">
        <f>Table11[[#This Row],[SeatsSold]]/Table11[[#This Row],[SeatsAvailable]]</f>
        <v>0.94838709677419353</v>
      </c>
      <c r="O942" s="10"/>
    </row>
    <row r="943" spans="1:15" x14ac:dyDescent="0.3">
      <c r="A943" t="s">
        <v>1059</v>
      </c>
      <c r="B943" t="s">
        <v>62</v>
      </c>
      <c r="C943" t="s">
        <v>6</v>
      </c>
      <c r="D943" t="s">
        <v>9</v>
      </c>
      <c r="E943" s="16">
        <v>46006</v>
      </c>
      <c r="F943">
        <v>58</v>
      </c>
      <c r="G943" t="s">
        <v>118</v>
      </c>
      <c r="H943">
        <v>203</v>
      </c>
      <c r="I943">
        <v>100</v>
      </c>
      <c r="J943">
        <v>369400</v>
      </c>
      <c r="K943">
        <v>64148</v>
      </c>
      <c r="L943" t="e">
        <f>[1]!Table1[[#This Row],[Revenue]]-[1]!Table1[[#This Row],[OperationalCost]]</f>
        <v>#REF!</v>
      </c>
      <c r="M943" t="str">
        <f t="shared" si="14"/>
        <v>Dec</v>
      </c>
      <c r="N943" s="15">
        <f>Table11[[#This Row],[SeatsSold]]/Table11[[#This Row],[SeatsAvailable]]</f>
        <v>0.49261083743842365</v>
      </c>
      <c r="O943" s="10"/>
    </row>
    <row r="944" spans="1:15" x14ac:dyDescent="0.3">
      <c r="A944" t="s">
        <v>1060</v>
      </c>
      <c r="B944" t="s">
        <v>84</v>
      </c>
      <c r="C944" t="s">
        <v>6</v>
      </c>
      <c r="D944" t="s">
        <v>3</v>
      </c>
      <c r="E944" s="16">
        <v>46298</v>
      </c>
      <c r="F944">
        <v>159</v>
      </c>
      <c r="G944" t="s">
        <v>116</v>
      </c>
      <c r="H944">
        <v>101</v>
      </c>
      <c r="I944">
        <v>45</v>
      </c>
      <c r="J944">
        <v>157230</v>
      </c>
      <c r="K944">
        <v>38128</v>
      </c>
      <c r="L944" t="e">
        <f>[1]!Table1[[#This Row],[Revenue]]-[1]!Table1[[#This Row],[OperationalCost]]</f>
        <v>#REF!</v>
      </c>
      <c r="M944" t="str">
        <f t="shared" si="14"/>
        <v>Oct</v>
      </c>
      <c r="N944" s="15">
        <f>Table11[[#This Row],[SeatsSold]]/Table11[[#This Row],[SeatsAvailable]]</f>
        <v>0.44554455445544555</v>
      </c>
      <c r="O944" s="10"/>
    </row>
    <row r="945" spans="1:15" x14ac:dyDescent="0.3">
      <c r="A945" t="s">
        <v>1061</v>
      </c>
      <c r="B945" t="s">
        <v>12</v>
      </c>
      <c r="C945" t="s">
        <v>21</v>
      </c>
      <c r="D945" t="s">
        <v>3</v>
      </c>
      <c r="E945" s="16">
        <v>45788</v>
      </c>
      <c r="F945">
        <v>60</v>
      </c>
      <c r="G945" t="s">
        <v>120</v>
      </c>
      <c r="H945">
        <v>84</v>
      </c>
      <c r="I945">
        <v>59</v>
      </c>
      <c r="J945">
        <v>564925</v>
      </c>
      <c r="K945">
        <v>17064</v>
      </c>
      <c r="L945" t="e">
        <f>[1]!Table1[[#This Row],[Revenue]]-[1]!Table1[[#This Row],[OperationalCost]]</f>
        <v>#REF!</v>
      </c>
      <c r="M945" t="str">
        <f t="shared" si="14"/>
        <v>May</v>
      </c>
      <c r="N945" s="15">
        <f>Table11[[#This Row],[SeatsSold]]/Table11[[#This Row],[SeatsAvailable]]</f>
        <v>0.70238095238095233</v>
      </c>
      <c r="O945" s="10"/>
    </row>
    <row r="946" spans="1:15" x14ac:dyDescent="0.3">
      <c r="A946" t="s">
        <v>1062</v>
      </c>
      <c r="B946" t="s">
        <v>80</v>
      </c>
      <c r="C946" t="s">
        <v>20</v>
      </c>
      <c r="D946" t="s">
        <v>15</v>
      </c>
      <c r="E946" s="16">
        <v>45711</v>
      </c>
      <c r="F946">
        <v>120</v>
      </c>
      <c r="G946" t="s">
        <v>120</v>
      </c>
      <c r="H946">
        <v>172</v>
      </c>
      <c r="I946">
        <v>64</v>
      </c>
      <c r="J946">
        <v>591040</v>
      </c>
      <c r="K946">
        <v>61556</v>
      </c>
      <c r="L946" t="e">
        <f>[1]!Table1[[#This Row],[Revenue]]-[1]!Table1[[#This Row],[OperationalCost]]</f>
        <v>#REF!</v>
      </c>
      <c r="M946" t="str">
        <f t="shared" si="14"/>
        <v>Feb</v>
      </c>
      <c r="N946" s="15">
        <f>Table11[[#This Row],[SeatsSold]]/Table11[[#This Row],[SeatsAvailable]]</f>
        <v>0.37209302325581395</v>
      </c>
      <c r="O946" s="10"/>
    </row>
    <row r="947" spans="1:15" x14ac:dyDescent="0.3">
      <c r="A947" t="s">
        <v>1063</v>
      </c>
      <c r="B947" t="s">
        <v>64</v>
      </c>
      <c r="C947" t="s">
        <v>15</v>
      </c>
      <c r="D947" t="s">
        <v>20</v>
      </c>
      <c r="E947" s="16">
        <v>46122</v>
      </c>
      <c r="F947">
        <v>143</v>
      </c>
      <c r="G947" t="s">
        <v>120</v>
      </c>
      <c r="H947">
        <v>179</v>
      </c>
      <c r="I947">
        <v>65</v>
      </c>
      <c r="J947">
        <v>524160</v>
      </c>
      <c r="K947">
        <v>56292</v>
      </c>
      <c r="L947" t="e">
        <f>[1]!Table1[[#This Row],[Revenue]]-[1]!Table1[[#This Row],[OperationalCost]]</f>
        <v>#REF!</v>
      </c>
      <c r="M947" t="str">
        <f t="shared" si="14"/>
        <v>Apr</v>
      </c>
      <c r="N947" s="15">
        <f>Table11[[#This Row],[SeatsSold]]/Table11[[#This Row],[SeatsAvailable]]</f>
        <v>0.36312849162011174</v>
      </c>
      <c r="O947" s="10"/>
    </row>
    <row r="948" spans="1:15" x14ac:dyDescent="0.3">
      <c r="A948" t="s">
        <v>1064</v>
      </c>
      <c r="B948" t="s">
        <v>97</v>
      </c>
      <c r="C948" t="s">
        <v>6</v>
      </c>
      <c r="D948" t="s">
        <v>15</v>
      </c>
      <c r="E948" s="16">
        <v>45994</v>
      </c>
      <c r="F948">
        <v>195</v>
      </c>
      <c r="G948" t="s">
        <v>113</v>
      </c>
      <c r="H948">
        <v>97</v>
      </c>
      <c r="I948">
        <v>46</v>
      </c>
      <c r="J948">
        <v>124246</v>
      </c>
      <c r="K948">
        <v>62449</v>
      </c>
      <c r="L948" t="e">
        <f>[1]!Table1[[#This Row],[Revenue]]-[1]!Table1[[#This Row],[OperationalCost]]</f>
        <v>#REF!</v>
      </c>
      <c r="M948" t="str">
        <f t="shared" si="14"/>
        <v>Dec</v>
      </c>
      <c r="N948" s="15">
        <f>Table11[[#This Row],[SeatsSold]]/Table11[[#This Row],[SeatsAvailable]]</f>
        <v>0.47422680412371132</v>
      </c>
      <c r="O948" s="10"/>
    </row>
    <row r="949" spans="1:15" x14ac:dyDescent="0.3">
      <c r="A949" t="s">
        <v>1065</v>
      </c>
      <c r="B949" t="s">
        <v>81</v>
      </c>
      <c r="C949" t="s">
        <v>15</v>
      </c>
      <c r="D949" t="s">
        <v>9</v>
      </c>
      <c r="E949" s="16">
        <v>46244</v>
      </c>
      <c r="F949">
        <v>77</v>
      </c>
      <c r="G949" t="s">
        <v>116</v>
      </c>
      <c r="H949">
        <v>135</v>
      </c>
      <c r="I949">
        <v>85</v>
      </c>
      <c r="J949">
        <v>798745</v>
      </c>
      <c r="K949">
        <v>50841</v>
      </c>
      <c r="L949" t="e">
        <f>[1]!Table1[[#This Row],[Revenue]]-[1]!Table1[[#This Row],[OperationalCost]]</f>
        <v>#REF!</v>
      </c>
      <c r="M949" t="str">
        <f t="shared" si="14"/>
        <v>Aug</v>
      </c>
      <c r="N949" s="15">
        <f>Table11[[#This Row],[SeatsSold]]/Table11[[#This Row],[SeatsAvailable]]</f>
        <v>0.62962962962962965</v>
      </c>
      <c r="O949" s="10"/>
    </row>
    <row r="950" spans="1:15" x14ac:dyDescent="0.3">
      <c r="A950" t="s">
        <v>1066</v>
      </c>
      <c r="B950" t="s">
        <v>18</v>
      </c>
      <c r="C950" t="s">
        <v>6</v>
      </c>
      <c r="D950" t="s">
        <v>14</v>
      </c>
      <c r="E950" s="16">
        <v>45906</v>
      </c>
      <c r="F950">
        <v>80</v>
      </c>
      <c r="G950" t="s">
        <v>122</v>
      </c>
      <c r="H950">
        <v>85</v>
      </c>
      <c r="I950">
        <v>48</v>
      </c>
      <c r="J950">
        <v>365088</v>
      </c>
      <c r="K950">
        <v>37755</v>
      </c>
      <c r="L950" t="e">
        <f>[1]!Table1[[#This Row],[Revenue]]-[1]!Table1[[#This Row],[OperationalCost]]</f>
        <v>#REF!</v>
      </c>
      <c r="M950" t="str">
        <f t="shared" si="14"/>
        <v>Sep</v>
      </c>
      <c r="N950" s="15">
        <f>Table11[[#This Row],[SeatsSold]]/Table11[[#This Row],[SeatsAvailable]]</f>
        <v>0.56470588235294117</v>
      </c>
      <c r="O950" s="10"/>
    </row>
    <row r="951" spans="1:15" x14ac:dyDescent="0.3">
      <c r="A951" t="s">
        <v>1067</v>
      </c>
      <c r="B951" t="s">
        <v>13</v>
      </c>
      <c r="C951" t="s">
        <v>11</v>
      </c>
      <c r="D951" t="s">
        <v>21</v>
      </c>
      <c r="E951" s="16">
        <v>45976</v>
      </c>
      <c r="F951">
        <v>194</v>
      </c>
      <c r="G951" t="s">
        <v>116</v>
      </c>
      <c r="H951">
        <v>107</v>
      </c>
      <c r="I951">
        <v>58</v>
      </c>
      <c r="J951">
        <v>591136</v>
      </c>
      <c r="K951">
        <v>63644</v>
      </c>
      <c r="L951" t="e">
        <f>[1]!Table1[[#This Row],[Revenue]]-[1]!Table1[[#This Row],[OperationalCost]]</f>
        <v>#REF!</v>
      </c>
      <c r="M951" t="str">
        <f t="shared" si="14"/>
        <v>Nov</v>
      </c>
      <c r="N951" s="15">
        <f>Table11[[#This Row],[SeatsSold]]/Table11[[#This Row],[SeatsAvailable]]</f>
        <v>0.54205607476635509</v>
      </c>
      <c r="O951" s="10"/>
    </row>
    <row r="952" spans="1:15" x14ac:dyDescent="0.3">
      <c r="A952" t="s">
        <v>1068</v>
      </c>
      <c r="B952" t="s">
        <v>79</v>
      </c>
      <c r="C952" t="s">
        <v>21</v>
      </c>
      <c r="D952" t="s">
        <v>19</v>
      </c>
      <c r="E952" s="16">
        <v>46035</v>
      </c>
      <c r="F952">
        <v>47</v>
      </c>
      <c r="G952" t="s">
        <v>116</v>
      </c>
      <c r="H952">
        <v>220</v>
      </c>
      <c r="I952">
        <v>208</v>
      </c>
      <c r="J952">
        <v>1012752</v>
      </c>
      <c r="K952">
        <v>37098</v>
      </c>
      <c r="L952" t="e">
        <f>[1]!Table1[[#This Row],[Revenue]]-[1]!Table1[[#This Row],[OperationalCost]]</f>
        <v>#REF!</v>
      </c>
      <c r="M952" t="str">
        <f t="shared" si="14"/>
        <v>Jan</v>
      </c>
      <c r="N952" s="15">
        <f>Table11[[#This Row],[SeatsSold]]/Table11[[#This Row],[SeatsAvailable]]</f>
        <v>0.94545454545454544</v>
      </c>
      <c r="O952" s="10"/>
    </row>
    <row r="953" spans="1:15" x14ac:dyDescent="0.3">
      <c r="A953" t="s">
        <v>1069</v>
      </c>
      <c r="B953" t="s">
        <v>38</v>
      </c>
      <c r="C953" t="s">
        <v>11</v>
      </c>
      <c r="D953" t="s">
        <v>15</v>
      </c>
      <c r="E953" s="16">
        <v>45713</v>
      </c>
      <c r="F953">
        <v>153</v>
      </c>
      <c r="G953" t="s">
        <v>118</v>
      </c>
      <c r="H953">
        <v>120</v>
      </c>
      <c r="I953">
        <v>65</v>
      </c>
      <c r="J953">
        <v>376805</v>
      </c>
      <c r="K953">
        <v>41001</v>
      </c>
      <c r="L953" t="e">
        <f>[1]!Table1[[#This Row],[Revenue]]-[1]!Table1[[#This Row],[OperationalCost]]</f>
        <v>#REF!</v>
      </c>
      <c r="M953" t="str">
        <f t="shared" si="14"/>
        <v>Feb</v>
      </c>
      <c r="N953" s="15">
        <f>Table11[[#This Row],[SeatsSold]]/Table11[[#This Row],[SeatsAvailable]]</f>
        <v>0.54166666666666663</v>
      </c>
      <c r="O953" s="10"/>
    </row>
    <row r="954" spans="1:15" x14ac:dyDescent="0.3">
      <c r="A954" t="s">
        <v>1070</v>
      </c>
      <c r="B954" t="s">
        <v>2</v>
      </c>
      <c r="C954" t="s">
        <v>9</v>
      </c>
      <c r="D954" t="s">
        <v>11</v>
      </c>
      <c r="E954" s="16">
        <v>46369</v>
      </c>
      <c r="F954">
        <v>222</v>
      </c>
      <c r="G954" t="s">
        <v>120</v>
      </c>
      <c r="H954">
        <v>154</v>
      </c>
      <c r="I954">
        <v>149</v>
      </c>
      <c r="J954">
        <v>1784424</v>
      </c>
      <c r="K954">
        <v>84018</v>
      </c>
      <c r="L954" t="e">
        <f>[1]!Table1[[#This Row],[Revenue]]-[1]!Table1[[#This Row],[OperationalCost]]</f>
        <v>#REF!</v>
      </c>
      <c r="M954" t="str">
        <f t="shared" si="14"/>
        <v>Dec</v>
      </c>
      <c r="N954" s="15">
        <f>Table11[[#This Row],[SeatsSold]]/Table11[[#This Row],[SeatsAvailable]]</f>
        <v>0.96753246753246758</v>
      </c>
      <c r="O954" s="10"/>
    </row>
    <row r="955" spans="1:15" x14ac:dyDescent="0.3">
      <c r="A955" t="s">
        <v>1071</v>
      </c>
      <c r="B955" t="s">
        <v>91</v>
      </c>
      <c r="C955" t="s">
        <v>15</v>
      </c>
      <c r="D955" t="s">
        <v>19</v>
      </c>
      <c r="E955" s="16">
        <v>46086</v>
      </c>
      <c r="F955">
        <v>129</v>
      </c>
      <c r="G955" t="s">
        <v>113</v>
      </c>
      <c r="H955">
        <v>96</v>
      </c>
      <c r="I955">
        <v>69</v>
      </c>
      <c r="J955">
        <v>220179</v>
      </c>
      <c r="K955">
        <v>44790</v>
      </c>
      <c r="L955" t="e">
        <f>[1]!Table1[[#This Row],[Revenue]]-[1]!Table1[[#This Row],[OperationalCost]]</f>
        <v>#REF!</v>
      </c>
      <c r="M955" t="str">
        <f t="shared" si="14"/>
        <v>Mar</v>
      </c>
      <c r="N955" s="15">
        <f>Table11[[#This Row],[SeatsSold]]/Table11[[#This Row],[SeatsAvailable]]</f>
        <v>0.71875</v>
      </c>
      <c r="O955" s="10"/>
    </row>
    <row r="956" spans="1:15" x14ac:dyDescent="0.3">
      <c r="A956" t="s">
        <v>1072</v>
      </c>
      <c r="B956" t="s">
        <v>82</v>
      </c>
      <c r="C956" t="s">
        <v>20</v>
      </c>
      <c r="D956" t="s">
        <v>19</v>
      </c>
      <c r="E956" s="16">
        <v>46367</v>
      </c>
      <c r="F956">
        <v>103</v>
      </c>
      <c r="G956" t="s">
        <v>120</v>
      </c>
      <c r="H956">
        <v>124</v>
      </c>
      <c r="I956">
        <v>70</v>
      </c>
      <c r="J956">
        <v>726320</v>
      </c>
      <c r="K956">
        <v>42836</v>
      </c>
      <c r="L956" t="e">
        <f>[1]!Table1[[#This Row],[Revenue]]-[1]!Table1[[#This Row],[OperationalCost]]</f>
        <v>#REF!</v>
      </c>
      <c r="M956" t="str">
        <f t="shared" si="14"/>
        <v>Dec</v>
      </c>
      <c r="N956" s="15">
        <f>Table11[[#This Row],[SeatsSold]]/Table11[[#This Row],[SeatsAvailable]]</f>
        <v>0.56451612903225812</v>
      </c>
      <c r="O956" s="10"/>
    </row>
    <row r="957" spans="1:15" x14ac:dyDescent="0.3">
      <c r="A957" t="s">
        <v>1073</v>
      </c>
      <c r="B957" t="s">
        <v>49</v>
      </c>
      <c r="C957" t="s">
        <v>9</v>
      </c>
      <c r="D957" t="s">
        <v>6</v>
      </c>
      <c r="E957" s="16">
        <v>45846</v>
      </c>
      <c r="F957">
        <v>46</v>
      </c>
      <c r="G957" t="s">
        <v>118</v>
      </c>
      <c r="H957">
        <v>72</v>
      </c>
      <c r="I957">
        <v>44</v>
      </c>
      <c r="J957">
        <v>367972</v>
      </c>
      <c r="K957">
        <v>21826</v>
      </c>
      <c r="L957" t="e">
        <f>[1]!Table1[[#This Row],[Revenue]]-[1]!Table1[[#This Row],[OperationalCost]]</f>
        <v>#REF!</v>
      </c>
      <c r="M957" t="str">
        <f t="shared" si="14"/>
        <v>Jul</v>
      </c>
      <c r="N957" s="15">
        <f>Table11[[#This Row],[SeatsSold]]/Table11[[#This Row],[SeatsAvailable]]</f>
        <v>0.61111111111111116</v>
      </c>
      <c r="O957" s="10"/>
    </row>
    <row r="958" spans="1:15" x14ac:dyDescent="0.3">
      <c r="A958" t="s">
        <v>1074</v>
      </c>
      <c r="B958" t="s">
        <v>93</v>
      </c>
      <c r="C958" t="s">
        <v>3</v>
      </c>
      <c r="D958" t="s">
        <v>9</v>
      </c>
      <c r="E958" s="16">
        <v>45955</v>
      </c>
      <c r="F958">
        <v>157</v>
      </c>
      <c r="G958" t="s">
        <v>113</v>
      </c>
      <c r="H958">
        <v>219</v>
      </c>
      <c r="I958">
        <v>132</v>
      </c>
      <c r="J958">
        <v>424908</v>
      </c>
      <c r="K958">
        <v>48409</v>
      </c>
      <c r="L958" t="e">
        <f>[1]!Table1[[#This Row],[Revenue]]-[1]!Table1[[#This Row],[OperationalCost]]</f>
        <v>#REF!</v>
      </c>
      <c r="M958" t="str">
        <f t="shared" si="14"/>
        <v>Oct</v>
      </c>
      <c r="N958" s="15">
        <f>Table11[[#This Row],[SeatsSold]]/Table11[[#This Row],[SeatsAvailable]]</f>
        <v>0.60273972602739723</v>
      </c>
      <c r="O958" s="10"/>
    </row>
    <row r="959" spans="1:15" x14ac:dyDescent="0.3">
      <c r="A959" t="s">
        <v>1075</v>
      </c>
      <c r="B959" t="s">
        <v>4</v>
      </c>
      <c r="C959" t="s">
        <v>9</v>
      </c>
      <c r="D959" t="s">
        <v>21</v>
      </c>
      <c r="E959" s="16">
        <v>45836</v>
      </c>
      <c r="F959">
        <v>101</v>
      </c>
      <c r="G959" t="s">
        <v>118</v>
      </c>
      <c r="H959">
        <v>114</v>
      </c>
      <c r="I959">
        <v>83</v>
      </c>
      <c r="J959">
        <v>961555</v>
      </c>
      <c r="K959">
        <v>32632</v>
      </c>
      <c r="L959" t="e">
        <f>[1]!Table1[[#This Row],[Revenue]]-[1]!Table1[[#This Row],[OperationalCost]]</f>
        <v>#REF!</v>
      </c>
      <c r="M959" t="str">
        <f t="shared" si="14"/>
        <v>Jun</v>
      </c>
      <c r="N959" s="15">
        <f>Table11[[#This Row],[SeatsSold]]/Table11[[#This Row],[SeatsAvailable]]</f>
        <v>0.72807017543859653</v>
      </c>
      <c r="O959" s="10"/>
    </row>
    <row r="960" spans="1:15" x14ac:dyDescent="0.3">
      <c r="A960" t="s">
        <v>1076</v>
      </c>
      <c r="B960" t="s">
        <v>60</v>
      </c>
      <c r="C960" t="s">
        <v>9</v>
      </c>
      <c r="D960" t="s">
        <v>20</v>
      </c>
      <c r="E960" s="16">
        <v>45838</v>
      </c>
      <c r="F960">
        <v>112</v>
      </c>
      <c r="G960" t="s">
        <v>122</v>
      </c>
      <c r="H960">
        <v>75</v>
      </c>
      <c r="I960">
        <v>48</v>
      </c>
      <c r="J960">
        <v>417984</v>
      </c>
      <c r="K960">
        <v>40244</v>
      </c>
      <c r="L960" t="e">
        <f>[1]!Table1[[#This Row],[Revenue]]-[1]!Table1[[#This Row],[OperationalCost]]</f>
        <v>#REF!</v>
      </c>
      <c r="M960" t="str">
        <f t="shared" si="14"/>
        <v>Jun</v>
      </c>
      <c r="N960" s="15">
        <f>Table11[[#This Row],[SeatsSold]]/Table11[[#This Row],[SeatsAvailable]]</f>
        <v>0.64</v>
      </c>
      <c r="O960" s="10"/>
    </row>
    <row r="961" spans="1:15" x14ac:dyDescent="0.3">
      <c r="A961" t="s">
        <v>1077</v>
      </c>
      <c r="B961" t="s">
        <v>86</v>
      </c>
      <c r="C961" t="s">
        <v>21</v>
      </c>
      <c r="D961" t="s">
        <v>9</v>
      </c>
      <c r="E961" s="16">
        <v>45970</v>
      </c>
      <c r="F961">
        <v>161</v>
      </c>
      <c r="G961" t="s">
        <v>113</v>
      </c>
      <c r="H961">
        <v>164</v>
      </c>
      <c r="I961">
        <v>143</v>
      </c>
      <c r="J961">
        <v>1229800</v>
      </c>
      <c r="K961">
        <v>66701</v>
      </c>
      <c r="L961" t="e">
        <f>[1]!Table1[[#This Row],[Revenue]]-[1]!Table1[[#This Row],[OperationalCost]]</f>
        <v>#REF!</v>
      </c>
      <c r="M961" t="str">
        <f t="shared" ref="M961:M1000" si="15">TEXT(E961,"MMM")</f>
        <v>Nov</v>
      </c>
      <c r="N961" s="15">
        <f>Table11[[#This Row],[SeatsSold]]/Table11[[#This Row],[SeatsAvailable]]</f>
        <v>0.87195121951219512</v>
      </c>
      <c r="O961" s="10"/>
    </row>
    <row r="962" spans="1:15" x14ac:dyDescent="0.3">
      <c r="A962" t="s">
        <v>1078</v>
      </c>
      <c r="B962" t="s">
        <v>70</v>
      </c>
      <c r="C962" t="s">
        <v>11</v>
      </c>
      <c r="D962" t="s">
        <v>17</v>
      </c>
      <c r="E962" s="16">
        <v>46386</v>
      </c>
      <c r="F962">
        <v>61</v>
      </c>
      <c r="G962" t="s">
        <v>122</v>
      </c>
      <c r="H962">
        <v>106</v>
      </c>
      <c r="I962">
        <v>56</v>
      </c>
      <c r="J962">
        <v>313992</v>
      </c>
      <c r="K962">
        <v>33205</v>
      </c>
      <c r="L962" t="e">
        <f>[1]!Table1[[#This Row],[Revenue]]-[1]!Table1[[#This Row],[OperationalCost]]</f>
        <v>#REF!</v>
      </c>
      <c r="M962" t="str">
        <f t="shared" si="15"/>
        <v>Dec</v>
      </c>
      <c r="N962" s="15">
        <f>Table11[[#This Row],[SeatsSold]]/Table11[[#This Row],[SeatsAvailable]]</f>
        <v>0.52830188679245282</v>
      </c>
      <c r="O962" s="10"/>
    </row>
    <row r="963" spans="1:15" x14ac:dyDescent="0.3">
      <c r="A963" t="s">
        <v>1079</v>
      </c>
      <c r="B963" t="s">
        <v>104</v>
      </c>
      <c r="C963" t="s">
        <v>17</v>
      </c>
      <c r="D963" t="s">
        <v>21</v>
      </c>
      <c r="E963" s="16">
        <v>45983</v>
      </c>
      <c r="F963">
        <v>198</v>
      </c>
      <c r="G963" t="s">
        <v>120</v>
      </c>
      <c r="H963">
        <v>132</v>
      </c>
      <c r="I963">
        <v>45</v>
      </c>
      <c r="J963">
        <v>251910</v>
      </c>
      <c r="K963">
        <v>71346</v>
      </c>
      <c r="L963" t="e">
        <f>[1]!Table1[[#This Row],[Revenue]]-[1]!Table1[[#This Row],[OperationalCost]]</f>
        <v>#REF!</v>
      </c>
      <c r="M963" t="str">
        <f t="shared" si="15"/>
        <v>Nov</v>
      </c>
      <c r="N963" s="15">
        <f>Table11[[#This Row],[SeatsSold]]/Table11[[#This Row],[SeatsAvailable]]</f>
        <v>0.34090909090909088</v>
      </c>
      <c r="O963" s="10"/>
    </row>
    <row r="964" spans="1:15" x14ac:dyDescent="0.3">
      <c r="A964" t="s">
        <v>1080</v>
      </c>
      <c r="B964" t="s">
        <v>40</v>
      </c>
      <c r="C964" t="s">
        <v>14</v>
      </c>
      <c r="D964" t="s">
        <v>17</v>
      </c>
      <c r="E964" s="16">
        <v>45911</v>
      </c>
      <c r="F964">
        <v>58</v>
      </c>
      <c r="G964" t="s">
        <v>118</v>
      </c>
      <c r="H964">
        <v>102</v>
      </c>
      <c r="I964">
        <v>94</v>
      </c>
      <c r="J964">
        <v>1017738</v>
      </c>
      <c r="K964">
        <v>36512</v>
      </c>
      <c r="L964" t="e">
        <f>[1]!Table1[[#This Row],[Revenue]]-[1]!Table1[[#This Row],[OperationalCost]]</f>
        <v>#REF!</v>
      </c>
      <c r="M964" t="str">
        <f t="shared" si="15"/>
        <v>Sep</v>
      </c>
      <c r="N964" s="15">
        <f>Table11[[#This Row],[SeatsSold]]/Table11[[#This Row],[SeatsAvailable]]</f>
        <v>0.92156862745098034</v>
      </c>
      <c r="O964" s="10"/>
    </row>
    <row r="965" spans="1:15" x14ac:dyDescent="0.3">
      <c r="A965" t="s">
        <v>1081</v>
      </c>
      <c r="B965" t="s">
        <v>7</v>
      </c>
      <c r="C965" t="s">
        <v>9</v>
      </c>
      <c r="D965" t="s">
        <v>3</v>
      </c>
      <c r="E965" s="16">
        <v>46139</v>
      </c>
      <c r="F965">
        <v>214</v>
      </c>
      <c r="G965" t="s">
        <v>116</v>
      </c>
      <c r="H965">
        <v>86</v>
      </c>
      <c r="I965">
        <v>50</v>
      </c>
      <c r="J965">
        <v>541650</v>
      </c>
      <c r="K965">
        <v>67936</v>
      </c>
      <c r="L965" t="e">
        <f>[1]!Table1[[#This Row],[Revenue]]-[1]!Table1[[#This Row],[OperationalCost]]</f>
        <v>#REF!</v>
      </c>
      <c r="M965" t="str">
        <f t="shared" si="15"/>
        <v>Apr</v>
      </c>
      <c r="N965" s="15">
        <f>Table11[[#This Row],[SeatsSold]]/Table11[[#This Row],[SeatsAvailable]]</f>
        <v>0.58139534883720934</v>
      </c>
      <c r="O965" s="10"/>
    </row>
    <row r="966" spans="1:15" x14ac:dyDescent="0.3">
      <c r="A966" t="s">
        <v>1082</v>
      </c>
      <c r="B966" t="s">
        <v>13</v>
      </c>
      <c r="C966" t="s">
        <v>11</v>
      </c>
      <c r="D966" t="s">
        <v>21</v>
      </c>
      <c r="E966" s="16">
        <v>46168</v>
      </c>
      <c r="F966">
        <v>177</v>
      </c>
      <c r="G966" t="s">
        <v>120</v>
      </c>
      <c r="H966">
        <v>115</v>
      </c>
      <c r="I966">
        <v>81</v>
      </c>
      <c r="J966">
        <v>698625</v>
      </c>
      <c r="K966">
        <v>68303</v>
      </c>
      <c r="L966" t="e">
        <f>[1]!Table1[[#This Row],[Revenue]]-[1]!Table1[[#This Row],[OperationalCost]]</f>
        <v>#REF!</v>
      </c>
      <c r="M966" t="str">
        <f t="shared" si="15"/>
        <v>May</v>
      </c>
      <c r="N966" s="15">
        <f>Table11[[#This Row],[SeatsSold]]/Table11[[#This Row],[SeatsAvailable]]</f>
        <v>0.70434782608695656</v>
      </c>
      <c r="O966" s="10"/>
    </row>
    <row r="967" spans="1:15" x14ac:dyDescent="0.3">
      <c r="A967" t="s">
        <v>1083</v>
      </c>
      <c r="B967" t="s">
        <v>36</v>
      </c>
      <c r="C967" t="s">
        <v>6</v>
      </c>
      <c r="D967" t="s">
        <v>11</v>
      </c>
      <c r="E967" s="16">
        <v>45932</v>
      </c>
      <c r="F967">
        <v>193</v>
      </c>
      <c r="G967" t="s">
        <v>120</v>
      </c>
      <c r="H967">
        <v>219</v>
      </c>
      <c r="I967">
        <v>206</v>
      </c>
      <c r="J967">
        <v>638394</v>
      </c>
      <c r="K967">
        <v>63173</v>
      </c>
      <c r="L967" t="e">
        <f>[1]!Table1[[#This Row],[Revenue]]-[1]!Table1[[#This Row],[OperationalCost]]</f>
        <v>#REF!</v>
      </c>
      <c r="M967" t="str">
        <f t="shared" si="15"/>
        <v>Oct</v>
      </c>
      <c r="N967" s="15">
        <f>Table11[[#This Row],[SeatsSold]]/Table11[[#This Row],[SeatsAvailable]]</f>
        <v>0.94063926940639264</v>
      </c>
      <c r="O967" s="10"/>
    </row>
    <row r="968" spans="1:15" x14ac:dyDescent="0.3">
      <c r="A968" t="s">
        <v>1084</v>
      </c>
      <c r="B968" t="s">
        <v>2</v>
      </c>
      <c r="C968" t="s">
        <v>9</v>
      </c>
      <c r="D968" t="s">
        <v>11</v>
      </c>
      <c r="E968" s="16">
        <v>45898</v>
      </c>
      <c r="F968">
        <v>146</v>
      </c>
      <c r="G968" t="s">
        <v>113</v>
      </c>
      <c r="H968">
        <v>148</v>
      </c>
      <c r="I968">
        <v>94</v>
      </c>
      <c r="J968">
        <v>815732</v>
      </c>
      <c r="K968">
        <v>56596</v>
      </c>
      <c r="L968" t="e">
        <f>[1]!Table1[[#This Row],[Revenue]]-[1]!Table1[[#This Row],[OperationalCost]]</f>
        <v>#REF!</v>
      </c>
      <c r="M968" t="str">
        <f t="shared" si="15"/>
        <v>Aug</v>
      </c>
      <c r="N968" s="15">
        <f>Table11[[#This Row],[SeatsSold]]/Table11[[#This Row],[SeatsAvailable]]</f>
        <v>0.63513513513513509</v>
      </c>
      <c r="O968" s="10"/>
    </row>
    <row r="969" spans="1:15" x14ac:dyDescent="0.3">
      <c r="A969" t="s">
        <v>1085</v>
      </c>
      <c r="B969" t="s">
        <v>79</v>
      </c>
      <c r="C969" t="s">
        <v>21</v>
      </c>
      <c r="D969" t="s">
        <v>19</v>
      </c>
      <c r="E969" s="16">
        <v>46221</v>
      </c>
      <c r="F969">
        <v>66</v>
      </c>
      <c r="G969" t="s">
        <v>113</v>
      </c>
      <c r="H969">
        <v>91</v>
      </c>
      <c r="I969">
        <v>58</v>
      </c>
      <c r="J969">
        <v>567356</v>
      </c>
      <c r="K969">
        <v>32102</v>
      </c>
      <c r="L969" t="e">
        <f>[1]!Table1[[#This Row],[Revenue]]-[1]!Table1[[#This Row],[OperationalCost]]</f>
        <v>#REF!</v>
      </c>
      <c r="M969" t="str">
        <f t="shared" si="15"/>
        <v>Jul</v>
      </c>
      <c r="N969" s="15">
        <f>Table11[[#This Row],[SeatsSold]]/Table11[[#This Row],[SeatsAvailable]]</f>
        <v>0.63736263736263732</v>
      </c>
      <c r="O969" s="10"/>
    </row>
    <row r="970" spans="1:15" x14ac:dyDescent="0.3">
      <c r="A970" t="s">
        <v>1086</v>
      </c>
      <c r="B970" t="s">
        <v>60</v>
      </c>
      <c r="C970" t="s">
        <v>9</v>
      </c>
      <c r="D970" t="s">
        <v>20</v>
      </c>
      <c r="E970" s="16">
        <v>46134</v>
      </c>
      <c r="F970">
        <v>176</v>
      </c>
      <c r="G970" t="s">
        <v>116</v>
      </c>
      <c r="H970">
        <v>156</v>
      </c>
      <c r="I970">
        <v>94</v>
      </c>
      <c r="J970">
        <v>929754</v>
      </c>
      <c r="K970">
        <v>71704</v>
      </c>
      <c r="L970" t="e">
        <f>[1]!Table1[[#This Row],[Revenue]]-[1]!Table1[[#This Row],[OperationalCost]]</f>
        <v>#REF!</v>
      </c>
      <c r="M970" t="str">
        <f t="shared" si="15"/>
        <v>Apr</v>
      </c>
      <c r="N970" s="15">
        <f>Table11[[#This Row],[SeatsSold]]/Table11[[#This Row],[SeatsAvailable]]</f>
        <v>0.60256410256410253</v>
      </c>
      <c r="O970" s="10"/>
    </row>
    <row r="971" spans="1:15" x14ac:dyDescent="0.3">
      <c r="A971" t="s">
        <v>1087</v>
      </c>
      <c r="B971" t="s">
        <v>104</v>
      </c>
      <c r="C971" t="s">
        <v>17</v>
      </c>
      <c r="D971" t="s">
        <v>21</v>
      </c>
      <c r="E971" s="16">
        <v>46167</v>
      </c>
      <c r="F971">
        <v>126</v>
      </c>
      <c r="G971" t="s">
        <v>118</v>
      </c>
      <c r="H971">
        <v>167</v>
      </c>
      <c r="I971">
        <v>46</v>
      </c>
      <c r="J971">
        <v>250332</v>
      </c>
      <c r="K971">
        <v>52571</v>
      </c>
      <c r="L971" t="e">
        <f>[1]!Table1[[#This Row],[Revenue]]-[1]!Table1[[#This Row],[OperationalCost]]</f>
        <v>#REF!</v>
      </c>
      <c r="M971" t="str">
        <f t="shared" si="15"/>
        <v>May</v>
      </c>
      <c r="N971" s="15">
        <f>Table11[[#This Row],[SeatsSold]]/Table11[[#This Row],[SeatsAvailable]]</f>
        <v>0.27544910179640719</v>
      </c>
      <c r="O971" s="10"/>
    </row>
    <row r="972" spans="1:15" x14ac:dyDescent="0.3">
      <c r="A972" t="s">
        <v>1088</v>
      </c>
      <c r="B972" t="s">
        <v>51</v>
      </c>
      <c r="C972" t="s">
        <v>19</v>
      </c>
      <c r="D972" t="s">
        <v>3</v>
      </c>
      <c r="E972" s="16">
        <v>46025</v>
      </c>
      <c r="F972">
        <v>66</v>
      </c>
      <c r="G972" t="s">
        <v>118</v>
      </c>
      <c r="H972">
        <v>198</v>
      </c>
      <c r="I972">
        <v>171</v>
      </c>
      <c r="J972">
        <v>1958976</v>
      </c>
      <c r="K972">
        <v>38544</v>
      </c>
      <c r="L972" t="e">
        <f>[1]!Table1[[#This Row],[Revenue]]-[1]!Table1[[#This Row],[OperationalCost]]</f>
        <v>#REF!</v>
      </c>
      <c r="M972" t="str">
        <f t="shared" si="15"/>
        <v>Jan</v>
      </c>
      <c r="N972" s="15">
        <f>Table11[[#This Row],[SeatsSold]]/Table11[[#This Row],[SeatsAvailable]]</f>
        <v>0.86363636363636365</v>
      </c>
      <c r="O972" s="10"/>
    </row>
    <row r="973" spans="1:15" x14ac:dyDescent="0.3">
      <c r="A973" t="s">
        <v>1089</v>
      </c>
      <c r="B973" t="s">
        <v>87</v>
      </c>
      <c r="C973" t="s">
        <v>19</v>
      </c>
      <c r="D973" t="s">
        <v>9</v>
      </c>
      <c r="E973" s="16">
        <v>45758</v>
      </c>
      <c r="F973">
        <v>75</v>
      </c>
      <c r="G973" t="s">
        <v>122</v>
      </c>
      <c r="H973">
        <v>162</v>
      </c>
      <c r="I973">
        <v>44</v>
      </c>
      <c r="J973">
        <v>503624</v>
      </c>
      <c r="K973">
        <v>39555</v>
      </c>
      <c r="L973" t="e">
        <f>[1]!Table1[[#This Row],[Revenue]]-[1]!Table1[[#This Row],[OperationalCost]]</f>
        <v>#REF!</v>
      </c>
      <c r="M973" t="str">
        <f t="shared" si="15"/>
        <v>Apr</v>
      </c>
      <c r="N973" s="15">
        <f>Table11[[#This Row],[SeatsSold]]/Table11[[#This Row],[SeatsAvailable]]</f>
        <v>0.27160493827160492</v>
      </c>
      <c r="O973" s="10"/>
    </row>
    <row r="974" spans="1:15" x14ac:dyDescent="0.3">
      <c r="A974" t="s">
        <v>1090</v>
      </c>
      <c r="B974" t="s">
        <v>43</v>
      </c>
      <c r="C974" t="s">
        <v>9</v>
      </c>
      <c r="D974" t="s">
        <v>17</v>
      </c>
      <c r="E974" s="16">
        <v>45914</v>
      </c>
      <c r="F974">
        <v>122</v>
      </c>
      <c r="G974" t="s">
        <v>118</v>
      </c>
      <c r="H974">
        <v>118</v>
      </c>
      <c r="I974">
        <v>117</v>
      </c>
      <c r="J974">
        <v>556686</v>
      </c>
      <c r="K974">
        <v>48826</v>
      </c>
      <c r="L974" t="e">
        <f>[1]!Table1[[#This Row],[Revenue]]-[1]!Table1[[#This Row],[OperationalCost]]</f>
        <v>#REF!</v>
      </c>
      <c r="M974" t="str">
        <f t="shared" si="15"/>
        <v>Sep</v>
      </c>
      <c r="N974" s="15">
        <f>Table11[[#This Row],[SeatsSold]]/Table11[[#This Row],[SeatsAvailable]]</f>
        <v>0.99152542372881358</v>
      </c>
      <c r="O974" s="10"/>
    </row>
    <row r="975" spans="1:15" x14ac:dyDescent="0.3">
      <c r="A975" t="s">
        <v>1091</v>
      </c>
      <c r="B975" t="s">
        <v>76</v>
      </c>
      <c r="C975" t="s">
        <v>20</v>
      </c>
      <c r="D975" t="s">
        <v>21</v>
      </c>
      <c r="E975" s="16">
        <v>45946</v>
      </c>
      <c r="F975">
        <v>133</v>
      </c>
      <c r="G975" t="s">
        <v>120</v>
      </c>
      <c r="H975">
        <v>173</v>
      </c>
      <c r="I975">
        <v>43</v>
      </c>
      <c r="J975">
        <v>440019</v>
      </c>
      <c r="K975">
        <v>74674</v>
      </c>
      <c r="L975" t="e">
        <f>[1]!Table1[[#This Row],[Revenue]]-[1]!Table1[[#This Row],[OperationalCost]]</f>
        <v>#REF!</v>
      </c>
      <c r="M975" t="str">
        <f t="shared" si="15"/>
        <v>Oct</v>
      </c>
      <c r="N975" s="15">
        <f>Table11[[#This Row],[SeatsSold]]/Table11[[#This Row],[SeatsAvailable]]</f>
        <v>0.24855491329479767</v>
      </c>
      <c r="O975" s="10"/>
    </row>
    <row r="976" spans="1:15" x14ac:dyDescent="0.3">
      <c r="A976" t="s">
        <v>1092</v>
      </c>
      <c r="B976" t="s">
        <v>55</v>
      </c>
      <c r="C976" t="s">
        <v>14</v>
      </c>
      <c r="D976" t="s">
        <v>6</v>
      </c>
      <c r="E976" s="16">
        <v>45891</v>
      </c>
      <c r="F976">
        <v>103</v>
      </c>
      <c r="G976" t="s">
        <v>113</v>
      </c>
      <c r="H976">
        <v>191</v>
      </c>
      <c r="I976">
        <v>99</v>
      </c>
      <c r="J976">
        <v>1084149</v>
      </c>
      <c r="K976">
        <v>70021</v>
      </c>
      <c r="L976" t="e">
        <f>[1]!Table1[[#This Row],[Revenue]]-[1]!Table1[[#This Row],[OperationalCost]]</f>
        <v>#REF!</v>
      </c>
      <c r="M976" t="str">
        <f t="shared" si="15"/>
        <v>Aug</v>
      </c>
      <c r="N976" s="15">
        <f>Table11[[#This Row],[SeatsSold]]/Table11[[#This Row],[SeatsAvailable]]</f>
        <v>0.51832460732984298</v>
      </c>
      <c r="O976" s="10"/>
    </row>
    <row r="977" spans="1:15" x14ac:dyDescent="0.3">
      <c r="A977" t="s">
        <v>1093</v>
      </c>
      <c r="B977" t="s">
        <v>36</v>
      </c>
      <c r="C977" t="s">
        <v>6</v>
      </c>
      <c r="D977" t="s">
        <v>11</v>
      </c>
      <c r="E977" s="16">
        <v>46006</v>
      </c>
      <c r="F977">
        <v>66</v>
      </c>
      <c r="G977" t="s">
        <v>118</v>
      </c>
      <c r="H977">
        <v>118</v>
      </c>
      <c r="I977">
        <v>94</v>
      </c>
      <c r="J977">
        <v>878242</v>
      </c>
      <c r="K977">
        <v>34074</v>
      </c>
      <c r="L977" t="e">
        <f>[1]!Table1[[#This Row],[Revenue]]-[1]!Table1[[#This Row],[OperationalCost]]</f>
        <v>#REF!</v>
      </c>
      <c r="M977" t="str">
        <f t="shared" si="15"/>
        <v>Dec</v>
      </c>
      <c r="N977" s="15">
        <f>Table11[[#This Row],[SeatsSold]]/Table11[[#This Row],[SeatsAvailable]]</f>
        <v>0.79661016949152541</v>
      </c>
      <c r="O977" s="10"/>
    </row>
    <row r="978" spans="1:15" x14ac:dyDescent="0.3">
      <c r="A978" t="s">
        <v>1094</v>
      </c>
      <c r="B978" t="s">
        <v>97</v>
      </c>
      <c r="C978" t="s">
        <v>6</v>
      </c>
      <c r="D978" t="s">
        <v>15</v>
      </c>
      <c r="E978" s="16">
        <v>45688</v>
      </c>
      <c r="F978">
        <v>140</v>
      </c>
      <c r="G978" t="s">
        <v>113</v>
      </c>
      <c r="H978">
        <v>217</v>
      </c>
      <c r="I978">
        <v>72</v>
      </c>
      <c r="J978">
        <v>540432</v>
      </c>
      <c r="K978">
        <v>61999</v>
      </c>
      <c r="L978" t="e">
        <f>[1]!Table1[[#This Row],[Revenue]]-[1]!Table1[[#This Row],[OperationalCost]]</f>
        <v>#REF!</v>
      </c>
      <c r="M978" t="str">
        <f t="shared" si="15"/>
        <v>Jan</v>
      </c>
      <c r="N978" s="15">
        <f>Table11[[#This Row],[SeatsSold]]/Table11[[#This Row],[SeatsAvailable]]</f>
        <v>0.33179723502304148</v>
      </c>
      <c r="O978" s="10"/>
    </row>
    <row r="979" spans="1:15" x14ac:dyDescent="0.3">
      <c r="A979" t="s">
        <v>1095</v>
      </c>
      <c r="B979" t="s">
        <v>52</v>
      </c>
      <c r="C979" t="s">
        <v>21</v>
      </c>
      <c r="D979" t="s">
        <v>17</v>
      </c>
      <c r="E979" s="16">
        <v>45888</v>
      </c>
      <c r="F979">
        <v>152</v>
      </c>
      <c r="G979" t="s">
        <v>120</v>
      </c>
      <c r="H979">
        <v>173</v>
      </c>
      <c r="I979">
        <v>116</v>
      </c>
      <c r="J979">
        <v>909672</v>
      </c>
      <c r="K979">
        <v>55745</v>
      </c>
      <c r="L979" t="e">
        <f>[1]!Table1[[#This Row],[Revenue]]-[1]!Table1[[#This Row],[OperationalCost]]</f>
        <v>#REF!</v>
      </c>
      <c r="M979" t="str">
        <f t="shared" si="15"/>
        <v>Aug</v>
      </c>
      <c r="N979" s="15">
        <f>Table11[[#This Row],[SeatsSold]]/Table11[[#This Row],[SeatsAvailable]]</f>
        <v>0.67052023121387283</v>
      </c>
      <c r="O979" s="10"/>
    </row>
    <row r="980" spans="1:15" x14ac:dyDescent="0.3">
      <c r="A980" t="s">
        <v>1096</v>
      </c>
      <c r="B980" t="s">
        <v>64</v>
      </c>
      <c r="C980" t="s">
        <v>15</v>
      </c>
      <c r="D980" t="s">
        <v>20</v>
      </c>
      <c r="E980" s="16">
        <v>45800</v>
      </c>
      <c r="F980">
        <v>84</v>
      </c>
      <c r="G980" t="s">
        <v>118</v>
      </c>
      <c r="H980">
        <v>215</v>
      </c>
      <c r="I980">
        <v>201</v>
      </c>
      <c r="J980">
        <v>2392302</v>
      </c>
      <c r="K980">
        <v>56535</v>
      </c>
      <c r="L980" t="e">
        <f>[1]!Table1[[#This Row],[Revenue]]-[1]!Table1[[#This Row],[OperationalCost]]</f>
        <v>#REF!</v>
      </c>
      <c r="M980" t="str">
        <f t="shared" si="15"/>
        <v>May</v>
      </c>
      <c r="N980" s="15">
        <f>Table11[[#This Row],[SeatsSold]]/Table11[[#This Row],[SeatsAvailable]]</f>
        <v>0.93488372093023253</v>
      </c>
      <c r="O980" s="10"/>
    </row>
    <row r="981" spans="1:15" x14ac:dyDescent="0.3">
      <c r="A981" t="s">
        <v>1097</v>
      </c>
      <c r="B981" t="s">
        <v>49</v>
      </c>
      <c r="C981" t="s">
        <v>9</v>
      </c>
      <c r="D981" t="s">
        <v>6</v>
      </c>
      <c r="E981" s="16">
        <v>45723</v>
      </c>
      <c r="F981">
        <v>181</v>
      </c>
      <c r="G981" t="s">
        <v>120</v>
      </c>
      <c r="H981">
        <v>118</v>
      </c>
      <c r="I981">
        <v>100</v>
      </c>
      <c r="J981">
        <v>427900</v>
      </c>
      <c r="K981">
        <v>63474</v>
      </c>
      <c r="L981" t="e">
        <f>[1]!Table1[[#This Row],[Revenue]]-[1]!Table1[[#This Row],[OperationalCost]]</f>
        <v>#REF!</v>
      </c>
      <c r="M981" t="str">
        <f t="shared" si="15"/>
        <v>Mar</v>
      </c>
      <c r="N981" s="15">
        <f>Table11[[#This Row],[SeatsSold]]/Table11[[#This Row],[SeatsAvailable]]</f>
        <v>0.84745762711864403</v>
      </c>
      <c r="O981" s="10"/>
    </row>
    <row r="982" spans="1:15" x14ac:dyDescent="0.3">
      <c r="A982" t="s">
        <v>1098</v>
      </c>
      <c r="B982" t="s">
        <v>102</v>
      </c>
      <c r="C982" t="s">
        <v>6</v>
      </c>
      <c r="D982" t="s">
        <v>19</v>
      </c>
      <c r="E982" s="16">
        <v>45753</v>
      </c>
      <c r="F982">
        <v>88</v>
      </c>
      <c r="G982" t="s">
        <v>122</v>
      </c>
      <c r="H982">
        <v>211</v>
      </c>
      <c r="I982">
        <v>85</v>
      </c>
      <c r="J982">
        <v>257125</v>
      </c>
      <c r="K982">
        <v>75422</v>
      </c>
      <c r="L982" t="e">
        <f>[1]!Table1[[#This Row],[Revenue]]-[1]!Table1[[#This Row],[OperationalCost]]</f>
        <v>#REF!</v>
      </c>
      <c r="M982" t="str">
        <f t="shared" si="15"/>
        <v>Apr</v>
      </c>
      <c r="N982" s="15">
        <f>Table11[[#This Row],[SeatsSold]]/Table11[[#This Row],[SeatsAvailable]]</f>
        <v>0.40284360189573459</v>
      </c>
      <c r="O982" s="10"/>
    </row>
    <row r="983" spans="1:15" x14ac:dyDescent="0.3">
      <c r="A983" t="s">
        <v>1099</v>
      </c>
      <c r="B983" t="s">
        <v>65</v>
      </c>
      <c r="C983" t="s">
        <v>6</v>
      </c>
      <c r="D983" t="s">
        <v>20</v>
      </c>
      <c r="E983" s="16">
        <v>45849</v>
      </c>
      <c r="F983">
        <v>95</v>
      </c>
      <c r="G983" t="s">
        <v>122</v>
      </c>
      <c r="H983">
        <v>168</v>
      </c>
      <c r="I983">
        <v>112</v>
      </c>
      <c r="J983">
        <v>657776</v>
      </c>
      <c r="K983">
        <v>42877</v>
      </c>
      <c r="L983" t="e">
        <f>[1]!Table1[[#This Row],[Revenue]]-[1]!Table1[[#This Row],[OperationalCost]]</f>
        <v>#REF!</v>
      </c>
      <c r="M983" t="str">
        <f t="shared" si="15"/>
        <v>Jul</v>
      </c>
      <c r="N983" s="15">
        <f>Table11[[#This Row],[SeatsSold]]/Table11[[#This Row],[SeatsAvailable]]</f>
        <v>0.66666666666666663</v>
      </c>
      <c r="O983" s="10"/>
    </row>
    <row r="984" spans="1:15" x14ac:dyDescent="0.3">
      <c r="A984" t="s">
        <v>1100</v>
      </c>
      <c r="B984" t="s">
        <v>75</v>
      </c>
      <c r="C984" t="s">
        <v>11</v>
      </c>
      <c r="D984" t="s">
        <v>3</v>
      </c>
      <c r="E984" s="16">
        <v>46123</v>
      </c>
      <c r="F984">
        <v>59</v>
      </c>
      <c r="G984" t="s">
        <v>118</v>
      </c>
      <c r="H984">
        <v>202</v>
      </c>
      <c r="I984">
        <v>42</v>
      </c>
      <c r="J984">
        <v>223230</v>
      </c>
      <c r="K984">
        <v>49347</v>
      </c>
      <c r="L984" t="e">
        <f>[1]!Table1[[#This Row],[Revenue]]-[1]!Table1[[#This Row],[OperationalCost]]</f>
        <v>#REF!</v>
      </c>
      <c r="M984" t="str">
        <f t="shared" si="15"/>
        <v>Apr</v>
      </c>
      <c r="N984" s="15">
        <f>Table11[[#This Row],[SeatsSold]]/Table11[[#This Row],[SeatsAvailable]]</f>
        <v>0.20792079207920791</v>
      </c>
      <c r="O984" s="10"/>
    </row>
    <row r="985" spans="1:15" x14ac:dyDescent="0.3">
      <c r="A985" t="s">
        <v>1101</v>
      </c>
      <c r="B985" t="s">
        <v>10</v>
      </c>
      <c r="C985" t="s">
        <v>17</v>
      </c>
      <c r="D985" t="s">
        <v>14</v>
      </c>
      <c r="E985" s="16">
        <v>45771</v>
      </c>
      <c r="F985">
        <v>78</v>
      </c>
      <c r="G985" t="s">
        <v>116</v>
      </c>
      <c r="H985">
        <v>177</v>
      </c>
      <c r="I985">
        <v>162</v>
      </c>
      <c r="J985">
        <v>587412</v>
      </c>
      <c r="K985">
        <v>40446</v>
      </c>
      <c r="L985" t="e">
        <f>[1]!Table1[[#This Row],[Revenue]]-[1]!Table1[[#This Row],[OperationalCost]]</f>
        <v>#REF!</v>
      </c>
      <c r="M985" t="str">
        <f t="shared" si="15"/>
        <v>Apr</v>
      </c>
      <c r="N985" s="15">
        <f>Table11[[#This Row],[SeatsSold]]/Table11[[#This Row],[SeatsAvailable]]</f>
        <v>0.9152542372881356</v>
      </c>
      <c r="O985" s="10"/>
    </row>
    <row r="986" spans="1:15" x14ac:dyDescent="0.3">
      <c r="A986" t="s">
        <v>1102</v>
      </c>
      <c r="B986" t="s">
        <v>53</v>
      </c>
      <c r="C986" t="s">
        <v>14</v>
      </c>
      <c r="D986" t="s">
        <v>19</v>
      </c>
      <c r="E986" s="16">
        <v>45975</v>
      </c>
      <c r="F986">
        <v>155</v>
      </c>
      <c r="G986" t="s">
        <v>120</v>
      </c>
      <c r="H986">
        <v>110</v>
      </c>
      <c r="I986">
        <v>79</v>
      </c>
      <c r="J986">
        <v>460175</v>
      </c>
      <c r="K986">
        <v>60110</v>
      </c>
      <c r="L986" t="e">
        <f>[1]!Table1[[#This Row],[Revenue]]-[1]!Table1[[#This Row],[OperationalCost]]</f>
        <v>#REF!</v>
      </c>
      <c r="M986" t="str">
        <f t="shared" si="15"/>
        <v>Nov</v>
      </c>
      <c r="N986" s="15">
        <f>Table11[[#This Row],[SeatsSold]]/Table11[[#This Row],[SeatsAvailable]]</f>
        <v>0.71818181818181814</v>
      </c>
      <c r="O986" s="10"/>
    </row>
    <row r="987" spans="1:15" x14ac:dyDescent="0.3">
      <c r="A987" t="s">
        <v>1103</v>
      </c>
      <c r="B987" t="s">
        <v>87</v>
      </c>
      <c r="C987" t="s">
        <v>19</v>
      </c>
      <c r="D987" t="s">
        <v>9</v>
      </c>
      <c r="E987" s="16">
        <v>45665</v>
      </c>
      <c r="F987">
        <v>81</v>
      </c>
      <c r="G987" t="s">
        <v>120</v>
      </c>
      <c r="H987">
        <v>86</v>
      </c>
      <c r="I987">
        <v>65</v>
      </c>
      <c r="J987">
        <v>425360</v>
      </c>
      <c r="K987">
        <v>34678</v>
      </c>
      <c r="L987" t="e">
        <f>[1]!Table1[[#This Row],[Revenue]]-[1]!Table1[[#This Row],[OperationalCost]]</f>
        <v>#REF!</v>
      </c>
      <c r="M987" t="str">
        <f t="shared" si="15"/>
        <v>Jan</v>
      </c>
      <c r="N987" s="15">
        <f>Table11[[#This Row],[SeatsSold]]/Table11[[#This Row],[SeatsAvailable]]</f>
        <v>0.7558139534883721</v>
      </c>
      <c r="O987" s="10"/>
    </row>
    <row r="988" spans="1:15" x14ac:dyDescent="0.3">
      <c r="A988" t="s">
        <v>1104</v>
      </c>
      <c r="B988" t="s">
        <v>90</v>
      </c>
      <c r="C988" t="s">
        <v>15</v>
      </c>
      <c r="D988" t="s">
        <v>6</v>
      </c>
      <c r="E988" s="16">
        <v>46129</v>
      </c>
      <c r="F988">
        <v>163</v>
      </c>
      <c r="G988" t="s">
        <v>116</v>
      </c>
      <c r="H988">
        <v>80</v>
      </c>
      <c r="I988">
        <v>45</v>
      </c>
      <c r="J988">
        <v>324765</v>
      </c>
      <c r="K988">
        <v>62135</v>
      </c>
      <c r="L988" t="e">
        <f>[1]!Table1[[#This Row],[Revenue]]-[1]!Table1[[#This Row],[OperationalCost]]</f>
        <v>#REF!</v>
      </c>
      <c r="M988" t="str">
        <f t="shared" si="15"/>
        <v>Apr</v>
      </c>
      <c r="N988" s="15">
        <f>Table11[[#This Row],[SeatsSold]]/Table11[[#This Row],[SeatsAvailable]]</f>
        <v>0.5625</v>
      </c>
      <c r="O988" s="10"/>
    </row>
    <row r="989" spans="1:15" x14ac:dyDescent="0.3">
      <c r="A989" t="s">
        <v>1105</v>
      </c>
      <c r="B989" t="s">
        <v>79</v>
      </c>
      <c r="C989" t="s">
        <v>21</v>
      </c>
      <c r="D989" t="s">
        <v>19</v>
      </c>
      <c r="E989" s="16">
        <v>46058</v>
      </c>
      <c r="F989">
        <v>201</v>
      </c>
      <c r="G989" t="s">
        <v>113</v>
      </c>
      <c r="H989">
        <v>176</v>
      </c>
      <c r="I989">
        <v>103</v>
      </c>
      <c r="J989">
        <v>560526</v>
      </c>
      <c r="K989">
        <v>89318</v>
      </c>
      <c r="L989" t="e">
        <f>[1]!Table1[[#This Row],[Revenue]]-[1]!Table1[[#This Row],[OperationalCost]]</f>
        <v>#REF!</v>
      </c>
      <c r="M989" t="str">
        <f t="shared" si="15"/>
        <v>Feb</v>
      </c>
      <c r="N989" s="15">
        <f>Table11[[#This Row],[SeatsSold]]/Table11[[#This Row],[SeatsAvailable]]</f>
        <v>0.58522727272727271</v>
      </c>
      <c r="O989" s="10"/>
    </row>
    <row r="990" spans="1:15" x14ac:dyDescent="0.3">
      <c r="A990" t="s">
        <v>1106</v>
      </c>
      <c r="B990" t="s">
        <v>66</v>
      </c>
      <c r="C990" t="s">
        <v>6</v>
      </c>
      <c r="D990" t="s">
        <v>17</v>
      </c>
      <c r="E990" s="16">
        <v>46332</v>
      </c>
      <c r="F990">
        <v>91</v>
      </c>
      <c r="G990" t="s">
        <v>116</v>
      </c>
      <c r="H990">
        <v>94</v>
      </c>
      <c r="I990">
        <v>65</v>
      </c>
      <c r="J990">
        <v>208975</v>
      </c>
      <c r="K990">
        <v>27751</v>
      </c>
      <c r="L990" t="e">
        <f>[1]!Table1[[#This Row],[Revenue]]-[1]!Table1[[#This Row],[OperationalCost]]</f>
        <v>#REF!</v>
      </c>
      <c r="M990" t="str">
        <f t="shared" si="15"/>
        <v>Nov</v>
      </c>
      <c r="N990" s="15">
        <f>Table11[[#This Row],[SeatsSold]]/Table11[[#This Row],[SeatsAvailable]]</f>
        <v>0.69148936170212771</v>
      </c>
      <c r="O990" s="10"/>
    </row>
    <row r="991" spans="1:15" x14ac:dyDescent="0.3">
      <c r="A991" t="s">
        <v>1107</v>
      </c>
      <c r="B991" t="s">
        <v>94</v>
      </c>
      <c r="C991" t="s">
        <v>19</v>
      </c>
      <c r="D991" t="s">
        <v>15</v>
      </c>
      <c r="E991" s="16">
        <v>45956</v>
      </c>
      <c r="F991">
        <v>215</v>
      </c>
      <c r="G991" t="s">
        <v>122</v>
      </c>
      <c r="H991">
        <v>125</v>
      </c>
      <c r="I991">
        <v>103</v>
      </c>
      <c r="J991">
        <v>951514</v>
      </c>
      <c r="K991">
        <v>69990</v>
      </c>
      <c r="L991" t="e">
        <f>[1]!Table1[[#This Row],[Revenue]]-[1]!Table1[[#This Row],[OperationalCost]]</f>
        <v>#REF!</v>
      </c>
      <c r="M991" t="str">
        <f t="shared" si="15"/>
        <v>Oct</v>
      </c>
      <c r="N991" s="15">
        <f>Table11[[#This Row],[SeatsSold]]/Table11[[#This Row],[SeatsAvailable]]</f>
        <v>0.82399999999999995</v>
      </c>
      <c r="O991" s="10"/>
    </row>
    <row r="992" spans="1:15" x14ac:dyDescent="0.3">
      <c r="A992" t="s">
        <v>1108</v>
      </c>
      <c r="B992" t="s">
        <v>12</v>
      </c>
      <c r="C992" t="s">
        <v>21</v>
      </c>
      <c r="D992" t="s">
        <v>3</v>
      </c>
      <c r="E992" s="16">
        <v>45765</v>
      </c>
      <c r="F992">
        <v>174</v>
      </c>
      <c r="G992" t="s">
        <v>118</v>
      </c>
      <c r="H992">
        <v>174</v>
      </c>
      <c r="I992">
        <v>155</v>
      </c>
      <c r="J992">
        <v>806000</v>
      </c>
      <c r="K992">
        <v>55158</v>
      </c>
      <c r="L992" t="e">
        <f>[1]!Table1[[#This Row],[Revenue]]-[1]!Table1[[#This Row],[OperationalCost]]</f>
        <v>#REF!</v>
      </c>
      <c r="M992" t="str">
        <f t="shared" si="15"/>
        <v>Apr</v>
      </c>
      <c r="N992" s="15">
        <f>Table11[[#This Row],[SeatsSold]]/Table11[[#This Row],[SeatsAvailable]]</f>
        <v>0.89080459770114939</v>
      </c>
      <c r="O992" s="10"/>
    </row>
    <row r="993" spans="1:15" x14ac:dyDescent="0.3">
      <c r="A993" t="s">
        <v>1109</v>
      </c>
      <c r="B993" t="s">
        <v>99</v>
      </c>
      <c r="C993" t="s">
        <v>11</v>
      </c>
      <c r="D993" t="s">
        <v>20</v>
      </c>
      <c r="E993" s="16">
        <v>46131</v>
      </c>
      <c r="F993">
        <v>51</v>
      </c>
      <c r="G993" t="s">
        <v>122</v>
      </c>
      <c r="H993">
        <v>188</v>
      </c>
      <c r="I993">
        <v>137</v>
      </c>
      <c r="J993">
        <v>1113810</v>
      </c>
      <c r="K993">
        <v>35574</v>
      </c>
      <c r="L993" t="e">
        <f>[1]!Table1[[#This Row],[Revenue]]-[1]!Table1[[#This Row],[OperationalCost]]</f>
        <v>#REF!</v>
      </c>
      <c r="M993" t="str">
        <f t="shared" si="15"/>
        <v>Apr</v>
      </c>
      <c r="N993" s="15">
        <f>Table11[[#This Row],[SeatsSold]]/Table11[[#This Row],[SeatsAvailable]]</f>
        <v>0.72872340425531912</v>
      </c>
      <c r="O993" s="10"/>
    </row>
    <row r="994" spans="1:15" x14ac:dyDescent="0.3">
      <c r="A994" t="s">
        <v>1110</v>
      </c>
      <c r="B994" t="s">
        <v>103</v>
      </c>
      <c r="C994" t="s">
        <v>17</v>
      </c>
      <c r="D994" t="s">
        <v>20</v>
      </c>
      <c r="E994" s="16">
        <v>45668</v>
      </c>
      <c r="F994">
        <v>109</v>
      </c>
      <c r="G994" t="s">
        <v>122</v>
      </c>
      <c r="H994">
        <v>104</v>
      </c>
      <c r="I994">
        <v>81</v>
      </c>
      <c r="J994">
        <v>818586</v>
      </c>
      <c r="K994">
        <v>47188</v>
      </c>
      <c r="L994" t="e">
        <f>[1]!Table1[[#This Row],[Revenue]]-[1]!Table1[[#This Row],[OperationalCost]]</f>
        <v>#REF!</v>
      </c>
      <c r="M994" t="str">
        <f t="shared" si="15"/>
        <v>Jan</v>
      </c>
      <c r="N994" s="15">
        <f>Table11[[#This Row],[SeatsSold]]/Table11[[#This Row],[SeatsAvailable]]</f>
        <v>0.77884615384615385</v>
      </c>
      <c r="O994" s="10"/>
    </row>
    <row r="995" spans="1:15" x14ac:dyDescent="0.3">
      <c r="A995" t="s">
        <v>1111</v>
      </c>
      <c r="B995" t="s">
        <v>95</v>
      </c>
      <c r="C995" t="s">
        <v>3</v>
      </c>
      <c r="D995" t="s">
        <v>14</v>
      </c>
      <c r="E995" s="16">
        <v>46219</v>
      </c>
      <c r="F995">
        <v>213</v>
      </c>
      <c r="G995" t="s">
        <v>113</v>
      </c>
      <c r="H995">
        <v>182</v>
      </c>
      <c r="I995">
        <v>75</v>
      </c>
      <c r="J995">
        <v>765975</v>
      </c>
      <c r="K995">
        <v>62705</v>
      </c>
      <c r="L995" t="e">
        <f>[1]!Table1[[#This Row],[Revenue]]-[1]!Table1[[#This Row],[OperationalCost]]</f>
        <v>#REF!</v>
      </c>
      <c r="M995" t="str">
        <f t="shared" si="15"/>
        <v>Jul</v>
      </c>
      <c r="N995" s="15">
        <f>Table11[[#This Row],[SeatsSold]]/Table11[[#This Row],[SeatsAvailable]]</f>
        <v>0.41208791208791207</v>
      </c>
      <c r="O995" s="10"/>
    </row>
    <row r="996" spans="1:15" x14ac:dyDescent="0.3">
      <c r="A996" t="s">
        <v>1112</v>
      </c>
      <c r="B996" t="s">
        <v>39</v>
      </c>
      <c r="C996" t="s">
        <v>14</v>
      </c>
      <c r="D996" t="s">
        <v>20</v>
      </c>
      <c r="E996" s="16">
        <v>46279</v>
      </c>
      <c r="F996">
        <v>70</v>
      </c>
      <c r="G996" t="s">
        <v>113</v>
      </c>
      <c r="H996">
        <v>145</v>
      </c>
      <c r="I996">
        <v>55</v>
      </c>
      <c r="J996">
        <v>619245</v>
      </c>
      <c r="K996">
        <v>33235</v>
      </c>
      <c r="L996" t="e">
        <f>[1]!Table1[[#This Row],[Revenue]]-[1]!Table1[[#This Row],[OperationalCost]]</f>
        <v>#REF!</v>
      </c>
      <c r="M996" t="str">
        <f t="shared" si="15"/>
        <v>Sep</v>
      </c>
      <c r="N996" s="15">
        <f>Table11[[#This Row],[SeatsSold]]/Table11[[#This Row],[SeatsAvailable]]</f>
        <v>0.37931034482758619</v>
      </c>
      <c r="O996" s="10"/>
    </row>
    <row r="997" spans="1:15" x14ac:dyDescent="0.3">
      <c r="A997" t="s">
        <v>1113</v>
      </c>
      <c r="B997" t="s">
        <v>5</v>
      </c>
      <c r="C997" t="s">
        <v>3</v>
      </c>
      <c r="D997" t="s">
        <v>20</v>
      </c>
      <c r="E997" s="16">
        <v>46351</v>
      </c>
      <c r="F997">
        <v>114</v>
      </c>
      <c r="G997" t="s">
        <v>113</v>
      </c>
      <c r="H997">
        <v>182</v>
      </c>
      <c r="I997">
        <v>131</v>
      </c>
      <c r="J997">
        <v>709365</v>
      </c>
      <c r="K997">
        <v>35966</v>
      </c>
      <c r="L997" t="e">
        <f>[1]!Table1[[#This Row],[Revenue]]-[1]!Table1[[#This Row],[OperationalCost]]</f>
        <v>#REF!</v>
      </c>
      <c r="M997" t="str">
        <f t="shared" si="15"/>
        <v>Nov</v>
      </c>
      <c r="N997" s="15">
        <f>Table11[[#This Row],[SeatsSold]]/Table11[[#This Row],[SeatsAvailable]]</f>
        <v>0.71978021978021978</v>
      </c>
      <c r="O997" s="10"/>
    </row>
    <row r="998" spans="1:15" x14ac:dyDescent="0.3">
      <c r="A998" t="s">
        <v>1114</v>
      </c>
      <c r="B998" t="s">
        <v>83</v>
      </c>
      <c r="C998" t="s">
        <v>11</v>
      </c>
      <c r="D998" t="s">
        <v>9</v>
      </c>
      <c r="E998" s="16">
        <v>46110</v>
      </c>
      <c r="F998">
        <v>223</v>
      </c>
      <c r="G998" t="s">
        <v>122</v>
      </c>
      <c r="H998">
        <v>203</v>
      </c>
      <c r="I998">
        <v>66</v>
      </c>
      <c r="J998">
        <v>587334</v>
      </c>
      <c r="K998">
        <v>98082</v>
      </c>
      <c r="L998" t="e">
        <f>[1]!Table1[[#This Row],[Revenue]]-[1]!Table1[[#This Row],[OperationalCost]]</f>
        <v>#REF!</v>
      </c>
      <c r="M998" t="str">
        <f t="shared" si="15"/>
        <v>Mar</v>
      </c>
      <c r="N998" s="15">
        <f>Table11[[#This Row],[SeatsSold]]/Table11[[#This Row],[SeatsAvailable]]</f>
        <v>0.3251231527093596</v>
      </c>
      <c r="O998" s="10"/>
    </row>
    <row r="999" spans="1:15" x14ac:dyDescent="0.3">
      <c r="A999" t="s">
        <v>1115</v>
      </c>
      <c r="B999" t="s">
        <v>65</v>
      </c>
      <c r="C999" t="s">
        <v>6</v>
      </c>
      <c r="D999" t="s">
        <v>20</v>
      </c>
      <c r="E999" s="16">
        <v>46270</v>
      </c>
      <c r="F999">
        <v>46</v>
      </c>
      <c r="G999" t="s">
        <v>122</v>
      </c>
      <c r="H999">
        <v>166</v>
      </c>
      <c r="I999">
        <v>138</v>
      </c>
      <c r="J999">
        <v>801090</v>
      </c>
      <c r="K999">
        <v>37468</v>
      </c>
      <c r="L999" t="e">
        <f>[1]!Table1[[#This Row],[Revenue]]-[1]!Table1[[#This Row],[OperationalCost]]</f>
        <v>#REF!</v>
      </c>
      <c r="M999" t="str">
        <f t="shared" si="15"/>
        <v>Sep</v>
      </c>
      <c r="N999" s="15">
        <f>Table11[[#This Row],[SeatsSold]]/Table11[[#This Row],[SeatsAvailable]]</f>
        <v>0.83132530120481929</v>
      </c>
      <c r="O999" s="10"/>
    </row>
    <row r="1000" spans="1:15" x14ac:dyDescent="0.3">
      <c r="A1000" t="s">
        <v>1116</v>
      </c>
      <c r="B1000" t="s">
        <v>58</v>
      </c>
      <c r="C1000" t="s">
        <v>9</v>
      </c>
      <c r="D1000" t="s">
        <v>19</v>
      </c>
      <c r="E1000" s="16">
        <v>45751</v>
      </c>
      <c r="F1000">
        <v>49</v>
      </c>
      <c r="G1000" t="s">
        <v>120</v>
      </c>
      <c r="H1000">
        <v>77</v>
      </c>
      <c r="I1000">
        <v>40</v>
      </c>
      <c r="J1000">
        <v>320920</v>
      </c>
      <c r="K1000">
        <v>15673</v>
      </c>
      <c r="L1000" t="e">
        <f>[1]!Table1[[#This Row],[Revenue]]-[1]!Table1[[#This Row],[OperationalCost]]</f>
        <v>#REF!</v>
      </c>
      <c r="M1000" t="str">
        <f t="shared" si="15"/>
        <v>Apr</v>
      </c>
      <c r="N1000" s="15">
        <f>Table11[[#This Row],[SeatsSold]]/Table11[[#This Row],[SeatsAvailable]]</f>
        <v>0.51948051948051943</v>
      </c>
      <c r="O1000" s="10"/>
    </row>
    <row r="1001" spans="1:15" x14ac:dyDescent="0.3">
      <c r="A1001" s="10"/>
      <c r="B1001" s="10"/>
      <c r="C1001" s="10"/>
      <c r="D1001" s="10"/>
      <c r="E1001" s="11"/>
      <c r="F1001" s="10"/>
      <c r="G1001" s="10"/>
      <c r="H1001" s="10"/>
      <c r="I1001" s="10"/>
      <c r="J1001" s="10"/>
      <c r="K1001" s="10"/>
      <c r="L1001" s="10" t="e">
        <f>[1]!Table1[[#This Row],[Revenue]]-[1]!Table1[[#This Row],[OperationalCost]]</f>
        <v>#REF!</v>
      </c>
      <c r="M1001" s="10" t="str">
        <f>TEXT(E1001,"MMM")</f>
        <v>Jan</v>
      </c>
      <c r="N1001" s="15" t="e">
        <f>Table11[[#This Row],[SeatsSold]]/Table11[[#This Row],[SeatsAvailable]]</f>
        <v>#DIV/0!</v>
      </c>
      <c r="O1001" s="18"/>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Pivort Tables</vt:lpstr>
      <vt:lpstr>Queries-Output</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Vaghasiya</dc:creator>
  <cp:lastModifiedBy>Prince Vaghasiya</cp:lastModifiedBy>
  <dcterms:created xsi:type="dcterms:W3CDTF">2026-06-05T06:19:53Z</dcterms:created>
  <dcterms:modified xsi:type="dcterms:W3CDTF">2026-06-25T04:29:31Z</dcterms:modified>
</cp:coreProperties>
</file>