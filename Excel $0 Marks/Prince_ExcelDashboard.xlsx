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wn\Downloads\"/>
    </mc:Choice>
  </mc:AlternateContent>
  <xr:revisionPtr revIDLastSave="0" documentId="13_ncr:1_{26CDA687-C560-4E73-AC7B-E54CFF6916F1}" xr6:coauthVersionLast="47" xr6:coauthVersionMax="47" xr10:uidLastSave="{00000000-0000-0000-0000-000000000000}"/>
  <bookViews>
    <workbookView xWindow="-120" yWindow="-120" windowWidth="29040" windowHeight="15720" activeTab="2" xr2:uid="{605EB7EE-0381-487C-BB1E-6C4E0492BE80}"/>
  </bookViews>
  <sheets>
    <sheet name="Pivort Table" sheetId="3" r:id="rId1"/>
    <sheet name="Data" sheetId="1" r:id="rId2"/>
    <sheet name="Dashboard" sheetId="4" r:id="rId3"/>
  </sheets>
  <definedNames>
    <definedName name="Slicer_Department">#N/A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4" i="4" l="1"/>
  <c r="D4" i="4"/>
  <c r="T10" i="1"/>
  <c r="S10" i="1"/>
  <c r="T7" i="1"/>
  <c r="T4" i="1"/>
  <c r="Q3" i="1" a="1"/>
  <c r="Q3" i="1" s="1"/>
  <c r="Q4" i="1" a="1"/>
  <c r="Q4" i="1"/>
  <c r="Q5" i="1" a="1"/>
  <c r="Q5" i="1" s="1"/>
  <c r="Q6" i="1" a="1"/>
  <c r="Q6" i="1" s="1"/>
  <c r="Q7" i="1" a="1"/>
  <c r="Q7" i="1" s="1"/>
  <c r="Q8" i="1" a="1"/>
  <c r="Q8" i="1" s="1"/>
  <c r="Q9" i="1" a="1"/>
  <c r="Q9" i="1" s="1"/>
  <c r="Q10" i="1" a="1"/>
  <c r="Q10" i="1"/>
  <c r="Q11" i="1" a="1"/>
  <c r="Q11" i="1" s="1"/>
  <c r="Q12" i="1" a="1"/>
  <c r="Q12" i="1" s="1"/>
  <c r="Q13" i="1" a="1"/>
  <c r="Q13" i="1" s="1"/>
  <c r="Q14" i="1" a="1"/>
  <c r="Q14" i="1" s="1"/>
  <c r="Q15" i="1" a="1"/>
  <c r="Q15" i="1" s="1"/>
  <c r="Q16" i="1" a="1"/>
  <c r="Q16" i="1"/>
  <c r="Q17" i="1" a="1"/>
  <c r="Q17" i="1" s="1"/>
  <c r="Q18" i="1" a="1"/>
  <c r="Q18" i="1" s="1"/>
  <c r="Q19" i="1" a="1"/>
  <c r="Q19" i="1" s="1"/>
  <c r="Q20" i="1" a="1"/>
  <c r="Q20" i="1" s="1"/>
  <c r="Q21" i="1" a="1"/>
  <c r="Q21" i="1" s="1"/>
  <c r="Q22" i="1" a="1"/>
  <c r="Q22" i="1"/>
  <c r="Q23" i="1" a="1"/>
  <c r="Q23" i="1" s="1"/>
  <c r="Q24" i="1" a="1"/>
  <c r="Q24" i="1" s="1"/>
  <c r="Q25" i="1" a="1"/>
  <c r="Q25" i="1" s="1"/>
  <c r="Q26" i="1" a="1"/>
  <c r="Q26" i="1" s="1"/>
  <c r="Q27" i="1" a="1"/>
  <c r="Q27" i="1" s="1"/>
  <c r="Q28" i="1" a="1"/>
  <c r="Q28" i="1"/>
  <c r="Q29" i="1" a="1"/>
  <c r="Q29" i="1" s="1"/>
  <c r="Q30" i="1" a="1"/>
  <c r="Q30" i="1" s="1"/>
  <c r="Q31" i="1" a="1"/>
  <c r="Q31" i="1" s="1"/>
  <c r="Q32" i="1" a="1"/>
  <c r="Q32" i="1" s="1"/>
  <c r="Q33" i="1" a="1"/>
  <c r="Q33" i="1" s="1"/>
  <c r="Q34" i="1" a="1"/>
  <c r="Q34" i="1"/>
  <c r="Q35" i="1" a="1"/>
  <c r="Q35" i="1" s="1"/>
  <c r="Q36" i="1" a="1"/>
  <c r="Q36" i="1" s="1"/>
  <c r="Q37" i="1" a="1"/>
  <c r="Q37" i="1" s="1"/>
  <c r="Q38" i="1" a="1"/>
  <c r="Q38" i="1" s="1"/>
  <c r="Q39" i="1" a="1"/>
  <c r="Q39" i="1" s="1"/>
  <c r="Q40" i="1" a="1"/>
  <c r="Q40" i="1"/>
  <c r="Q41" i="1" a="1"/>
  <c r="Q41" i="1" s="1"/>
  <c r="Q42" i="1" a="1"/>
  <c r="Q42" i="1" s="1"/>
  <c r="Q43" i="1" a="1"/>
  <c r="Q43" i="1" s="1"/>
  <c r="Q44" i="1" a="1"/>
  <c r="Q44" i="1" s="1"/>
  <c r="Q45" i="1" a="1"/>
  <c r="Q45" i="1" s="1"/>
  <c r="Q46" i="1" a="1"/>
  <c r="Q46" i="1"/>
  <c r="Q47" i="1" a="1"/>
  <c r="Q47" i="1" s="1"/>
  <c r="Q48" i="1" a="1"/>
  <c r="Q48" i="1" s="1"/>
  <c r="Q49" i="1" a="1"/>
  <c r="Q49" i="1" s="1"/>
  <c r="Q50" i="1" a="1"/>
  <c r="Q50" i="1" s="1"/>
  <c r="Q51" i="1" a="1"/>
  <c r="Q51" i="1" s="1"/>
  <c r="Q52" i="1" a="1"/>
  <c r="Q52" i="1"/>
  <c r="Q53" i="1" a="1"/>
  <c r="Q53" i="1" s="1"/>
  <c r="Q54" i="1" a="1"/>
  <c r="Q54" i="1" s="1"/>
  <c r="Q55" i="1" a="1"/>
  <c r="Q55" i="1" s="1"/>
  <c r="Q56" i="1" a="1"/>
  <c r="Q56" i="1" s="1"/>
  <c r="Q57" i="1" a="1"/>
  <c r="Q57" i="1" s="1"/>
  <c r="Q58" i="1" a="1"/>
  <c r="Q58" i="1"/>
  <c r="Q59" i="1" a="1"/>
  <c r="Q59" i="1" s="1"/>
  <c r="Q60" i="1" a="1"/>
  <c r="Q60" i="1" s="1"/>
  <c r="Q61" i="1" a="1"/>
  <c r="Q61" i="1" s="1"/>
  <c r="Q62" i="1" a="1"/>
  <c r="Q62" i="1" s="1"/>
  <c r="Q63" i="1" a="1"/>
  <c r="Q63" i="1" s="1"/>
  <c r="Q64" i="1" a="1"/>
  <c r="Q64" i="1"/>
  <c r="Q65" i="1" a="1"/>
  <c r="Q65" i="1" s="1"/>
  <c r="Q66" i="1" a="1"/>
  <c r="Q66" i="1" s="1"/>
  <c r="Q67" i="1" a="1"/>
  <c r="Q67" i="1" s="1"/>
  <c r="Q68" i="1" a="1"/>
  <c r="Q68" i="1" s="1"/>
  <c r="Q69" i="1" a="1"/>
  <c r="Q69" i="1" s="1"/>
  <c r="Q70" i="1" a="1"/>
  <c r="Q70" i="1"/>
  <c r="Q71" i="1" a="1"/>
  <c r="Q71" i="1" s="1"/>
  <c r="Q72" i="1" a="1"/>
  <c r="Q72" i="1" s="1"/>
  <c r="Q73" i="1" a="1"/>
  <c r="Q73" i="1" s="1"/>
  <c r="Q74" i="1" a="1"/>
  <c r="Q74" i="1" s="1"/>
  <c r="Q75" i="1" a="1"/>
  <c r="Q75" i="1" s="1"/>
  <c r="Q76" i="1" a="1"/>
  <c r="Q76" i="1"/>
  <c r="Q77" i="1" a="1"/>
  <c r="Q77" i="1" s="1"/>
  <c r="Q78" i="1" a="1"/>
  <c r="Q78" i="1" s="1"/>
  <c r="Q79" i="1" a="1"/>
  <c r="Q79" i="1" s="1"/>
  <c r="Q80" i="1" a="1"/>
  <c r="Q80" i="1" s="1"/>
  <c r="Q81" i="1" a="1"/>
  <c r="Q81" i="1" s="1"/>
  <c r="Q82" i="1" a="1"/>
  <c r="Q82" i="1"/>
  <c r="Q83" i="1" a="1"/>
  <c r="Q83" i="1" s="1"/>
  <c r="Q84" i="1" a="1"/>
  <c r="Q84" i="1" s="1"/>
  <c r="Q85" i="1" a="1"/>
  <c r="Q85" i="1" s="1"/>
  <c r="Q86" i="1" a="1"/>
  <c r="Q86" i="1" s="1"/>
  <c r="Q87" i="1" a="1"/>
  <c r="Q87" i="1" s="1"/>
  <c r="Q88" i="1" a="1"/>
  <c r="Q88" i="1"/>
  <c r="Q89" i="1" a="1"/>
  <c r="Q89" i="1" s="1"/>
  <c r="Q90" i="1" a="1"/>
  <c r="Q90" i="1" s="1"/>
  <c r="Q91" i="1" a="1"/>
  <c r="Q91" i="1" s="1"/>
  <c r="Q92" i="1" a="1"/>
  <c r="Q92" i="1" s="1"/>
  <c r="Q93" i="1" a="1"/>
  <c r="Q93" i="1" s="1"/>
  <c r="Q94" i="1" a="1"/>
  <c r="Q94" i="1"/>
  <c r="Q95" i="1" a="1"/>
  <c r="Q95" i="1" s="1"/>
  <c r="Q2" i="1" a="1"/>
  <c r="Q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<sst xmlns="http://schemas.openxmlformats.org/spreadsheetml/2006/main" count="895" uniqueCount="151">
  <si>
    <t>Employee_ID</t>
  </si>
  <si>
    <t>First_Name</t>
  </si>
  <si>
    <t>Last_Name</t>
  </si>
  <si>
    <t>Department</t>
  </si>
  <si>
    <t>Region</t>
  </si>
  <si>
    <t>Hire_Date</t>
  </si>
  <si>
    <t>Salary</t>
  </si>
  <si>
    <t>Commission_Rate</t>
  </si>
  <si>
    <t>Sales_Date</t>
  </si>
  <si>
    <t>Product_Category</t>
  </si>
  <si>
    <t>Product_Name</t>
  </si>
  <si>
    <t>Units_Sold</t>
  </si>
  <si>
    <t>Unit_Price</t>
  </si>
  <si>
    <t>Total_Sales</t>
  </si>
  <si>
    <t>Customer_Type</t>
  </si>
  <si>
    <t>Quarter</t>
  </si>
  <si>
    <t>Performance_Rating</t>
  </si>
  <si>
    <t>EMP001</t>
  </si>
  <si>
    <t>John</t>
  </si>
  <si>
    <t>Smith</t>
  </si>
  <si>
    <t>Sales</t>
  </si>
  <si>
    <t>North America</t>
  </si>
  <si>
    <t>Electronics</t>
  </si>
  <si>
    <t>Laptop Pro</t>
  </si>
  <si>
    <t>Corporate</t>
  </si>
  <si>
    <t>Q1</t>
  </si>
  <si>
    <t>Smartphone X</t>
  </si>
  <si>
    <t>Retail</t>
  </si>
  <si>
    <t>Software</t>
  </si>
  <si>
    <t>Office Suite</t>
  </si>
  <si>
    <t>EMP002</t>
  </si>
  <si>
    <t>Sarah</t>
  </si>
  <si>
    <t>Johnson</t>
  </si>
  <si>
    <t>Europe</t>
  </si>
  <si>
    <t>Tablet Plus</t>
  </si>
  <si>
    <t>Design Pro</t>
  </si>
  <si>
    <t>Hardware</t>
  </si>
  <si>
    <t>Server Rack</t>
  </si>
  <si>
    <t>EMP003</t>
  </si>
  <si>
    <t>Mike</t>
  </si>
  <si>
    <t>Davis</t>
  </si>
  <si>
    <t>Marketing</t>
  </si>
  <si>
    <t>Asia Pacific</t>
  </si>
  <si>
    <t>Smart Watch</t>
  </si>
  <si>
    <t>Mobile App</t>
  </si>
  <si>
    <t>EMP004</t>
  </si>
  <si>
    <t>Lisa</t>
  </si>
  <si>
    <t>Wilson</t>
  </si>
  <si>
    <t>Gaming Console</t>
  </si>
  <si>
    <t>Graphics Card</t>
  </si>
  <si>
    <t>Game Engine</t>
  </si>
  <si>
    <t>EMP005</t>
  </si>
  <si>
    <t>David</t>
  </si>
  <si>
    <t>Brown</t>
  </si>
  <si>
    <t>Headphones</t>
  </si>
  <si>
    <t>Audio Editor</t>
  </si>
  <si>
    <t>EMP006</t>
  </si>
  <si>
    <t>Emma</t>
  </si>
  <si>
    <t>Taylor</t>
  </si>
  <si>
    <t>Camera Pro</t>
  </si>
  <si>
    <t>Memory Card</t>
  </si>
  <si>
    <t>EMP007</t>
  </si>
  <si>
    <t>James</t>
  </si>
  <si>
    <t>Anderson</t>
  </si>
  <si>
    <t>Support</t>
  </si>
  <si>
    <t>Support Tools</t>
  </si>
  <si>
    <t>EMP008</t>
  </si>
  <si>
    <t>Maria</t>
  </si>
  <si>
    <t>Garcia</t>
  </si>
  <si>
    <t>Smart TV</t>
  </si>
  <si>
    <t>Sound System</t>
  </si>
  <si>
    <t>EMP009</t>
  </si>
  <si>
    <t>Robert</t>
  </si>
  <si>
    <t>Miller</t>
  </si>
  <si>
    <t>Fitness Tracker</t>
  </si>
  <si>
    <t>EMP010</t>
  </si>
  <si>
    <t>Jennifer</t>
  </si>
  <si>
    <t>Lee</t>
  </si>
  <si>
    <t>Productivity Suite</t>
  </si>
  <si>
    <t>EMP011</t>
  </si>
  <si>
    <t>Alex</t>
  </si>
  <si>
    <t>Chen</t>
  </si>
  <si>
    <t>Drone Pro</t>
  </si>
  <si>
    <t>Q2</t>
  </si>
  <si>
    <t>Router</t>
  </si>
  <si>
    <t>EMP012</t>
  </si>
  <si>
    <t>Sophie</t>
  </si>
  <si>
    <t>Martin</t>
  </si>
  <si>
    <t>Analytics Tool</t>
  </si>
  <si>
    <t>EMP013</t>
  </si>
  <si>
    <t>Carlos</t>
  </si>
  <si>
    <t>Rodriguez</t>
  </si>
  <si>
    <t>VR Headset</t>
  </si>
  <si>
    <t>EMP014</t>
  </si>
  <si>
    <t>Anna</t>
  </si>
  <si>
    <t>Kowalski</t>
  </si>
  <si>
    <t>Help Desk</t>
  </si>
  <si>
    <t>EMP015</t>
  </si>
  <si>
    <t>Raj</t>
  </si>
  <si>
    <t>Patel</t>
  </si>
  <si>
    <t>Smart Home</t>
  </si>
  <si>
    <t>EMP016</t>
  </si>
  <si>
    <t>Nicole</t>
  </si>
  <si>
    <t>Thompson</t>
  </si>
  <si>
    <t>Social Media</t>
  </si>
  <si>
    <t>EMP017</t>
  </si>
  <si>
    <t>Hassan</t>
  </si>
  <si>
    <t>Ali</t>
  </si>
  <si>
    <t>Network Switch</t>
  </si>
  <si>
    <t>EMP018</t>
  </si>
  <si>
    <t>Yuki</t>
  </si>
  <si>
    <t>Tanaka</t>
  </si>
  <si>
    <t>Action Camera</t>
  </si>
  <si>
    <t>EMP019</t>
  </si>
  <si>
    <t>Lucas</t>
  </si>
  <si>
    <t>Silva</t>
  </si>
  <si>
    <t>Video Editor</t>
  </si>
  <si>
    <t>EMP020</t>
  </si>
  <si>
    <t>Priya</t>
  </si>
  <si>
    <t>Sharma</t>
  </si>
  <si>
    <t>Backup Tool</t>
  </si>
  <si>
    <t>EMP021</t>
  </si>
  <si>
    <t>Ahmed</t>
  </si>
  <si>
    <t>Smart Speaker</t>
  </si>
  <si>
    <t>Q3</t>
  </si>
  <si>
    <t>EMP022</t>
  </si>
  <si>
    <t>Elena</t>
  </si>
  <si>
    <t>Popov</t>
  </si>
  <si>
    <t>Translation App</t>
  </si>
  <si>
    <t>EMP023</t>
  </si>
  <si>
    <t>Tom</t>
  </si>
  <si>
    <t>O'Connor</t>
  </si>
  <si>
    <t>Workstation</t>
  </si>
  <si>
    <t>EMP024</t>
  </si>
  <si>
    <t>Mei</t>
  </si>
  <si>
    <t>Wang</t>
  </si>
  <si>
    <t>Monitoring Tool</t>
  </si>
  <si>
    <t>EMP025</t>
  </si>
  <si>
    <t>Pierre</t>
  </si>
  <si>
    <t>Dubois</t>
  </si>
  <si>
    <t>E-Reader</t>
  </si>
  <si>
    <t>Find Name From EmpID(VLOOKUP)</t>
  </si>
  <si>
    <t>Find Salary With HLOOKUP</t>
  </si>
  <si>
    <t>Find Index Of Name</t>
  </si>
  <si>
    <t>Row Labels</t>
  </si>
  <si>
    <t>Grand Total</t>
  </si>
  <si>
    <t>Sum of Units_Sold</t>
  </si>
  <si>
    <t>Sum of Total_Sales</t>
  </si>
  <si>
    <t>Total Sales</t>
  </si>
  <si>
    <t>Total unit Sold</t>
  </si>
  <si>
    <t>Total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</si>
</sst>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FF0000"/>
      <name val="Calibri"/>
      <family val="2"/>
      <scheme val="minor"/>
    </font>
    <font>
      <b/>
      <sz val="18"/>
      <color theme="1"/>
      <name val="Calibri"/>
      <family val="2"/>
      <scheme val="minor"/>
    </font>
    <font>
      <b/>
      <sz val="14"/>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3" tint="0.59999389629810485"/>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1" xfId="0" applyBorder="1" applyAlignment="1">
      <alignment wrapText="1"/>
    </xf>
    <xf numFmtId="14" fontId="0" fillId="0" borderId="1" xfId="0" applyNumberFormat="1" applyBorder="1" applyAlignment="1">
      <alignment horizontal="right" wrapText="1"/>
    </xf>
    <xf numFmtId="49" fontId="0" fillId="0" borderId="1" xfId="0" applyNumberFormat="1" applyBorder="1" applyAlignment="1">
      <alignment wrapText="1"/>
    </xf>
    <xf numFmtId="2" fontId="0" fillId="0" borderId="1" xfId="0" applyNumberFormat="1" applyBorder="1" applyAlignment="1">
      <alignment horizontal="right" wrapText="1"/>
    </xf>
    <xf numFmtId="0" fontId="1" fillId="2" borderId="1" xfId="0" applyFont="1" applyFill="1" applyBorder="1" applyAlignment="1">
      <alignment wrapText="1"/>
    </xf>
    <xf numFmtId="0" fontId="0" fillId="0" borderId="0" xfId="0" applyAlignment="1">
      <alignment horizontal="center"/>
    </xf>
    <xf numFmtId="49" fontId="0" fillId="0" borderId="0" xfId="0" applyNumberFormat="1"/>
    <xf numFmtId="0" fontId="2" fillId="3" borderId="0" xfId="0" applyFont="1" applyFill="1" applyAlignment="1">
      <alignment horizontal="center" vertical="center"/>
    </xf>
    <xf numFmtId="1" fontId="3" fillId="4" borderId="0" xfId="0" applyNumberFormat="1" applyFont="1" applyFill="1" applyAlignment="1">
      <alignment horizontal="center" vertical="center"/>
    </xf>
    <xf numFmtId="0" fontId="0" fillId="5" borderId="0" xfId="0" applyFill="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cellXfs>
  <cellStyles count="1">
    <cellStyle name="Normal" xfId="0" builtinId="0"/>
  </cellStyles>
  <dxfs count="3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 Id="rId5" Type="http://schemas.openxmlformats.org/officeDocument/2006/relationships/image" Target="../media/image3.jpeg"/><Relationship Id="rId4" Type="http://schemas.openxmlformats.org/officeDocument/2006/relationships/image" Target="../media/image2.jpeg"/></Relationships>
</file>

<file path=xl/charts/_rels/chart3.xml.rels><?xml version="1.0" encoding="UTF-8" standalone="yes"?>
<Relationships xmlns="http://schemas.openxmlformats.org/package/2006/relationships"><Relationship Id="rId3" Type="http://schemas.openxmlformats.org/officeDocument/2006/relationships/image" Target="../media/image4.jpeg"/><Relationship Id="rId2" Type="http://schemas.microsoft.com/office/2011/relationships/chartColorStyle" Target="colors3.xml"/><Relationship Id="rId1" Type="http://schemas.microsoft.com/office/2011/relationships/chartStyle" Target="style3.xml"/><Relationship Id="rId5" Type="http://schemas.openxmlformats.org/officeDocument/2006/relationships/image" Target="../media/image6.jpeg"/><Relationship Id="rId4" Type="http://schemas.openxmlformats.org/officeDocument/2006/relationships/image" Target="../media/image5.jpeg"/></Relationships>
</file>

<file path=xl/charts/_rels/chart4.xml.rels><?xml version="1.0" encoding="UTF-8" standalone="yes"?>
<Relationships xmlns="http://schemas.openxmlformats.org/package/2006/relationships"><Relationship Id="rId3" Type="http://schemas.openxmlformats.org/officeDocument/2006/relationships/image" Target="../media/image6.jpeg"/><Relationship Id="rId2" Type="http://schemas.microsoft.com/office/2011/relationships/chartColorStyle" Target="colors4.xml"/><Relationship Id="rId1" Type="http://schemas.microsoft.com/office/2011/relationships/chartStyle" Target="style4.xml"/><Relationship Id="rId5" Type="http://schemas.openxmlformats.org/officeDocument/2006/relationships/image" Target="../media/image1.jpeg"/><Relationship Id="rId4" Type="http://schemas.openxmlformats.org/officeDocument/2006/relationships/image" Target="../media/image4.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[Book1.xlsx]Pivort Table!PivotTable5</c:name>
    <c:fmtId val="2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'Pivort Table'!$K$3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'Pivort Table'!$J$4:$J$7</c:f>
              <c:strCache>
                <c:ptCount val="3"/>
                <c:pt idx="0">
                  <c:v>Marketing</c:v>
                </c:pt>
                <c:pt idx="1">
                  <c:v>Sales</c:v>
                </c:pt>
                <c:pt idx="2">
                  <c:v>Support</c:v>
                </c:pt>
              </c:strCache>
            </c:strRef>
          </c:cat>
          <c:val>
            <c:numRef>
              <c:f>'Pivort Table'!$K$4:$K$7</c:f>
              <c:numCache>
                <c:formatCode>General</c:formatCode>
                <c:ptCount val="3"/>
                <c:pt idx="0">
                  <c:v>163200</c:v>
                </c:pt>
                <c:pt idx="1">
                  <c:v>587600</c:v>
                </c:pt>
                <c:pt idx="2">
                  <c:v>39090</c:v>
                </c:pt>
              </c:numCache>
            </c:numRef>
          </c:val>
          <c:smooth val="0"/>
          <c:extLst>
            <c:ext xmlns:c16="http://schemas.microsoft.com/office/drawing/2014/chart" uri="{C3380CC4-5D6E-409C-BE32-E72D297353CC}">
              <c16:uniqueId val="{00000000-720B-4DA8-98DF-9DBEFB124172}"/>
            </c:ext>
          </c:extLst>
        </c:ser>
        <c:dLbls>
          <c:showLegendKey val="0"/>
          <c:showVal val="0"/>
          <c:showCatName val="0"/>
          <c:showSerName val="0"/>
          <c:showPercent val="0"/>
          <c:showBubbleSize val="0"/>
        </c:dLbls>
        <c:axId val="132408831"/>
        <c:axId val="132398015"/>
        <c:axId val="216589519"/>
      </c:line3DChart>
      <c:catAx>
        <c:axId val="132408831"/>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398015"/>
        <c:crosses val="autoZero"/>
        <c:auto val="1"/>
        <c:lblAlgn val="ctr"/>
        <c:lblOffset val="100"/>
        <c:noMultiLvlLbl val="0"/>
      </c:catAx>
      <c:valAx>
        <c:axId val="13239801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408831"/>
        <c:crosses val="autoZero"/>
        <c:crossBetween val="between"/>
      </c:valAx>
      <c:serAx>
        <c:axId val="216589519"/>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3980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[Book1.xlsx]Pivort Table!PivotTable3</c:name>
    <c:fmtId val="13"/>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w="9525" cap="flat" cmpd="sng" algn="ctr">
            <a:solidFill>
              <a:schemeClr val="accent1"/>
            </a:solidFill>
            <a:miter lim="800000"/>
          </a:ln>
          <a:effectLst>
            <a:glow rad="63500">
              <a:schemeClr val="accent1">
                <a:satMod val="175000"/>
                <a:alpha val="25000"/>
              </a:schemeClr>
            </a:glow>
          </a:effectLst>
        </c:spPr>
      </c:pivotFmt>
      <c:pivotFmt>
        <c:idx val="4"/>
        <c:spPr>
          <a:blipFill>
            <a:blip xmlns:r="http://schemas.openxmlformats.org/officeDocument/2006/relationships" r:embed="rId4"/>
            <a:tile tx="0" ty="0" sx="100000" sy="100000" flip="none" algn="tl"/>
          </a:blipFill>
          <a:ln w="9525" cap="flat" cmpd="sng" algn="ctr">
            <a:solidFill>
              <a:schemeClr val="accent1"/>
            </a:solidFill>
            <a:miter lim="800000"/>
          </a:ln>
          <a:effectLst>
            <a:glow rad="63500">
              <a:schemeClr val="accent1">
                <a:satMod val="175000"/>
                <a:alpha val="25000"/>
              </a:schemeClr>
            </a:glow>
          </a:effectLst>
        </c:spPr>
      </c:pivotFmt>
      <c:pivotFmt>
        <c:idx val="5"/>
        <c:spPr>
          <a:blipFill>
            <a:blip xmlns:r="http://schemas.openxmlformats.org/officeDocument/2006/relationships" r:embed="rId5"/>
            <a:tile tx="0" ty="0" sx="100000" sy="100000" flip="none" algn="tl"/>
          </a:blip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col"/>
        <c:grouping val="clustered"/>
        <c:varyColors val="0"/>
        <c:ser>
          <c:idx val="0"/>
          <c:order val="0"/>
          <c:tx>
            <c:strRef>
              <c:f>'Pivort 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blipFill>
                <a:blip xmlns:r="http://schemas.openxmlformats.org/officeDocument/2006/relationships" r:embed="rId5"/>
                <a:tile tx="0" ty="0" sx="100000" sy="100000" flip="none" algn="tl"/>
              </a:blip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4-F6B0-4EEF-9063-AC52936BE365}"/>
              </c:ext>
            </c:extLst>
          </c:dPt>
          <c:dPt>
            <c:idx val="1"/>
            <c:invertIfNegative val="0"/>
            <c:bubble3D val="0"/>
            <c:spPr>
              <a:blipFill>
                <a:blip xmlns:r="http://schemas.openxmlformats.org/officeDocument/2006/relationships" r:embed="rId3"/>
                <a:tile tx="0" ty="0" sx="100000" sy="100000" flip="none" algn="tl"/>
              </a:blip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2-F6B0-4EEF-9063-AC52936BE365}"/>
              </c:ext>
            </c:extLst>
          </c:dPt>
          <c:dPt>
            <c:idx val="2"/>
            <c:invertIfNegative val="0"/>
            <c:bubble3D val="0"/>
            <c:spPr>
              <a:blipFill>
                <a:blip xmlns:r="http://schemas.openxmlformats.org/officeDocument/2006/relationships" r:embed="rId4"/>
                <a:tile tx="0" ty="0" sx="100000" sy="100000" flip="none" algn="tl"/>
              </a:blip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3-F6B0-4EEF-9063-AC52936BE365}"/>
              </c:ext>
            </c:extLst>
          </c:dPt>
          <c:cat>
            <c:strRef>
              <c:f>'Pivort Table'!$D$4:$D$7</c:f>
              <c:strCache>
                <c:ptCount val="3"/>
                <c:pt idx="0">
                  <c:v>Marketing</c:v>
                </c:pt>
                <c:pt idx="1">
                  <c:v>Sales</c:v>
                </c:pt>
                <c:pt idx="2">
                  <c:v>Support</c:v>
                </c:pt>
              </c:strCache>
            </c:strRef>
          </c:cat>
          <c:val>
            <c:numRef>
              <c:f>'Pivort Table'!$E$4:$E$7</c:f>
              <c:numCache>
                <c:formatCode>General</c:formatCode>
                <c:ptCount val="3"/>
                <c:pt idx="0">
                  <c:v>33</c:v>
                </c:pt>
                <c:pt idx="1">
                  <c:v>344</c:v>
                </c:pt>
                <c:pt idx="2">
                  <c:v>100</c:v>
                </c:pt>
              </c:numCache>
            </c:numRef>
          </c:val>
          <c:extLst>
            <c:ext xmlns:c16="http://schemas.microsoft.com/office/drawing/2014/chart" uri="{C3380CC4-5D6E-409C-BE32-E72D297353CC}">
              <c16:uniqueId val="{00000000-F6B0-4EEF-9063-AC52936BE365}"/>
            </c:ext>
          </c:extLst>
        </c:ser>
        <c:dLbls>
          <c:showLegendKey val="0"/>
          <c:showVal val="0"/>
          <c:showCatName val="0"/>
          <c:showSerName val="0"/>
          <c:showPercent val="0"/>
          <c:showBubbleSize val="0"/>
        </c:dLbls>
        <c:gapWidth val="315"/>
        <c:overlap val="-40"/>
        <c:axId val="123378415"/>
        <c:axId val="123381743"/>
      </c:barChart>
      <c:catAx>
        <c:axId val="1233784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81743"/>
        <c:crosses val="autoZero"/>
        <c:auto val="1"/>
        <c:lblAlgn val="ctr"/>
        <c:lblOffset val="100"/>
        <c:noMultiLvlLbl val="0"/>
      </c:catAx>
      <c:valAx>
        <c:axId val="1233817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378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[Book1.xlsx]Pivort Table!PivotTable2</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pivotFmt>
      <c:pivotFmt>
        <c:idx val="11"/>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a:sp3d/>
        </c:spPr>
      </c:pivotFmt>
      <c:pivotFmt>
        <c:idx val="12"/>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8912529550827423E-2"/>
          <c:y val="0.26328484981044037"/>
          <c:w val="0.76581150760410266"/>
          <c:h val="0.68578922426363376"/>
        </c:manualLayout>
      </c:layout>
      <c:pie3DChart>
        <c:varyColors val="1"/>
        <c:ser>
          <c:idx val="0"/>
          <c:order val="0"/>
          <c:tx>
            <c:strRef>
              <c:f>'Pivort Table'!$B$3</c:f>
              <c:strCache>
                <c:ptCount val="1"/>
                <c:pt idx="0">
                  <c:v>Total</c:v>
                </c:pt>
              </c:strCache>
            </c:strRef>
          </c:tx>
          <c:dPt>
            <c:idx val="0"/>
            <c:bubble3D val="0"/>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7D14-4ECE-824F-17BD95E92542}"/>
              </c:ext>
            </c:extLst>
          </c:dPt>
          <c:dPt>
            <c:idx val="1"/>
            <c:bubble3D val="0"/>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7D14-4ECE-824F-17BD95E92542}"/>
              </c:ext>
            </c:extLst>
          </c:dPt>
          <c:dPt>
            <c:idx val="2"/>
            <c:bubble3D val="0"/>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7D14-4ECE-824F-17BD95E92542}"/>
              </c:ext>
            </c:extLst>
          </c:dPt>
          <c:cat>
            <c:strRef>
              <c:f>'Pivort Table'!$A$4:$A$7</c:f>
              <c:strCache>
                <c:ptCount val="3"/>
                <c:pt idx="0">
                  <c:v>Asia Pacific</c:v>
                </c:pt>
                <c:pt idx="1">
                  <c:v>Europe</c:v>
                </c:pt>
                <c:pt idx="2">
                  <c:v>North America</c:v>
                </c:pt>
              </c:strCache>
            </c:strRef>
          </c:cat>
          <c:val>
            <c:numRef>
              <c:f>'Pivort Table'!$B$4:$B$7</c:f>
              <c:numCache>
                <c:formatCode>General</c:formatCode>
                <c:ptCount val="3"/>
                <c:pt idx="0">
                  <c:v>503</c:v>
                </c:pt>
                <c:pt idx="1">
                  <c:v>542</c:v>
                </c:pt>
                <c:pt idx="2">
                  <c:v>477</c:v>
                </c:pt>
              </c:numCache>
            </c:numRef>
          </c:val>
          <c:extLst>
            <c:ext xmlns:c16="http://schemas.microsoft.com/office/drawing/2014/chart" uri="{C3380CC4-5D6E-409C-BE32-E72D297353CC}">
              <c16:uniqueId val="{00000006-7D14-4ECE-824F-17BD95E9254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[Book1.xlsx]Pivort Table!PivotTable4</c:name>
    <c:fmtId val="1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c:spPr>
      </c:pivotFmt>
      <c:pivotFmt>
        <c:idx val="5"/>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8920669291338583"/>
          <c:y val="0.26328484981044037"/>
          <c:w val="0.43849693788276467"/>
          <c:h val="0.6293157626130067"/>
        </c:manualLayout>
      </c:layout>
      <c:barChart>
        <c:barDir val="bar"/>
        <c:grouping val="clustered"/>
        <c:varyColors val="0"/>
        <c:ser>
          <c:idx val="0"/>
          <c:order val="0"/>
          <c:tx>
            <c:strRef>
              <c:f>'Pivort Table'!$H$3</c:f>
              <c:strCache>
                <c:ptCount val="1"/>
                <c:pt idx="0">
                  <c:v>Total</c:v>
                </c:pt>
              </c:strCache>
            </c:strRef>
          </c:tx>
          <c:spPr>
            <a:blipFill>
              <a:blip xmlns:r="http://schemas.openxmlformats.org/officeDocument/2006/relationships" r:embed="rId3"/>
              <a:tile tx="0" ty="0" sx="100000" sy="100000" flip="none" algn="tl"/>
            </a:blipFill>
            <a:ln>
              <a:noFill/>
            </a:ln>
            <a:effectLst>
              <a:outerShdw blurRad="57150" dist="19050" dir="5400000" algn="ctr" rotWithShape="0">
                <a:srgbClr val="000000">
                  <a:alpha val="63000"/>
                </a:srgbClr>
              </a:outerShdw>
            </a:effectLst>
          </c:spPr>
          <c:invertIfNegative val="0"/>
          <c:dPt>
            <c:idx val="1"/>
            <c:invertIfNegative val="0"/>
            <c:bubble3D val="0"/>
            <c:spPr>
              <a:blipFill>
                <a:blip xmlns:r="http://schemas.openxmlformats.org/officeDocument/2006/relationships" r:embed="rId4"/>
                <a:tile tx="0" ty="0" sx="100000" sy="100000" flip="none" algn="tl"/>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1E75-4905-BA93-6A6087933E05}"/>
              </c:ext>
            </c:extLst>
          </c:dPt>
          <c:dPt>
            <c:idx val="2"/>
            <c:invertIfNegative val="0"/>
            <c:bubble3D val="0"/>
            <c:spPr>
              <a:blipFill>
                <a:blip xmlns:r="http://schemas.openxmlformats.org/officeDocument/2006/relationships" r:embed="rId5"/>
                <a:tile tx="0" ty="0" sx="100000" sy="100000" flip="none" algn="tl"/>
              </a:blip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75-4905-BA93-6A6087933E05}"/>
              </c:ext>
            </c:extLst>
          </c:dPt>
          <c:cat>
            <c:strRef>
              <c:f>'Pivort Table'!$G$4:$G$7</c:f>
              <c:strCache>
                <c:ptCount val="3"/>
                <c:pt idx="0">
                  <c:v>Electronics</c:v>
                </c:pt>
                <c:pt idx="1">
                  <c:v>Hardware</c:v>
                </c:pt>
                <c:pt idx="2">
                  <c:v>Software</c:v>
                </c:pt>
              </c:strCache>
            </c:strRef>
          </c:cat>
          <c:val>
            <c:numRef>
              <c:f>'Pivort Table'!$H$4:$H$7</c:f>
              <c:numCache>
                <c:formatCode>General</c:formatCode>
                <c:ptCount val="3"/>
                <c:pt idx="0">
                  <c:v>544</c:v>
                </c:pt>
                <c:pt idx="1">
                  <c:v>96</c:v>
                </c:pt>
                <c:pt idx="2">
                  <c:v>87</c:v>
                </c:pt>
              </c:numCache>
            </c:numRef>
          </c:val>
          <c:extLst>
            <c:ext xmlns:c16="http://schemas.microsoft.com/office/drawing/2014/chart" uri="{C3380CC4-5D6E-409C-BE32-E72D297353CC}">
              <c16:uniqueId val="{00000000-F594-418C-AB53-253F94B368B1}"/>
            </c:ext>
          </c:extLst>
        </c:ser>
        <c:dLbls>
          <c:showLegendKey val="0"/>
          <c:showVal val="0"/>
          <c:showCatName val="0"/>
          <c:showSerName val="0"/>
          <c:showPercent val="0"/>
          <c:showBubbleSize val="0"/>
        </c:dLbls>
        <c:gapWidth val="115"/>
        <c:overlap val="-20"/>
        <c:axId val="863287087"/>
        <c:axId val="863288335"/>
      </c:barChart>
      <c:catAx>
        <c:axId val="8632870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288335"/>
        <c:crosses val="autoZero"/>
        <c:auto val="1"/>
        <c:lblAlgn val="ctr"/>
        <c:lblOffset val="100"/>
        <c:noMultiLvlLbl val="0"/>
      </c:catAx>
      <c:valAx>
        <c:axId val="8632883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328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276225</xdr:colOff>
      <xdr:row>21</xdr:row>
      <xdr:rowOff>47625</xdr:rowOff>
    </xdr:from>
    <xdr:to>
      <xdr:col>15</xdr:col>
      <xdr:colOff>628650</xdr:colOff>
      <xdr:row>35</xdr:row>
      <xdr:rowOff>123825</xdr:rowOff>
    </xdr:to>
    <xdr:graphicFrame macro="">
      <xdr:nvGraphicFramePr>
        <xdr:cNvPr id="5" name="Chart 4">
          <a:extLst>
            <a:ext uri="{FF2B5EF4-FFF2-40B4-BE49-F238E27FC236}">
              <a16:creationId xmlns:a16="http://schemas.microsoft.com/office/drawing/2014/main" id="{4054F136-40FC-4FB2-98AE-E004B43EC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495300</xdr:colOff>
      <xdr:row>6</xdr:row>
      <xdr:rowOff>0</xdr:rowOff>
    </xdr:from>
    <xdr:to>
      <xdr:col>15</xdr:col>
      <xdr:colOff>647700</xdr:colOff>
      <xdr:row>35</xdr:row>
      <xdr:rowOff>104775</xdr:rowOff>
    </xdr:to>
    <xdr:grpSp>
      <xdr:nvGrpSpPr>
        <xdr:cNvPr id="12" name="Group 11">
          <a:extLst>
            <a:ext uri="{FF2B5EF4-FFF2-40B4-BE49-F238E27FC236}">
              <a16:creationId xmlns:a16="http://schemas.microsoft.com/office/drawing/2014/main" id="{91697B68-1818-47F6-9A52-18706126A68D}"/>
            </a:ext>
          </a:extLst>
        </xdr:cNvPr>
        <xdr:cNvGrpSpPr/>
      </xdr:nvGrpSpPr>
      <xdr:grpSpPr>
        <a:xfrm>
          <a:off x="495300" y="1190625"/>
          <a:ext cx="11010900" cy="5629275"/>
          <a:chOff x="2219325" y="1371600"/>
          <a:chExt cx="11010900" cy="5629275"/>
        </a:xfrm>
      </xdr:grpSpPr>
      <xdr:graphicFrame macro="">
        <xdr:nvGraphicFramePr>
          <xdr:cNvPr id="3" name="Chart 2">
            <a:extLst>
              <a:ext uri="{FF2B5EF4-FFF2-40B4-BE49-F238E27FC236}">
                <a16:creationId xmlns:a16="http://schemas.microsoft.com/office/drawing/2014/main" id="{DB83F8B7-B2BD-41FB-A59C-0D77FF512C66}"/>
              </a:ext>
            </a:extLst>
          </xdr:cNvPr>
          <xdr:cNvGraphicFramePr>
            <a:graphicFrameLocks/>
          </xdr:cNvGraphicFramePr>
        </xdr:nvGraphicFramePr>
        <xdr:xfrm>
          <a:off x="2219325" y="4257675"/>
          <a:ext cx="5486400" cy="2743200"/>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11" name="Group 10">
            <a:extLst>
              <a:ext uri="{FF2B5EF4-FFF2-40B4-BE49-F238E27FC236}">
                <a16:creationId xmlns:a16="http://schemas.microsoft.com/office/drawing/2014/main" id="{3B579995-A313-4C67-BC0B-9AC6A1DF6AFD}"/>
              </a:ext>
            </a:extLst>
          </xdr:cNvPr>
          <xdr:cNvGrpSpPr/>
        </xdr:nvGrpSpPr>
        <xdr:grpSpPr>
          <a:xfrm>
            <a:off x="2247900" y="1371600"/>
            <a:ext cx="10982325" cy="2752725"/>
            <a:chOff x="2247900" y="1371600"/>
            <a:chExt cx="10982325" cy="2752725"/>
          </a:xfrm>
        </xdr:grpSpPr>
        <xdr:graphicFrame macro="">
          <xdr:nvGraphicFramePr>
            <xdr:cNvPr id="6" name="Chart 5">
              <a:extLst>
                <a:ext uri="{FF2B5EF4-FFF2-40B4-BE49-F238E27FC236}">
                  <a16:creationId xmlns:a16="http://schemas.microsoft.com/office/drawing/2014/main" id="{1C7D6C56-7A8F-4FDD-A075-E8B88913E161}"/>
                </a:ext>
              </a:extLst>
            </xdr:cNvPr>
            <xdr:cNvGraphicFramePr>
              <a:graphicFrameLocks/>
            </xdr:cNvGraphicFramePr>
          </xdr:nvGraphicFramePr>
          <xdr:xfrm>
            <a:off x="7858125" y="1371600"/>
            <a:ext cx="5372100" cy="27432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23733E1A-B074-49BF-BF9D-83E05D7AC0BA}"/>
                </a:ext>
              </a:extLst>
            </xdr:cNvPr>
            <xdr:cNvGraphicFramePr>
              <a:graphicFrameLocks/>
            </xdr:cNvGraphicFramePr>
          </xdr:nvGraphicFramePr>
          <xdr:xfrm>
            <a:off x="2247900" y="1381125"/>
            <a:ext cx="5486400" cy="2743200"/>
          </xdr:xfrm>
          <a:graphic>
            <a:graphicData uri="http://schemas.openxmlformats.org/drawingml/2006/chart">
              <c:chart xmlns:c="http://schemas.openxmlformats.org/drawingml/2006/chart" xmlns:r="http://schemas.openxmlformats.org/officeDocument/2006/relationships" r:id="rId4"/>
            </a:graphicData>
          </a:graphic>
        </xdr:graphicFrame>
      </xdr:grpSp>
    </xdr:grpSp>
    <xdr:clientData/>
  </xdr:twoCellAnchor>
  <xdr:twoCellAnchor editAs="oneCell">
    <xdr:from>
      <xdr:col>16</xdr:col>
      <xdr:colOff>133350</xdr:colOff>
      <xdr:row>6</xdr:row>
      <xdr:rowOff>0</xdr:rowOff>
    </xdr:from>
    <xdr:to>
      <xdr:col>18</xdr:col>
      <xdr:colOff>514350</xdr:colOff>
      <xdr:row>19</xdr:row>
      <xdr:rowOff>47625</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40B5285D-5A12-439B-BD84-B14D2B710C9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715750" y="1190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161925</xdr:colOff>
      <xdr:row>21</xdr:row>
      <xdr:rowOff>57150</xdr:rowOff>
    </xdr:from>
    <xdr:to>
      <xdr:col>18</xdr:col>
      <xdr:colOff>542925</xdr:colOff>
      <xdr:row>34</xdr:row>
      <xdr:rowOff>104775</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A6EB7E56-A520-4208-B4BE-65B87A00F5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44325" y="4105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wn" refreshedDate="46160.494727893521" createdVersion="7" refreshedVersion="7" minRefreshableVersion="3" recordCount="94" xr:uid="{1A305FA2-EB16-4E2E-B9D3-7092B99EFB21}">
  <cacheSource type="worksheet">
    <worksheetSource ref="A1:Q95" sheet="Data"/>
  </cacheSource>
  <cacheFields count="17">
    <cacheField name="Employee_ID" numFmtId="0">
      <sharedItems/>
    </cacheField>
    <cacheField name="First_Name" numFmtId="49">
      <sharedItems/>
    </cacheField>
    <cacheField name="Last_Name" numFmtId="49">
      <sharedItems/>
    </cacheField>
    <cacheField name="Department" numFmtId="49">
      <sharedItems count="3">
        <s v="Sales"/>
        <s v="Marketing"/>
        <s v="Support"/>
      </sharedItems>
    </cacheField>
    <cacheField name="Region" numFmtId="49">
      <sharedItems count="3">
        <s v="North America"/>
        <s v="Europe"/>
        <s v="Asia Pacific"/>
      </sharedItems>
    </cacheField>
    <cacheField name="Hire_Date" numFmtId="2">
      <sharedItems containsSemiMixedTypes="0" containsString="0" containsNumber="1" containsInteger="1" minValue="44020" maxValue="45112" count="25">
        <n v="44576"/>
        <n v="44275"/>
        <n v="45087"/>
        <n v="44140"/>
        <n v="44785"/>
        <n v="44531"/>
        <n v="44971"/>
        <n v="44104"/>
        <n v="44669"/>
        <n v="44399"/>
        <n v="44696"/>
        <n v="44934"/>
        <n v="44451"/>
        <n v="44885"/>
        <n v="44168"/>
        <n v="45010"/>
        <n v="44365"/>
        <n v="44620"/>
        <n v="44057"/>
        <n v="45112"/>
        <n v="44630"/>
        <n v="44522"/>
        <n v="44020"/>
        <n v="45031"/>
        <n v="44438"/>
      </sharedItems>
    </cacheField>
    <cacheField name="Salary" numFmtId="2">
      <sharedItems containsSemiMixedTypes="0" containsString="0" containsNumber="1" containsInteger="1" minValue="41000" maxValue="59000"/>
    </cacheField>
    <cacheField name="Commission_Rate" numFmtId="2">
      <sharedItems containsSemiMixedTypes="0" containsString="0" containsNumber="1" minValue="0.02" maxValue="7.0000000000000007E-2"/>
    </cacheField>
    <cacheField name="Sales_Date" numFmtId="14">
      <sharedItems containsSemiMixedTypes="0" containsNonDate="0" containsDate="1" containsString="0" minDate="2024-01-05T00:00:00" maxDate="2024-09-11T00:00:00"/>
    </cacheField>
    <cacheField name="Product_Category" numFmtId="49">
      <sharedItems count="3">
        <s v="Electronics"/>
        <s v="Software"/>
        <s v="Hardware"/>
      </sharedItems>
    </cacheField>
    <cacheField name="Product_Name" numFmtId="49">
      <sharedItems/>
    </cacheField>
    <cacheField name="Units_Sold" numFmtId="2">
      <sharedItems containsSemiMixedTypes="0" containsString="0" containsNumber="1" containsInteger="1" minValue="2" maxValue="50"/>
    </cacheField>
    <cacheField name="Unit_Price" numFmtId="2">
      <sharedItems containsSemiMixedTypes="0" containsString="0" containsNumber="1" containsInteger="1" minValue="100" maxValue="3000"/>
    </cacheField>
    <cacheField name="Total_Sales" numFmtId="2">
      <sharedItems containsSemiMixedTypes="0" containsString="0" containsNumber="1" containsInteger="1" minValue="1800" maxValue="24000"/>
    </cacheField>
    <cacheField name="Customer_Type" numFmtId="49">
      <sharedItems/>
    </cacheField>
    <cacheField name="Quarter" numFmtId="0">
      <sharedItems/>
    </cacheField>
    <cacheField name="Performance_Rating" numFmtId="0">
      <sharedItems/>
    </cacheField>
  </cacheFields>
  <extLst>
    <ext xmlns:x14="http://schemas.microsoft.com/office/spreadsheetml/2009/9/main" uri="{725AE2AE-9491-48be-B2B4-4EB974FC3084}">
      <x14:pivotCacheDefinition pivotCacheId="10002828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s v="EMP001"/>
    <s v="John"/>
    <s v="Smith"/>
    <x v="0"/>
    <x v="0"/>
    <x v="0"/>
    <n v="55000"/>
    <n v="0.05"/>
    <d v="2024-01-05T00:00:00"/>
    <x v="0"/>
    <s v="Laptop Pro"/>
    <n v="12"/>
    <n v="1200"/>
    <n v="14400"/>
    <s v="Corporate"/>
    <s v="Q1"/>
    <s v="Average"/>
  </r>
  <r>
    <s v="EMP001"/>
    <s v="John"/>
    <s v="Smith"/>
    <x v="0"/>
    <x v="0"/>
    <x v="0"/>
    <n v="55000"/>
    <n v="0.05"/>
    <d v="2024-01-12T00:00:00"/>
    <x v="0"/>
    <s v="Smartphone X"/>
    <n v="25"/>
    <n v="800"/>
    <n v="20000"/>
    <s v="Retail"/>
    <s v="Q1"/>
    <s v="Average"/>
  </r>
  <r>
    <s v="EMP001"/>
    <s v="John"/>
    <s v="Smith"/>
    <x v="0"/>
    <x v="0"/>
    <x v="0"/>
    <n v="55000"/>
    <n v="0.05"/>
    <d v="2024-01-18T00:00:00"/>
    <x v="1"/>
    <s v="Office Suite"/>
    <n v="8"/>
    <n v="300"/>
    <n v="2400"/>
    <s v="Corporate"/>
    <s v="Q1"/>
    <s v="Average"/>
  </r>
  <r>
    <s v="EMP002"/>
    <s v="Sarah"/>
    <s v="Johnson"/>
    <x v="0"/>
    <x v="1"/>
    <x v="1"/>
    <n v="52000"/>
    <n v="0.06"/>
    <d v="2024-01-08T00:00:00"/>
    <x v="0"/>
    <s v="Tablet Plus"/>
    <n v="15"/>
    <n v="600"/>
    <n v="9000"/>
    <s v="Retail"/>
    <s v="Q1"/>
    <s v="Good"/>
  </r>
  <r>
    <s v="EMP002"/>
    <s v="Sarah"/>
    <s v="Johnson"/>
    <x v="0"/>
    <x v="1"/>
    <x v="1"/>
    <n v="52000"/>
    <n v="0.06"/>
    <d v="2024-01-15T00:00:00"/>
    <x v="1"/>
    <s v="Design Pro"/>
    <n v="6"/>
    <n v="500"/>
    <n v="3000"/>
    <s v="Corporate"/>
    <s v="Q1"/>
    <s v="Good"/>
  </r>
  <r>
    <s v="EMP002"/>
    <s v="Sarah"/>
    <s v="Johnson"/>
    <x v="0"/>
    <x v="1"/>
    <x v="1"/>
    <n v="52000"/>
    <n v="0.06"/>
    <d v="2024-01-22T00:00:00"/>
    <x v="2"/>
    <s v="Server Rack"/>
    <n v="3"/>
    <n v="2000"/>
    <n v="6000"/>
    <s v="Corporate"/>
    <s v="Q1"/>
    <s v="Good"/>
  </r>
  <r>
    <s v="EMP003"/>
    <s v="Mike"/>
    <s v="Davis"/>
    <x v="1"/>
    <x v="2"/>
    <x v="2"/>
    <n v="48000"/>
    <n v="0.04"/>
    <d v="2024-01-10T00:00:00"/>
    <x v="0"/>
    <s v="Smart Watch"/>
    <n v="20"/>
    <n v="400"/>
    <n v="8000"/>
    <s v="Retail"/>
    <s v="Q1"/>
    <s v="Average"/>
  </r>
  <r>
    <s v="EMP003"/>
    <s v="Mike"/>
    <s v="Davis"/>
    <x v="1"/>
    <x v="2"/>
    <x v="2"/>
    <n v="48000"/>
    <n v="0.04"/>
    <d v="2024-01-17T00:00:00"/>
    <x v="1"/>
    <s v="Mobile App"/>
    <n v="12"/>
    <n v="150"/>
    <n v="1800"/>
    <s v="Retail"/>
    <s v="Q1"/>
    <s v="Average"/>
  </r>
  <r>
    <s v="EMP004"/>
    <s v="Lisa"/>
    <s v="Wilson"/>
    <x v="0"/>
    <x v="0"/>
    <x v="3"/>
    <n v="58000"/>
    <n v="7.0000000000000007E-2"/>
    <d v="2024-01-06T00:00:00"/>
    <x v="0"/>
    <s v="Gaming Console"/>
    <n v="8"/>
    <n v="500"/>
    <n v="4000"/>
    <s v="Retail"/>
    <s v="Q1"/>
    <s v="Excellent"/>
  </r>
  <r>
    <s v="EMP004"/>
    <s v="Lisa"/>
    <s v="Wilson"/>
    <x v="0"/>
    <x v="0"/>
    <x v="3"/>
    <n v="58000"/>
    <n v="7.0000000000000007E-2"/>
    <d v="2024-01-13T00:00:00"/>
    <x v="2"/>
    <s v="Graphics Card"/>
    <n v="15"/>
    <n v="800"/>
    <n v="12000"/>
    <s v="Corporate"/>
    <s v="Q1"/>
    <s v="Excellent"/>
  </r>
  <r>
    <s v="EMP004"/>
    <s v="Lisa"/>
    <s v="Wilson"/>
    <x v="0"/>
    <x v="0"/>
    <x v="3"/>
    <n v="58000"/>
    <n v="7.0000000000000007E-2"/>
    <d v="2024-01-20T00:00:00"/>
    <x v="1"/>
    <s v="Game Engine"/>
    <n v="5"/>
    <n v="1000"/>
    <n v="5000"/>
    <s v="Corporate"/>
    <s v="Q1"/>
    <s v="Excellent"/>
  </r>
  <r>
    <s v="EMP005"/>
    <s v="David"/>
    <s v="Brown"/>
    <x v="1"/>
    <x v="1"/>
    <x v="4"/>
    <n v="45000"/>
    <n v="0.03"/>
    <d v="2024-01-09T00:00:00"/>
    <x v="0"/>
    <s v="Headphones"/>
    <n v="30"/>
    <n v="200"/>
    <n v="6000"/>
    <s v="Retail"/>
    <s v="Q1"/>
    <s v="Average"/>
  </r>
  <r>
    <s v="EMP005"/>
    <s v="David"/>
    <s v="Brown"/>
    <x v="1"/>
    <x v="1"/>
    <x v="4"/>
    <n v="45000"/>
    <n v="0.03"/>
    <d v="2024-01-16T00:00:00"/>
    <x v="1"/>
    <s v="Audio Editor"/>
    <n v="10"/>
    <n v="250"/>
    <n v="2500"/>
    <s v="Retail"/>
    <s v="Q1"/>
    <s v="Average"/>
  </r>
  <r>
    <s v="EMP006"/>
    <s v="Emma"/>
    <s v="Taylor"/>
    <x v="0"/>
    <x v="2"/>
    <x v="5"/>
    <n v="54000"/>
    <n v="0.05"/>
    <d v="2024-01-11T00:00:00"/>
    <x v="0"/>
    <s v="Camera Pro"/>
    <n v="7"/>
    <n v="1500"/>
    <n v="10500"/>
    <s v="Corporate"/>
    <s v="Q1"/>
    <s v="Average"/>
  </r>
  <r>
    <s v="EMP006"/>
    <s v="Emma"/>
    <s v="Taylor"/>
    <x v="0"/>
    <x v="2"/>
    <x v="5"/>
    <n v="54000"/>
    <n v="0.05"/>
    <d v="2024-01-18T00:00:00"/>
    <x v="2"/>
    <s v="Memory Card"/>
    <n v="25"/>
    <n v="100"/>
    <n v="2500"/>
    <s v="Retail"/>
    <s v="Q1"/>
    <s v="Average"/>
  </r>
  <r>
    <s v="EMP007"/>
    <s v="James"/>
    <s v="Anderson"/>
    <x v="2"/>
    <x v="0"/>
    <x v="6"/>
    <n v="42000"/>
    <n v="0.02"/>
    <d v="2024-01-07T00:00:00"/>
    <x v="1"/>
    <s v="Support Tools"/>
    <n v="15"/>
    <n v="200"/>
    <n v="3000"/>
    <s v="Corporate"/>
    <s v="Q1"/>
    <s v="Average"/>
  </r>
  <r>
    <s v="EMP008"/>
    <s v="Maria"/>
    <s v="Garcia"/>
    <x v="0"/>
    <x v="1"/>
    <x v="7"/>
    <n v="56000"/>
    <n v="0.06"/>
    <d v="2024-01-14T00:00:00"/>
    <x v="0"/>
    <s v="Smart TV"/>
    <n v="6"/>
    <n v="1200"/>
    <n v="7200"/>
    <s v="Retail"/>
    <s v="Q1"/>
    <s v="Good"/>
  </r>
  <r>
    <s v="EMP008"/>
    <s v="Maria"/>
    <s v="Garcia"/>
    <x v="0"/>
    <x v="1"/>
    <x v="7"/>
    <n v="56000"/>
    <n v="0.06"/>
    <d v="2024-01-21T00:00:00"/>
    <x v="2"/>
    <s v="Sound System"/>
    <n v="4"/>
    <n v="800"/>
    <n v="3200"/>
    <s v="Corporate"/>
    <s v="Q1"/>
    <s v="Good"/>
  </r>
  <r>
    <s v="EMP009"/>
    <s v="Robert"/>
    <s v="Miller"/>
    <x v="1"/>
    <x v="2"/>
    <x v="8"/>
    <n v="47000"/>
    <n v="0.04"/>
    <d v="2024-01-12T00:00:00"/>
    <x v="0"/>
    <s v="Fitness Tracker"/>
    <n v="18"/>
    <n v="300"/>
    <n v="5400"/>
    <s v="Retail"/>
    <s v="Q1"/>
    <s v="Average"/>
  </r>
  <r>
    <s v="EMP010"/>
    <s v="Jennifer"/>
    <s v="Lee"/>
    <x v="0"/>
    <x v="0"/>
    <x v="9"/>
    <n v="53000"/>
    <n v="0.05"/>
    <d v="2024-01-19T00:00:00"/>
    <x v="1"/>
    <s v="Productivity Suite"/>
    <n v="9"/>
    <n v="400"/>
    <n v="3600"/>
    <s v="Corporate"/>
    <s v="Q1"/>
    <s v="Average"/>
  </r>
  <r>
    <s v="EMP001"/>
    <s v="John"/>
    <s v="Smith"/>
    <x v="0"/>
    <x v="0"/>
    <x v="0"/>
    <n v="55000"/>
    <n v="0.05"/>
    <d v="2024-02-02T00:00:00"/>
    <x v="0"/>
    <s v="Laptop Pro"/>
    <n v="14"/>
    <n v="1200"/>
    <n v="16800"/>
    <s v="Corporate"/>
    <s v="Q1"/>
    <s v="Average"/>
  </r>
  <r>
    <s v="EMP001"/>
    <s v="John"/>
    <s v="Smith"/>
    <x v="0"/>
    <x v="0"/>
    <x v="0"/>
    <n v="55000"/>
    <n v="0.05"/>
    <d v="2024-02-09T00:00:00"/>
    <x v="0"/>
    <s v="Smartphone X"/>
    <n v="28"/>
    <n v="800"/>
    <n v="22400"/>
    <s v="Retail"/>
    <s v="Q1"/>
    <s v="Average"/>
  </r>
  <r>
    <s v="EMP002"/>
    <s v="Sarah"/>
    <s v="Johnson"/>
    <x v="0"/>
    <x v="1"/>
    <x v="1"/>
    <n v="52000"/>
    <n v="0.06"/>
    <d v="2024-02-05T00:00:00"/>
    <x v="0"/>
    <s v="Tablet Plus"/>
    <n v="18"/>
    <n v="600"/>
    <n v="10800"/>
    <s v="Retail"/>
    <s v="Q1"/>
    <s v="Good"/>
  </r>
  <r>
    <s v="EMP002"/>
    <s v="Sarah"/>
    <s v="Johnson"/>
    <x v="0"/>
    <x v="1"/>
    <x v="1"/>
    <n v="52000"/>
    <n v="0.06"/>
    <d v="2024-02-12T00:00:00"/>
    <x v="1"/>
    <s v="Design Pro"/>
    <n v="8"/>
    <n v="500"/>
    <n v="4000"/>
    <s v="Corporate"/>
    <s v="Q1"/>
    <s v="Good"/>
  </r>
  <r>
    <s v="EMP003"/>
    <s v="Mike"/>
    <s v="Davis"/>
    <x v="1"/>
    <x v="2"/>
    <x v="2"/>
    <n v="48000"/>
    <n v="0.04"/>
    <d v="2024-02-07T00:00:00"/>
    <x v="0"/>
    <s v="Smart Watch"/>
    <n v="22"/>
    <n v="400"/>
    <n v="8800"/>
    <s v="Retail"/>
    <s v="Q1"/>
    <s v="Average"/>
  </r>
  <r>
    <s v="EMP004"/>
    <s v="Lisa"/>
    <s v="Wilson"/>
    <x v="0"/>
    <x v="0"/>
    <x v="3"/>
    <n v="58000"/>
    <n v="7.0000000000000007E-2"/>
    <d v="2024-02-03T00:00:00"/>
    <x v="0"/>
    <s v="Gaming Console"/>
    <n v="10"/>
    <n v="500"/>
    <n v="5000"/>
    <s v="Retail"/>
    <s v="Q1"/>
    <s v="Excellent"/>
  </r>
  <r>
    <s v="EMP004"/>
    <s v="Lisa"/>
    <s v="Wilson"/>
    <x v="0"/>
    <x v="0"/>
    <x v="3"/>
    <n v="58000"/>
    <n v="7.0000000000000007E-2"/>
    <d v="2024-02-10T00:00:00"/>
    <x v="2"/>
    <s v="Graphics Card"/>
    <n v="18"/>
    <n v="800"/>
    <n v="14400"/>
    <s v="Corporate"/>
    <s v="Q1"/>
    <s v="Excellent"/>
  </r>
  <r>
    <s v="EMP005"/>
    <s v="David"/>
    <s v="Brown"/>
    <x v="1"/>
    <x v="1"/>
    <x v="4"/>
    <n v="45000"/>
    <n v="0.03"/>
    <d v="2024-02-06T00:00:00"/>
    <x v="0"/>
    <s v="Headphones"/>
    <n v="35"/>
    <n v="200"/>
    <n v="7000"/>
    <s v="Retail"/>
    <s v="Q1"/>
    <s v="Average"/>
  </r>
  <r>
    <s v="EMP006"/>
    <s v="Emma"/>
    <s v="Taylor"/>
    <x v="0"/>
    <x v="2"/>
    <x v="5"/>
    <n v="54000"/>
    <n v="0.05"/>
    <d v="2024-02-08T00:00:00"/>
    <x v="0"/>
    <s v="Camera Pro"/>
    <n v="9"/>
    <n v="1500"/>
    <n v="13500"/>
    <s v="Corporate"/>
    <s v="Q1"/>
    <s v="Average"/>
  </r>
  <r>
    <s v="EMP007"/>
    <s v="James"/>
    <s v="Anderson"/>
    <x v="2"/>
    <x v="0"/>
    <x v="6"/>
    <n v="42000"/>
    <n v="0.02"/>
    <d v="2024-02-04T00:00:00"/>
    <x v="1"/>
    <s v="Support Tools"/>
    <n v="18"/>
    <n v="200"/>
    <n v="3600"/>
    <s v="Corporate"/>
    <s v="Q1"/>
    <s v="Average"/>
  </r>
  <r>
    <s v="EMP008"/>
    <s v="Maria"/>
    <s v="Garcia"/>
    <x v="0"/>
    <x v="1"/>
    <x v="7"/>
    <n v="56000"/>
    <n v="0.06"/>
    <d v="2024-02-11T00:00:00"/>
    <x v="0"/>
    <s v="Smart TV"/>
    <n v="8"/>
    <n v="1200"/>
    <n v="9600"/>
    <s v="Retail"/>
    <s v="Q1"/>
    <s v="Good"/>
  </r>
  <r>
    <s v="EMP009"/>
    <s v="Robert"/>
    <s v="Miller"/>
    <x v="1"/>
    <x v="2"/>
    <x v="8"/>
    <n v="47000"/>
    <n v="0.04"/>
    <d v="2024-02-09T00:00:00"/>
    <x v="0"/>
    <s v="Fitness Tracker"/>
    <n v="20"/>
    <n v="300"/>
    <n v="6000"/>
    <s v="Retail"/>
    <s v="Q1"/>
    <s v="Average"/>
  </r>
  <r>
    <s v="EMP010"/>
    <s v="Jennifer"/>
    <s v="Lee"/>
    <x v="0"/>
    <x v="0"/>
    <x v="9"/>
    <n v="53000"/>
    <n v="0.05"/>
    <d v="2024-02-16T00:00:00"/>
    <x v="1"/>
    <s v="Productivity Suite"/>
    <n v="11"/>
    <n v="400"/>
    <n v="4400"/>
    <s v="Corporate"/>
    <s v="Q1"/>
    <s v="Average"/>
  </r>
  <r>
    <s v="EMP001"/>
    <s v="John"/>
    <s v="Smith"/>
    <x v="0"/>
    <x v="0"/>
    <x v="0"/>
    <n v="55000"/>
    <n v="0.05"/>
    <d v="2024-03-01T00:00:00"/>
    <x v="0"/>
    <s v="Laptop Pro"/>
    <n v="16"/>
    <n v="1200"/>
    <n v="19200"/>
    <s v="Corporate"/>
    <s v="Q1"/>
    <s v="Average"/>
  </r>
  <r>
    <s v="EMP001"/>
    <s v="John"/>
    <s v="Smith"/>
    <x v="0"/>
    <x v="0"/>
    <x v="0"/>
    <n v="55000"/>
    <n v="0.05"/>
    <d v="2024-03-08T00:00:00"/>
    <x v="0"/>
    <s v="Smartphone X"/>
    <n v="30"/>
    <n v="800"/>
    <n v="24000"/>
    <s v="Retail"/>
    <s v="Q1"/>
    <s v="Average"/>
  </r>
  <r>
    <s v="EMP002"/>
    <s v="Sarah"/>
    <s v="Johnson"/>
    <x v="0"/>
    <x v="1"/>
    <x v="1"/>
    <n v="52000"/>
    <n v="0.06"/>
    <d v="2024-03-02T00:00:00"/>
    <x v="0"/>
    <s v="Tablet Plus"/>
    <n v="20"/>
    <n v="600"/>
    <n v="12000"/>
    <s v="Retail"/>
    <s v="Q1"/>
    <s v="Good"/>
  </r>
  <r>
    <s v="EMP003"/>
    <s v="Mike"/>
    <s v="Davis"/>
    <x v="1"/>
    <x v="2"/>
    <x v="2"/>
    <n v="48000"/>
    <n v="0.04"/>
    <d v="2024-03-04T00:00:00"/>
    <x v="0"/>
    <s v="Smart Watch"/>
    <n v="25"/>
    <n v="400"/>
    <n v="10000"/>
    <s v="Retail"/>
    <s v="Q1"/>
    <s v="Average"/>
  </r>
  <r>
    <s v="EMP004"/>
    <s v="Lisa"/>
    <s v="Wilson"/>
    <x v="0"/>
    <x v="0"/>
    <x v="3"/>
    <n v="58000"/>
    <n v="7.0000000000000007E-2"/>
    <d v="2024-03-06T00:00:00"/>
    <x v="0"/>
    <s v="Gaming Console"/>
    <n v="12"/>
    <n v="500"/>
    <n v="6000"/>
    <s v="Retail"/>
    <s v="Q1"/>
    <s v="Excellent"/>
  </r>
  <r>
    <s v="EMP005"/>
    <s v="David"/>
    <s v="Brown"/>
    <x v="1"/>
    <x v="1"/>
    <x v="4"/>
    <n v="45000"/>
    <n v="0.03"/>
    <d v="2024-03-03T00:00:00"/>
    <x v="0"/>
    <s v="Headphones"/>
    <n v="40"/>
    <n v="200"/>
    <n v="8000"/>
    <s v="Retail"/>
    <s v="Q1"/>
    <s v="Average"/>
  </r>
  <r>
    <s v="EMP006"/>
    <s v="Emma"/>
    <s v="Taylor"/>
    <x v="0"/>
    <x v="2"/>
    <x v="5"/>
    <n v="54000"/>
    <n v="0.05"/>
    <d v="2024-03-05T00:00:00"/>
    <x v="0"/>
    <s v="Camera Pro"/>
    <n v="11"/>
    <n v="1500"/>
    <n v="16500"/>
    <s v="Corporate"/>
    <s v="Q1"/>
    <s v="Average"/>
  </r>
  <r>
    <s v="EMP007"/>
    <s v="James"/>
    <s v="Anderson"/>
    <x v="2"/>
    <x v="0"/>
    <x v="6"/>
    <n v="42000"/>
    <n v="0.02"/>
    <d v="2024-03-01T00:00:00"/>
    <x v="1"/>
    <s v="Support Tools"/>
    <n v="20"/>
    <n v="200"/>
    <n v="4000"/>
    <s v="Corporate"/>
    <s v="Q1"/>
    <s v="Average"/>
  </r>
  <r>
    <s v="EMP008"/>
    <s v="Maria"/>
    <s v="Garcia"/>
    <x v="0"/>
    <x v="1"/>
    <x v="7"/>
    <n v="56000"/>
    <n v="0.06"/>
    <d v="2024-03-08T00:00:00"/>
    <x v="0"/>
    <s v="Smart TV"/>
    <n v="10"/>
    <n v="1200"/>
    <n v="12000"/>
    <s v="Retail"/>
    <s v="Q1"/>
    <s v="Good"/>
  </r>
  <r>
    <s v="EMP009"/>
    <s v="Robert"/>
    <s v="Miller"/>
    <x v="1"/>
    <x v="2"/>
    <x v="8"/>
    <n v="47000"/>
    <n v="0.04"/>
    <d v="2024-03-06T00:00:00"/>
    <x v="0"/>
    <s v="Fitness Tracker"/>
    <n v="22"/>
    <n v="300"/>
    <n v="6600"/>
    <s v="Retail"/>
    <s v="Q1"/>
    <s v="Average"/>
  </r>
  <r>
    <s v="EMP011"/>
    <s v="Alex"/>
    <s v="Chen"/>
    <x v="0"/>
    <x v="2"/>
    <x v="10"/>
    <n v="51000"/>
    <n v="0.05"/>
    <d v="2024-04-02T00:00:00"/>
    <x v="0"/>
    <s v="Drone Pro"/>
    <n v="5"/>
    <n v="2000"/>
    <n v="10000"/>
    <s v="Corporate"/>
    <s v="Q2"/>
    <s v="Average"/>
  </r>
  <r>
    <s v="EMP011"/>
    <s v="Alex"/>
    <s v="Chen"/>
    <x v="0"/>
    <x v="2"/>
    <x v="10"/>
    <n v="51000"/>
    <n v="0.05"/>
    <d v="2024-04-09T00:00:00"/>
    <x v="2"/>
    <s v="Router"/>
    <n v="12"/>
    <n v="300"/>
    <n v="3600"/>
    <s v="Retail"/>
    <s v="Q2"/>
    <s v="Average"/>
  </r>
  <r>
    <s v="EMP012"/>
    <s v="Sophie"/>
    <s v="Martin"/>
    <x v="1"/>
    <x v="1"/>
    <x v="11"/>
    <n v="46000"/>
    <n v="0.04"/>
    <d v="2024-04-05T00:00:00"/>
    <x v="1"/>
    <s v="Analytics Tool"/>
    <n v="7"/>
    <n v="600"/>
    <n v="4200"/>
    <s v="Corporate"/>
    <s v="Q2"/>
    <s v="Average"/>
  </r>
  <r>
    <s v="EMP013"/>
    <s v="Carlos"/>
    <s v="Rodriguez"/>
    <x v="0"/>
    <x v="0"/>
    <x v="12"/>
    <n v="57000"/>
    <n v="0.06"/>
    <d v="2024-04-03T00:00:00"/>
    <x v="0"/>
    <s v="VR Headset"/>
    <n v="4"/>
    <n v="1800"/>
    <n v="7200"/>
    <s v="Retail"/>
    <s v="Q2"/>
    <s v="Good"/>
  </r>
  <r>
    <s v="EMP014"/>
    <s v="Anna"/>
    <s v="Kowalski"/>
    <x v="2"/>
    <x v="1"/>
    <x v="13"/>
    <n v="43000"/>
    <n v="0.03"/>
    <d v="2024-04-07T00:00:00"/>
    <x v="1"/>
    <s v="Help Desk"/>
    <n v="25"/>
    <n v="100"/>
    <n v="2500"/>
    <s v="Corporate"/>
    <s v="Q2"/>
    <s v="Average"/>
  </r>
  <r>
    <s v="EMP015"/>
    <s v="Raj"/>
    <s v="Patel"/>
    <x v="0"/>
    <x v="2"/>
    <x v="14"/>
    <n v="59000"/>
    <n v="7.0000000000000007E-2"/>
    <d v="2024-04-04T00:00:00"/>
    <x v="0"/>
    <s v="Smart Home"/>
    <n v="8"/>
    <n v="1000"/>
    <n v="8000"/>
    <s v="Retail"/>
    <s v="Q2"/>
    <s v="Excellent"/>
  </r>
  <r>
    <s v="EMP016"/>
    <s v="Nicole"/>
    <s v="Thompson"/>
    <x v="1"/>
    <x v="0"/>
    <x v="15"/>
    <n v="44000"/>
    <n v="0.03"/>
    <d v="2024-04-08T00:00:00"/>
    <x v="1"/>
    <s v="Social Media"/>
    <n v="15"/>
    <n v="200"/>
    <n v="3000"/>
    <s v="Retail"/>
    <s v="Q2"/>
    <s v="Average"/>
  </r>
  <r>
    <s v="EMP017"/>
    <s v="Hassan"/>
    <s v="Ali"/>
    <x v="0"/>
    <x v="1"/>
    <x v="16"/>
    <n v="55000"/>
    <n v="0.05"/>
    <d v="2024-04-06T00:00:00"/>
    <x v="2"/>
    <s v="Network Switch"/>
    <n v="6"/>
    <n v="800"/>
    <n v="4800"/>
    <s v="Corporate"/>
    <s v="Q2"/>
    <s v="Average"/>
  </r>
  <r>
    <s v="EMP018"/>
    <s v="Yuki"/>
    <s v="Tanaka"/>
    <x v="1"/>
    <x v="2"/>
    <x v="17"/>
    <n v="47000"/>
    <n v="0.04"/>
    <d v="2024-04-10T00:00:00"/>
    <x v="0"/>
    <s v="Action Camera"/>
    <n v="10"/>
    <n v="500"/>
    <n v="5000"/>
    <s v="Retail"/>
    <s v="Q2"/>
    <s v="Average"/>
  </r>
  <r>
    <s v="EMP019"/>
    <s v="Lucas"/>
    <s v="Silva"/>
    <x v="0"/>
    <x v="0"/>
    <x v="18"/>
    <n v="56000"/>
    <n v="0.06"/>
    <d v="2024-04-11T00:00:00"/>
    <x v="1"/>
    <s v="Video Editor"/>
    <n v="3"/>
    <n v="800"/>
    <n v="2400"/>
    <s v="Corporate"/>
    <s v="Q2"/>
    <s v="Good"/>
  </r>
  <r>
    <s v="EMP020"/>
    <s v="Priya"/>
    <s v="Sharma"/>
    <x v="2"/>
    <x v="2"/>
    <x v="19"/>
    <n v="41000"/>
    <n v="0.02"/>
    <d v="2024-04-09T00:00:00"/>
    <x v="1"/>
    <s v="Backup Tool"/>
    <n v="20"/>
    <n v="150"/>
    <n v="3000"/>
    <s v="Corporate"/>
    <s v="Q2"/>
    <s v="Average"/>
  </r>
  <r>
    <s v="EMP011"/>
    <s v="Alex"/>
    <s v="Chen"/>
    <x v="0"/>
    <x v="2"/>
    <x v="10"/>
    <n v="51000"/>
    <n v="0.05"/>
    <d v="2024-05-01T00:00:00"/>
    <x v="0"/>
    <s v="Drone Pro"/>
    <n v="7"/>
    <n v="2000"/>
    <n v="14000"/>
    <s v="Corporate"/>
    <s v="Q2"/>
    <s v="Average"/>
  </r>
  <r>
    <s v="EMP012"/>
    <s v="Sophie"/>
    <s v="Martin"/>
    <x v="1"/>
    <x v="1"/>
    <x v="11"/>
    <n v="46000"/>
    <n v="0.04"/>
    <d v="2024-05-03T00:00:00"/>
    <x v="1"/>
    <s v="Analytics Tool"/>
    <n v="9"/>
    <n v="600"/>
    <n v="5400"/>
    <s v="Corporate"/>
    <s v="Q2"/>
    <s v="Average"/>
  </r>
  <r>
    <s v="EMP013"/>
    <s v="Carlos"/>
    <s v="Rodriguez"/>
    <x v="0"/>
    <x v="0"/>
    <x v="12"/>
    <n v="57000"/>
    <n v="0.06"/>
    <d v="2024-05-02T00:00:00"/>
    <x v="0"/>
    <s v="VR Headset"/>
    <n v="6"/>
    <n v="1800"/>
    <n v="10800"/>
    <s v="Retail"/>
    <s v="Q2"/>
    <s v="Good"/>
  </r>
  <r>
    <s v="EMP014"/>
    <s v="Anna"/>
    <s v="Kowalski"/>
    <x v="2"/>
    <x v="1"/>
    <x v="13"/>
    <n v="43000"/>
    <n v="0.03"/>
    <d v="2024-05-04T00:00:00"/>
    <x v="1"/>
    <s v="Help Desk"/>
    <n v="30"/>
    <n v="100"/>
    <n v="3000"/>
    <s v="Corporate"/>
    <s v="Q2"/>
    <s v="Average"/>
  </r>
  <r>
    <s v="EMP015"/>
    <s v="Raj"/>
    <s v="Patel"/>
    <x v="0"/>
    <x v="2"/>
    <x v="14"/>
    <n v="59000"/>
    <n v="7.0000000000000007E-2"/>
    <d v="2024-05-06T00:00:00"/>
    <x v="0"/>
    <s v="Smart Home"/>
    <n v="10"/>
    <n v="1000"/>
    <n v="10000"/>
    <s v="Retail"/>
    <s v="Q2"/>
    <s v="Excellent"/>
  </r>
  <r>
    <s v="EMP016"/>
    <s v="Nicole"/>
    <s v="Thompson"/>
    <x v="1"/>
    <x v="0"/>
    <x v="15"/>
    <n v="44000"/>
    <n v="0.03"/>
    <d v="2024-05-05T00:00:00"/>
    <x v="1"/>
    <s v="Social Media"/>
    <n v="18"/>
    <n v="200"/>
    <n v="3600"/>
    <s v="Retail"/>
    <s v="Q2"/>
    <s v="Average"/>
  </r>
  <r>
    <s v="EMP017"/>
    <s v="Hassan"/>
    <s v="Ali"/>
    <x v="0"/>
    <x v="1"/>
    <x v="16"/>
    <n v="55000"/>
    <n v="0.05"/>
    <d v="2024-05-07T00:00:00"/>
    <x v="2"/>
    <s v="Network Switch"/>
    <n v="8"/>
    <n v="800"/>
    <n v="6400"/>
    <s v="Corporate"/>
    <s v="Q2"/>
    <s v="Average"/>
  </r>
  <r>
    <s v="EMP018"/>
    <s v="Yuki"/>
    <s v="Tanaka"/>
    <x v="1"/>
    <x v="2"/>
    <x v="17"/>
    <n v="47000"/>
    <n v="0.04"/>
    <d v="2024-05-08T00:00:00"/>
    <x v="0"/>
    <s v="Action Camera"/>
    <n v="12"/>
    <n v="500"/>
    <n v="6000"/>
    <s v="Retail"/>
    <s v="Q2"/>
    <s v="Average"/>
  </r>
  <r>
    <s v="EMP019"/>
    <s v="Lucas"/>
    <s v="Silva"/>
    <x v="0"/>
    <x v="0"/>
    <x v="18"/>
    <n v="56000"/>
    <n v="0.06"/>
    <d v="2024-05-09T00:00:00"/>
    <x v="1"/>
    <s v="Video Editor"/>
    <n v="5"/>
    <n v="800"/>
    <n v="4000"/>
    <s v="Corporate"/>
    <s v="Q2"/>
    <s v="Good"/>
  </r>
  <r>
    <s v="EMP020"/>
    <s v="Priya"/>
    <s v="Sharma"/>
    <x v="2"/>
    <x v="2"/>
    <x v="19"/>
    <n v="41000"/>
    <n v="0.02"/>
    <d v="2024-05-10T00:00:00"/>
    <x v="1"/>
    <s v="Backup Tool"/>
    <n v="25"/>
    <n v="150"/>
    <n v="3750"/>
    <s v="Corporate"/>
    <s v="Q2"/>
    <s v="Average"/>
  </r>
  <r>
    <s v="EMP001"/>
    <s v="John"/>
    <s v="Smith"/>
    <x v="0"/>
    <x v="0"/>
    <x v="0"/>
    <n v="55000"/>
    <n v="0.05"/>
    <d v="2024-06-01T00:00:00"/>
    <x v="0"/>
    <s v="Laptop Pro"/>
    <n v="18"/>
    <n v="1200"/>
    <n v="21600"/>
    <s v="Corporate"/>
    <s v="Q2"/>
    <s v="Average"/>
  </r>
  <r>
    <s v="EMP002"/>
    <s v="Sarah"/>
    <s v="Johnson"/>
    <x v="0"/>
    <x v="1"/>
    <x v="1"/>
    <n v="52000"/>
    <n v="0.06"/>
    <d v="2024-06-03T00:00:00"/>
    <x v="0"/>
    <s v="Tablet Plus"/>
    <n v="22"/>
    <n v="600"/>
    <n v="13200"/>
    <s v="Retail"/>
    <s v="Q2"/>
    <s v="Good"/>
  </r>
  <r>
    <s v="EMP003"/>
    <s v="Mike"/>
    <s v="Davis"/>
    <x v="1"/>
    <x v="2"/>
    <x v="2"/>
    <n v="48000"/>
    <n v="0.04"/>
    <d v="2024-06-02T00:00:00"/>
    <x v="0"/>
    <s v="Smart Watch"/>
    <n v="28"/>
    <n v="400"/>
    <n v="11200"/>
    <s v="Retail"/>
    <s v="Q2"/>
    <s v="Average"/>
  </r>
  <r>
    <s v="EMP004"/>
    <s v="Lisa"/>
    <s v="Wilson"/>
    <x v="0"/>
    <x v="0"/>
    <x v="3"/>
    <n v="58000"/>
    <n v="7.0000000000000007E-2"/>
    <d v="2024-06-04T00:00:00"/>
    <x v="0"/>
    <s v="Gaming Console"/>
    <n v="14"/>
    <n v="500"/>
    <n v="7000"/>
    <s v="Retail"/>
    <s v="Q2"/>
    <s v="Excellent"/>
  </r>
  <r>
    <s v="EMP005"/>
    <s v="David"/>
    <s v="Brown"/>
    <x v="1"/>
    <x v="1"/>
    <x v="4"/>
    <n v="45000"/>
    <n v="0.03"/>
    <d v="2024-06-05T00:00:00"/>
    <x v="0"/>
    <s v="Headphones"/>
    <n v="45"/>
    <n v="200"/>
    <n v="9000"/>
    <s v="Retail"/>
    <s v="Q2"/>
    <s v="Average"/>
  </r>
  <r>
    <s v="EMP006"/>
    <s v="Emma"/>
    <s v="Taylor"/>
    <x v="0"/>
    <x v="2"/>
    <x v="5"/>
    <n v="54000"/>
    <n v="0.05"/>
    <d v="2024-06-06T00:00:00"/>
    <x v="0"/>
    <s v="Camera Pro"/>
    <n v="13"/>
    <n v="1500"/>
    <n v="19500"/>
    <s v="Corporate"/>
    <s v="Q2"/>
    <s v="Average"/>
  </r>
  <r>
    <s v="EMP007"/>
    <s v="James"/>
    <s v="Anderson"/>
    <x v="2"/>
    <x v="0"/>
    <x v="6"/>
    <n v="42000"/>
    <n v="0.02"/>
    <d v="2024-06-07T00:00:00"/>
    <x v="1"/>
    <s v="Support Tools"/>
    <n v="22"/>
    <n v="200"/>
    <n v="4400"/>
    <s v="Corporate"/>
    <s v="Q2"/>
    <s v="Average"/>
  </r>
  <r>
    <s v="EMP008"/>
    <s v="Maria"/>
    <s v="Garcia"/>
    <x v="0"/>
    <x v="1"/>
    <x v="7"/>
    <n v="56000"/>
    <n v="0.06"/>
    <d v="2024-06-08T00:00:00"/>
    <x v="0"/>
    <s v="Smart TV"/>
    <n v="12"/>
    <n v="1200"/>
    <n v="14400"/>
    <s v="Retail"/>
    <s v="Q2"/>
    <s v="Good"/>
  </r>
  <r>
    <s v="EMP009"/>
    <s v="Robert"/>
    <s v="Miller"/>
    <x v="1"/>
    <x v="2"/>
    <x v="8"/>
    <n v="47000"/>
    <n v="0.04"/>
    <d v="2024-06-09T00:00:00"/>
    <x v="0"/>
    <s v="Fitness Tracker"/>
    <n v="25"/>
    <n v="300"/>
    <n v="7500"/>
    <s v="Retail"/>
    <s v="Q2"/>
    <s v="Average"/>
  </r>
  <r>
    <s v="EMP010"/>
    <s v="Jennifer"/>
    <s v="Lee"/>
    <x v="0"/>
    <x v="0"/>
    <x v="9"/>
    <n v="53000"/>
    <n v="0.05"/>
    <d v="2024-06-10T00:00:00"/>
    <x v="1"/>
    <s v="Productivity Suite"/>
    <n v="15"/>
    <n v="400"/>
    <n v="6000"/>
    <s v="Corporate"/>
    <s v="Q2"/>
    <s v="Average"/>
  </r>
  <r>
    <s v="EMP021"/>
    <s v="Ahmed"/>
    <s v="Hassan"/>
    <x v="0"/>
    <x v="1"/>
    <x v="20"/>
    <n v="54000"/>
    <n v="0.05"/>
    <d v="2024-07-01T00:00:00"/>
    <x v="0"/>
    <s v="Smart Speaker"/>
    <n v="16"/>
    <n v="250"/>
    <n v="4000"/>
    <s v="Retail"/>
    <s v="Q3"/>
    <s v="Average"/>
  </r>
  <r>
    <s v="EMP022"/>
    <s v="Elena"/>
    <s v="Popov"/>
    <x v="1"/>
    <x v="2"/>
    <x v="21"/>
    <n v="46000"/>
    <n v="0.04"/>
    <d v="2024-07-02T00:00:00"/>
    <x v="1"/>
    <s v="Translation App"/>
    <n v="12"/>
    <n v="300"/>
    <n v="3600"/>
    <s v="Corporate"/>
    <s v="Q3"/>
    <s v="Average"/>
  </r>
  <r>
    <s v="EMP023"/>
    <s v="Tom"/>
    <s v="O'Connor"/>
    <x v="0"/>
    <x v="0"/>
    <x v="22"/>
    <n v="58000"/>
    <n v="0.06"/>
    <d v="2024-07-03T00:00:00"/>
    <x v="2"/>
    <s v="Workstation"/>
    <n v="2"/>
    <n v="3000"/>
    <n v="6000"/>
    <s v="Corporate"/>
    <s v="Q3"/>
    <s v="Good"/>
  </r>
  <r>
    <s v="EMP024"/>
    <s v="Mei"/>
    <s v="Wang"/>
    <x v="2"/>
    <x v="2"/>
    <x v="23"/>
    <n v="42000"/>
    <n v="0.03"/>
    <d v="2024-07-04T00:00:00"/>
    <x v="1"/>
    <s v="Monitoring Tool"/>
    <n v="18"/>
    <n v="180"/>
    <n v="3240"/>
    <s v="Corporate"/>
    <s v="Q3"/>
    <s v="Average"/>
  </r>
  <r>
    <s v="EMP025"/>
    <s v="Pierre"/>
    <s v="Dubois"/>
    <x v="0"/>
    <x v="1"/>
    <x v="24"/>
    <n v="55000"/>
    <n v="0.05"/>
    <d v="2024-07-05T00:00:00"/>
    <x v="0"/>
    <s v="E-Reader"/>
    <n v="20"/>
    <n v="350"/>
    <n v="7000"/>
    <s v="Retail"/>
    <s v="Q3"/>
    <s v="Average"/>
  </r>
  <r>
    <s v="EMP021"/>
    <s v="Ahmed"/>
    <s v="Hassan"/>
    <x v="0"/>
    <x v="1"/>
    <x v="20"/>
    <n v="54000"/>
    <n v="0.05"/>
    <d v="2024-08-01T00:00:00"/>
    <x v="0"/>
    <s v="Smart Speaker"/>
    <n v="18"/>
    <n v="250"/>
    <n v="4500"/>
    <s v="Retail"/>
    <s v="Q3"/>
    <s v="Average"/>
  </r>
  <r>
    <s v="EMP022"/>
    <s v="Elena"/>
    <s v="Popov"/>
    <x v="1"/>
    <x v="2"/>
    <x v="21"/>
    <n v="46000"/>
    <n v="0.04"/>
    <d v="2024-08-02T00:00:00"/>
    <x v="1"/>
    <s v="Translation App"/>
    <n v="14"/>
    <n v="300"/>
    <n v="4200"/>
    <s v="Corporate"/>
    <s v="Q3"/>
    <s v="Average"/>
  </r>
  <r>
    <s v="EMP023"/>
    <s v="Tom"/>
    <s v="O'Connor"/>
    <x v="0"/>
    <x v="0"/>
    <x v="22"/>
    <n v="58000"/>
    <n v="0.06"/>
    <d v="2024-08-03T00:00:00"/>
    <x v="2"/>
    <s v="Workstation"/>
    <n v="3"/>
    <n v="3000"/>
    <n v="9000"/>
    <s v="Corporate"/>
    <s v="Q3"/>
    <s v="Good"/>
  </r>
  <r>
    <s v="EMP024"/>
    <s v="Mei"/>
    <s v="Wang"/>
    <x v="2"/>
    <x v="2"/>
    <x v="23"/>
    <n v="42000"/>
    <n v="0.03"/>
    <d v="2024-08-04T00:00:00"/>
    <x v="1"/>
    <s v="Monitoring Tool"/>
    <n v="20"/>
    <n v="180"/>
    <n v="3600"/>
    <s v="Corporate"/>
    <s v="Q3"/>
    <s v="Average"/>
  </r>
  <r>
    <s v="EMP025"/>
    <s v="Pierre"/>
    <s v="Dubois"/>
    <x v="0"/>
    <x v="1"/>
    <x v="24"/>
    <n v="55000"/>
    <n v="0.05"/>
    <d v="2024-08-05T00:00:00"/>
    <x v="0"/>
    <s v="E-Reader"/>
    <n v="22"/>
    <n v="350"/>
    <n v="7700"/>
    <s v="Retail"/>
    <s v="Q3"/>
    <s v="Average"/>
  </r>
  <r>
    <s v="EMP001"/>
    <s v="John"/>
    <s v="Smith"/>
    <x v="0"/>
    <x v="0"/>
    <x v="0"/>
    <n v="55000"/>
    <n v="0.05"/>
    <d v="2024-09-01T00:00:00"/>
    <x v="0"/>
    <s v="Laptop Pro"/>
    <n v="20"/>
    <n v="1200"/>
    <n v="24000"/>
    <s v="Corporate"/>
    <s v="Q3"/>
    <s v="Average"/>
  </r>
  <r>
    <s v="EMP002"/>
    <s v="Sarah"/>
    <s v="Johnson"/>
    <x v="0"/>
    <x v="1"/>
    <x v="1"/>
    <n v="52000"/>
    <n v="0.06"/>
    <d v="2024-09-02T00:00:00"/>
    <x v="0"/>
    <s v="Tablet Plus"/>
    <n v="25"/>
    <n v="600"/>
    <n v="15000"/>
    <s v="Retail"/>
    <s v="Q3"/>
    <s v="Good"/>
  </r>
  <r>
    <s v="EMP003"/>
    <s v="Mike"/>
    <s v="Davis"/>
    <x v="1"/>
    <x v="2"/>
    <x v="2"/>
    <n v="48000"/>
    <n v="0.04"/>
    <d v="2024-09-03T00:00:00"/>
    <x v="0"/>
    <s v="Smart Watch"/>
    <n v="30"/>
    <n v="400"/>
    <n v="12000"/>
    <s v="Retail"/>
    <s v="Q3"/>
    <s v="Average"/>
  </r>
  <r>
    <s v="EMP004"/>
    <s v="Lisa"/>
    <s v="Wilson"/>
    <x v="0"/>
    <x v="0"/>
    <x v="3"/>
    <n v="58000"/>
    <n v="7.0000000000000007E-2"/>
    <d v="2024-09-04T00:00:00"/>
    <x v="0"/>
    <s v="Gaming Console"/>
    <n v="16"/>
    <n v="500"/>
    <n v="8000"/>
    <s v="Retail"/>
    <s v="Q3"/>
    <s v="Excellent"/>
  </r>
  <r>
    <s v="EMP005"/>
    <s v="David"/>
    <s v="Brown"/>
    <x v="1"/>
    <x v="1"/>
    <x v="4"/>
    <n v="45000"/>
    <n v="0.03"/>
    <d v="2024-09-05T00:00:00"/>
    <x v="0"/>
    <s v="Headphones"/>
    <n v="50"/>
    <n v="200"/>
    <n v="10000"/>
    <s v="Retail"/>
    <s v="Q3"/>
    <s v="Average"/>
  </r>
  <r>
    <s v="EMP006"/>
    <s v="Emma"/>
    <s v="Taylor"/>
    <x v="0"/>
    <x v="2"/>
    <x v="5"/>
    <n v="54000"/>
    <n v="0.05"/>
    <d v="2024-09-06T00:00:00"/>
    <x v="0"/>
    <s v="Camera Pro"/>
    <n v="15"/>
    <n v="1500"/>
    <n v="22500"/>
    <s v="Corporate"/>
    <s v="Q3"/>
    <s v="Average"/>
  </r>
  <r>
    <s v="EMP007"/>
    <s v="James"/>
    <s v="Anderson"/>
    <x v="2"/>
    <x v="0"/>
    <x v="6"/>
    <n v="42000"/>
    <n v="0.02"/>
    <d v="2024-09-07T00:00:00"/>
    <x v="1"/>
    <s v="Support Tools"/>
    <n v="25"/>
    <n v="200"/>
    <n v="5000"/>
    <s v="Corporate"/>
    <s v="Q3"/>
    <s v="Average"/>
  </r>
  <r>
    <s v="EMP008"/>
    <s v="Maria"/>
    <s v="Garcia"/>
    <x v="0"/>
    <x v="1"/>
    <x v="7"/>
    <n v="56000"/>
    <n v="0.06"/>
    <d v="2024-09-08T00:00:00"/>
    <x v="0"/>
    <s v="Smart TV"/>
    <n v="14"/>
    <n v="1200"/>
    <n v="16800"/>
    <s v="Retail"/>
    <s v="Q3"/>
    <s v="Good"/>
  </r>
  <r>
    <s v="EMP009"/>
    <s v="Robert"/>
    <s v="Miller"/>
    <x v="1"/>
    <x v="2"/>
    <x v="8"/>
    <n v="47000"/>
    <n v="0.04"/>
    <d v="2024-09-09T00:00:00"/>
    <x v="0"/>
    <s v="Fitness Tracker"/>
    <n v="28"/>
    <n v="300"/>
    <n v="8400"/>
    <s v="Retail"/>
    <s v="Q3"/>
    <s v="Average"/>
  </r>
  <r>
    <s v="EMP010"/>
    <s v="Jennifer"/>
    <s v="Lee"/>
    <x v="0"/>
    <x v="0"/>
    <x v="9"/>
    <n v="53000"/>
    <n v="0.05"/>
    <d v="2024-09-10T00:00:00"/>
    <x v="1"/>
    <s v="Productivity Suite"/>
    <n v="17"/>
    <n v="400"/>
    <n v="6800"/>
    <s v="Corporate"/>
    <s v="Q3"/>
    <s v="Averag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0795B4-96EC-4387-B640-BC6B74D6A3AB}" name="PivotTable5"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J3:K7" firstHeaderRow="1" firstDataRow="1" firstDataCol="1"/>
  <pivotFields count="17">
    <pivotField showAll="0"/>
    <pivotField showAll="0"/>
    <pivotField showAll="0"/>
    <pivotField axis="axisRow" showAll="0">
      <items count="4">
        <item x="1"/>
        <item x="0"/>
        <item x="2"/>
        <item t="default"/>
      </items>
    </pivotField>
    <pivotField showAll="0">
      <items count="4">
        <item x="2"/>
        <item x="1"/>
        <item x="0"/>
        <item t="default"/>
      </items>
    </pivotField>
    <pivotField numFmtId="2" showAll="0"/>
    <pivotField numFmtId="2" showAll="0"/>
    <pivotField numFmtId="2" showAll="0"/>
    <pivotField numFmtId="14" showAll="0"/>
    <pivotField showAll="0"/>
    <pivotField showAll="0"/>
    <pivotField numFmtId="2" showAll="0"/>
    <pivotField numFmtId="2" showAll="0"/>
    <pivotField dataField="1" numFmtId="2" showAll="0"/>
    <pivotField showAll="0"/>
    <pivotField showAll="0"/>
    <pivotField showAll="0"/>
  </pivotFields>
  <rowFields count="1">
    <field x="3"/>
  </rowFields>
  <rowItems count="4">
    <i>
      <x/>
    </i>
    <i>
      <x v="1"/>
    </i>
    <i>
      <x v="2"/>
    </i>
    <i t="grand">
      <x/>
    </i>
  </rowItems>
  <colItems count="1">
    <i/>
  </colItems>
  <dataFields count="1">
    <dataField name="Sum of Total_Sales" fld="13" baseField="0" baseItem="0"/>
  </dataFields>
  <formats count="6">
    <format dxfId="27">
      <pivotArea type="all" dataOnly="0" outline="0" fieldPosition="0"/>
    </format>
    <format dxfId="26">
      <pivotArea outline="0" collapsedLevelsAreSubtotals="1" fieldPosition="0"/>
    </format>
    <format dxfId="25">
      <pivotArea field="3" type="button" dataOnly="0" labelOnly="1" outline="0" axis="axisRow" fieldPosition="0"/>
    </format>
    <format dxfId="24">
      <pivotArea dataOnly="0" labelOnly="1" fieldPosition="0">
        <references count="1">
          <reference field="3" count="0"/>
        </references>
      </pivotArea>
    </format>
    <format dxfId="23">
      <pivotArea dataOnly="0" labelOnly="1" grandRow="1" outline="0" fieldPosition="0"/>
    </format>
    <format dxfId="22">
      <pivotArea dataOnly="0" labelOnly="1" outline="0" axis="axisValues" fieldPosition="0"/>
    </format>
  </formats>
  <chartFormats count="1">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335EA-FE4D-407B-BA0D-2DECB4313A08}" name="PivotTable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G3:H7" firstHeaderRow="1" firstDataRow="1" firstDataCol="1"/>
  <pivotFields count="17">
    <pivotField showAll="0"/>
    <pivotField showAll="0"/>
    <pivotField showAll="0"/>
    <pivotField showAll="0">
      <items count="4">
        <item h="1" x="1"/>
        <item x="0"/>
        <item h="1" x="2"/>
        <item t="default"/>
      </items>
    </pivotField>
    <pivotField showAll="0">
      <items count="4">
        <item x="2"/>
        <item x="1"/>
        <item x="0"/>
        <item t="default"/>
      </items>
    </pivotField>
    <pivotField numFmtId="2" showAll="0"/>
    <pivotField numFmtId="2" showAll="0"/>
    <pivotField numFmtId="2" showAll="0"/>
    <pivotField numFmtId="14" showAll="0"/>
    <pivotField axis="axisRow" showAll="0">
      <items count="4">
        <item x="0"/>
        <item x="2"/>
        <item x="1"/>
        <item t="default"/>
      </items>
    </pivotField>
    <pivotField showAll="0"/>
    <pivotField dataField="1" numFmtId="2" showAll="0"/>
    <pivotField numFmtId="2" showAll="0"/>
    <pivotField numFmtId="2" showAll="0"/>
    <pivotField showAll="0"/>
    <pivotField showAll="0"/>
    <pivotField showAll="0"/>
  </pivotFields>
  <rowFields count="1">
    <field x="9"/>
  </rowFields>
  <rowItems count="4">
    <i>
      <x/>
    </i>
    <i>
      <x v="1"/>
    </i>
    <i>
      <x v="2"/>
    </i>
    <i t="grand">
      <x/>
    </i>
  </rowItems>
  <colItems count="1">
    <i/>
  </colItems>
  <dataFields count="1">
    <dataField name="Sum of Units_Sold" fld="11" baseField="0" baseItem="0"/>
  </dataFields>
  <formats count="6">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0"/>
        </references>
      </pivotArea>
    </format>
    <format dxfId="16">
      <pivotArea dataOnly="0" labelOnly="1" grandRow="1" outline="0" fieldPosition="0"/>
    </format>
    <format dxfId="15">
      <pivotArea dataOnly="0" labelOnly="1" outline="0" axis="axisValues" fieldPosition="0"/>
    </format>
  </formats>
  <chartFormats count="3">
    <chartFormat chart="13" format="3" series="1">
      <pivotArea type="data" outline="0" fieldPosition="0">
        <references count="1">
          <reference field="4294967294" count="1" selected="0">
            <x v="0"/>
          </reference>
        </references>
      </pivotArea>
    </chartFormat>
    <chartFormat chart="13" format="4">
      <pivotArea type="data" outline="0" fieldPosition="0">
        <references count="2">
          <reference field="4294967294" count="1" selected="0">
            <x v="0"/>
          </reference>
          <reference field="9" count="1" selected="0">
            <x v="1"/>
          </reference>
        </references>
      </pivotArea>
    </chartFormat>
    <chartFormat chart="13" format="5">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58FD2E-EC0D-4894-99DF-2668E23F94CA}" name="PivotTable3"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D3:E7" firstHeaderRow="1" firstDataRow="1" firstDataCol="1"/>
  <pivotFields count="17">
    <pivotField showAll="0"/>
    <pivotField showAll="0"/>
    <pivotField showAll="0"/>
    <pivotField axis="axisRow" showAll="0">
      <items count="4">
        <item x="1"/>
        <item x="0"/>
        <item x="2"/>
        <item t="default"/>
      </items>
    </pivotField>
    <pivotField showAll="0">
      <items count="4">
        <item h="1" x="2"/>
        <item h="1" x="1"/>
        <item x="0"/>
        <item t="default"/>
      </items>
    </pivotField>
    <pivotField numFmtId="2" showAll="0"/>
    <pivotField numFmtId="2" showAll="0"/>
    <pivotField numFmtId="2" showAll="0"/>
    <pivotField numFmtId="14" showAll="0"/>
    <pivotField showAll="0"/>
    <pivotField showAll="0"/>
    <pivotField dataField="1" numFmtId="2" showAll="0"/>
    <pivotField numFmtId="2" showAll="0"/>
    <pivotField numFmtId="2" showAll="0"/>
    <pivotField showAll="0"/>
    <pivotField showAll="0"/>
    <pivotField showAll="0"/>
  </pivotFields>
  <rowFields count="1">
    <field x="3"/>
  </rowFields>
  <rowItems count="4">
    <i>
      <x/>
    </i>
    <i>
      <x v="1"/>
    </i>
    <i>
      <x v="2"/>
    </i>
    <i t="grand">
      <x/>
    </i>
  </rowItems>
  <colItems count="1">
    <i/>
  </colItems>
  <dataFields count="1">
    <dataField name="Sum of Units_Sold" fld="11" baseField="0" baseItem="0"/>
  </dataFields>
  <formats count="6">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grandRow="1" outline="0" fieldPosition="0"/>
    </format>
    <format dxfId="8">
      <pivotArea dataOnly="0" labelOnly="1" outline="0" axis="axisValues" fieldPosition="0"/>
    </format>
  </formats>
  <chartFormats count="4">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1"/>
          </reference>
        </references>
      </pivotArea>
    </chartFormat>
    <chartFormat chart="13" format="4">
      <pivotArea type="data" outline="0" fieldPosition="0">
        <references count="2">
          <reference field="4294967294" count="1" selected="0">
            <x v="0"/>
          </reference>
          <reference field="3" count="1" selected="0">
            <x v="2"/>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A7CC52-8AFB-475D-BDDB-60E52B612D3A}" name="PivotTable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7" firstHeaderRow="1" firstDataRow="1" firstDataCol="1"/>
  <pivotFields count="17">
    <pivotField showAll="0"/>
    <pivotField showAll="0"/>
    <pivotField showAll="0"/>
    <pivotField showAll="0"/>
    <pivotField axis="axisRow" showAll="0">
      <items count="4">
        <item x="2"/>
        <item x="1"/>
        <item x="0"/>
        <item t="default"/>
      </items>
    </pivotField>
    <pivotField numFmtId="2" showAll="0"/>
    <pivotField numFmtId="2" showAll="0"/>
    <pivotField numFmtId="2" showAll="0"/>
    <pivotField numFmtId="14" showAll="0"/>
    <pivotField showAll="0"/>
    <pivotField showAll="0"/>
    <pivotField dataField="1" numFmtId="2" showAll="0"/>
    <pivotField numFmtId="2" showAll="0"/>
    <pivotField numFmtId="2" showAll="0"/>
    <pivotField showAll="0"/>
    <pivotField showAll="0"/>
    <pivotField showAll="0"/>
  </pivotFields>
  <rowFields count="1">
    <field x="4"/>
  </rowFields>
  <rowItems count="4">
    <i>
      <x/>
    </i>
    <i>
      <x v="1"/>
    </i>
    <i>
      <x v="2"/>
    </i>
    <i t="grand">
      <x/>
    </i>
  </rowItems>
  <colItems count="1">
    <i/>
  </colItems>
  <dataFields count="1">
    <dataField name="Sum of Units_Sold" fld="11" baseField="0" baseItem="0"/>
  </dataFields>
  <formats count="6">
    <format dxfId="6">
      <pivotArea type="all" dataOnly="0" outline="0" fieldPosition="0"/>
    </format>
    <format dxfId="5">
      <pivotArea outline="0" collapsedLevelsAreSubtotals="1" fieldPosition="0"/>
    </format>
    <format dxfId="4">
      <pivotArea field="4" type="button" dataOnly="0" labelOnly="1" outline="0" axis="axisRow" fieldPosition="0"/>
    </format>
    <format dxfId="3">
      <pivotArea dataOnly="0" labelOnly="1" fieldPosition="0">
        <references count="1">
          <reference field="4" count="0"/>
        </references>
      </pivotArea>
    </format>
    <format dxfId="2">
      <pivotArea dataOnly="0" labelOnly="1" grandRow="1" outline="0" fieldPosition="0"/>
    </format>
    <format dxfId="1">
      <pivotArea dataOnly="0" labelOnly="1" outline="0" axis="axisValues" fieldPosition="0"/>
    </format>
  </formats>
  <chartFormats count="4">
    <chartFormat chart="14" format="9" series="1">
      <pivotArea type="data" outline="0" fieldPosition="0">
        <references count="1">
          <reference field="4294967294" count="1" selected="0">
            <x v="0"/>
          </reference>
        </references>
      </pivotArea>
    </chartFormat>
    <chartFormat chart="14" format="10">
      <pivotArea type="data" outline="0" fieldPosition="0">
        <references count="2">
          <reference field="4294967294" count="1" selected="0">
            <x v="0"/>
          </reference>
          <reference field="4" count="1" selected="0">
            <x v="0"/>
          </reference>
        </references>
      </pivotArea>
    </chartFormat>
    <chartFormat chart="14" format="11">
      <pivotArea type="data" outline="0" fieldPosition="0">
        <references count="2">
          <reference field="4294967294" count="1" selected="0">
            <x v="0"/>
          </reference>
          <reference field="4" count="1" selected="0">
            <x v="1"/>
          </reference>
        </references>
      </pivotArea>
    </chartFormat>
    <chartFormat chart="14" format="12">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34E3CD6-0D90-40EE-9863-DBE954D14A8E}" sourceName="Department">
  <pivotTables>
    <pivotTable tabId="3" name="PivotTable4"/>
  </pivotTables>
  <data>
    <tabular pivotCacheId="1000282800">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B3C4C6-6A9F-42EF-8893-115EF7918AD4}" sourceName="Region">
  <pivotTables>
    <pivotTable tabId="3" name="PivotTable3"/>
  </pivotTables>
  <data>
    <tabular pivotCacheId="1000282800">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BD20DF0-79E5-47AC-B9FD-577E43AD6715}" cache="Slicer_Department" caption="Department" rowHeight="241300"/>
  <slicer name="Region" xr10:uid="{1BFDE499-F73B-4631-926A-EE8108FF710A}"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5863-5ECD-4BB0-A3C6-C1FFE5DA0EB1}">
  <sheetPr>
    <tabColor theme="7" tint="0.59999389629810485"/>
  </sheetPr>
  <dimension ref="A3:K7"/>
  <sheetViews>
    <sheetView showGridLines="0" workbookViewId="0">
      <selection activeCell="D34" sqref="D34"/>
    </sheetView>
  </sheetViews>
  <sheetFormatPr defaultRowHeight="15" x14ac:dyDescent="0.25"/>
  <cols>
    <col min="1" max="1" width="14" bestFit="1" customWidth="1"/>
    <col min="2" max="2" width="17.42578125" bestFit="1" customWidth="1"/>
    <col min="4" max="4" width="13.140625" bestFit="1" customWidth="1"/>
    <col min="5" max="5" width="17.42578125" bestFit="1" customWidth="1"/>
    <col min="7" max="7" width="13.140625" bestFit="1" customWidth="1"/>
    <col min="8" max="8" width="17.42578125" bestFit="1" customWidth="1"/>
    <col min="10" max="10" width="13.140625" bestFit="1" customWidth="1"/>
    <col min="11" max="11" width="17.85546875" bestFit="1" customWidth="1"/>
  </cols>
  <sheetData>
    <row r="3" spans="1:11" x14ac:dyDescent="0.25">
      <c r="A3" s="11" t="s">
        <v>144</v>
      </c>
      <c r="B3" s="12" t="s">
        <v>146</v>
      </c>
      <c r="D3" s="11" t="s">
        <v>144</v>
      </c>
      <c r="E3" s="12" t="s">
        <v>146</v>
      </c>
      <c r="G3" s="11" t="s">
        <v>144</v>
      </c>
      <c r="H3" s="12" t="s">
        <v>146</v>
      </c>
      <c r="J3" s="11" t="s">
        <v>144</v>
      </c>
      <c r="K3" s="12" t="s">
        <v>147</v>
      </c>
    </row>
    <row r="4" spans="1:11" x14ac:dyDescent="0.25">
      <c r="A4" s="13" t="s">
        <v>42</v>
      </c>
      <c r="B4" s="14">
        <v>503</v>
      </c>
      <c r="D4" s="13" t="s">
        <v>41</v>
      </c>
      <c r="E4" s="14">
        <v>33</v>
      </c>
      <c r="G4" s="13" t="s">
        <v>22</v>
      </c>
      <c r="H4" s="14">
        <v>544</v>
      </c>
      <c r="J4" s="13" t="s">
        <v>41</v>
      </c>
      <c r="K4" s="14">
        <v>163200</v>
      </c>
    </row>
    <row r="5" spans="1:11" x14ac:dyDescent="0.25">
      <c r="A5" s="13" t="s">
        <v>33</v>
      </c>
      <c r="B5" s="14">
        <v>542</v>
      </c>
      <c r="D5" s="13" t="s">
        <v>20</v>
      </c>
      <c r="E5" s="14">
        <v>344</v>
      </c>
      <c r="G5" s="13" t="s">
        <v>36</v>
      </c>
      <c r="H5" s="14">
        <v>96</v>
      </c>
      <c r="J5" s="13" t="s">
        <v>20</v>
      </c>
      <c r="K5" s="14">
        <v>587600</v>
      </c>
    </row>
    <row r="6" spans="1:11" x14ac:dyDescent="0.25">
      <c r="A6" s="13" t="s">
        <v>21</v>
      </c>
      <c r="B6" s="14">
        <v>477</v>
      </c>
      <c r="D6" s="13" t="s">
        <v>64</v>
      </c>
      <c r="E6" s="14">
        <v>100</v>
      </c>
      <c r="G6" s="13" t="s">
        <v>28</v>
      </c>
      <c r="H6" s="14">
        <v>87</v>
      </c>
      <c r="J6" s="13" t="s">
        <v>64</v>
      </c>
      <c r="K6" s="14">
        <v>39090</v>
      </c>
    </row>
    <row r="7" spans="1:11" x14ac:dyDescent="0.25">
      <c r="A7" s="13" t="s">
        <v>145</v>
      </c>
      <c r="B7" s="14">
        <v>1522</v>
      </c>
      <c r="D7" s="13" t="s">
        <v>145</v>
      </c>
      <c r="E7" s="14">
        <v>477</v>
      </c>
      <c r="G7" s="13" t="s">
        <v>145</v>
      </c>
      <c r="H7" s="14">
        <v>727</v>
      </c>
      <c r="J7" s="13" t="s">
        <v>145</v>
      </c>
      <c r="K7" s="14">
        <v>789890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B22FE-2366-4AAE-8E65-3982523D18BF}">
  <sheetPr>
    <tabColor theme="4" tint="-0.249977111117893"/>
  </sheetPr>
  <dimension ref="A1:T95"/>
  <sheetViews>
    <sheetView topLeftCell="D79" zoomScaleNormal="100" workbookViewId="0">
      <selection activeCell="E107" sqref="E107"/>
    </sheetView>
  </sheetViews>
  <sheetFormatPr defaultColWidth="19.28515625" defaultRowHeight="16.5" customHeight="1" x14ac:dyDescent="0.25"/>
  <cols>
    <col min="17" max="17" width="24.28515625" customWidth="1"/>
  </cols>
  <sheetData>
    <row r="1" spans="1:20" ht="16.5" customHeight="1" thickBot="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pans="1:20" ht="16.5" customHeight="1" thickBot="1" x14ac:dyDescent="0.3">
      <c r="A2" s="1" t="s">
        <v>17</v>
      </c>
      <c r="B2" s="3" t="s">
        <v>18</v>
      </c>
      <c r="C2" s="3" t="s">
        <v>19</v>
      </c>
      <c r="D2" s="3" t="s">
        <v>20</v>
      </c>
      <c r="E2" s="3" t="s">
        <v>21</v>
      </c>
      <c r="F2" s="2">
        <v>44576</v>
      </c>
      <c r="G2" s="4">
        <v>55000</v>
      </c>
      <c r="H2" s="4">
        <v>0.05</v>
      </c>
      <c r="I2" s="2">
        <v>45296</v>
      </c>
      <c r="J2" s="3" t="s">
        <v>22</v>
      </c>
      <c r="K2" s="3" t="s">
        <v>23</v>
      </c>
      <c r="L2" s="4">
        <v>12</v>
      </c>
      <c r="M2" s="4">
        <v>1200</v>
      </c>
      <c r="N2" s="4">
        <v>14400</v>
      </c>
      <c r="O2" s="3" t="s">
        <v>24</v>
      </c>
      <c r="P2" s="1" t="s">
        <v>25</v>
      </c>
      <c r="Q2" s="1" t="str" cm="1">
        <f t="array" ref="Q2">_xlfn.IFS(H2&lt;=0.05,"Average",H2=0.06,"Good",H2&gt;=0.07,"Excellent")</f>
        <v>Average</v>
      </c>
    </row>
    <row r="3" spans="1:20" ht="16.5" customHeight="1" thickBot="1" x14ac:dyDescent="0.3">
      <c r="A3" s="1" t="s">
        <v>17</v>
      </c>
      <c r="B3" s="3" t="s">
        <v>18</v>
      </c>
      <c r="C3" s="3" t="s">
        <v>19</v>
      </c>
      <c r="D3" s="3" t="s">
        <v>20</v>
      </c>
      <c r="E3" s="3" t="s">
        <v>21</v>
      </c>
      <c r="F3" s="2">
        <v>44576</v>
      </c>
      <c r="G3" s="4">
        <v>55000</v>
      </c>
      <c r="H3" s="4">
        <v>0.05</v>
      </c>
      <c r="I3" s="2">
        <v>45303</v>
      </c>
      <c r="J3" s="3" t="s">
        <v>22</v>
      </c>
      <c r="K3" s="3" t="s">
        <v>26</v>
      </c>
      <c r="L3" s="4">
        <v>25</v>
      </c>
      <c r="M3" s="4">
        <v>800</v>
      </c>
      <c r="N3" s="4">
        <v>20000</v>
      </c>
      <c r="O3" s="3" t="s">
        <v>27</v>
      </c>
      <c r="P3" s="1" t="s">
        <v>25</v>
      </c>
      <c r="Q3" s="1" t="str" cm="1">
        <f t="array" ref="Q3">_xlfn.IFS(H3&lt;=0.05,"Average",H3=0.06,"Good",H3&gt;=0.07,"Excellent")</f>
        <v>Average</v>
      </c>
      <c r="S3" s="6" t="s">
        <v>141</v>
      </c>
      <c r="T3" s="6"/>
    </row>
    <row r="4" spans="1:20" ht="16.5" customHeight="1" thickBot="1" x14ac:dyDescent="0.3">
      <c r="A4" s="1" t="s">
        <v>17</v>
      </c>
      <c r="B4" s="3" t="s">
        <v>18</v>
      </c>
      <c r="C4" s="3" t="s">
        <v>19</v>
      </c>
      <c r="D4" s="3" t="s">
        <v>20</v>
      </c>
      <c r="E4" s="3" t="s">
        <v>21</v>
      </c>
      <c r="F4" s="2">
        <v>44576</v>
      </c>
      <c r="G4" s="4">
        <v>55000</v>
      </c>
      <c r="H4" s="4">
        <v>0.05</v>
      </c>
      <c r="I4" s="2">
        <v>45309</v>
      </c>
      <c r="J4" s="3" t="s">
        <v>28</v>
      </c>
      <c r="K4" s="3" t="s">
        <v>29</v>
      </c>
      <c r="L4" s="4">
        <v>8</v>
      </c>
      <c r="M4" s="4">
        <v>300</v>
      </c>
      <c r="N4" s="4">
        <v>2400</v>
      </c>
      <c r="O4" s="3" t="s">
        <v>24</v>
      </c>
      <c r="P4" s="1" t="s">
        <v>25</v>
      </c>
      <c r="Q4" s="1" t="str" cm="1">
        <f t="array" ref="Q4">_xlfn.IFS(H4&lt;=0.05,"Average",H4=0.06,"Good",H4&gt;=0.07,"Excellent")</f>
        <v>Average</v>
      </c>
      <c r="S4" t="s">
        <v>17</v>
      </c>
      <c r="T4" t="str">
        <f>VLOOKUP(S4,A1:Q95,2,)</f>
        <v>John</v>
      </c>
    </row>
    <row r="5" spans="1:20" ht="16.5" customHeight="1" thickBot="1" x14ac:dyDescent="0.3">
      <c r="A5" s="1" t="s">
        <v>30</v>
      </c>
      <c r="B5" s="3" t="s">
        <v>31</v>
      </c>
      <c r="C5" s="3" t="s">
        <v>32</v>
      </c>
      <c r="D5" s="3" t="s">
        <v>20</v>
      </c>
      <c r="E5" s="3" t="s">
        <v>33</v>
      </c>
      <c r="F5" s="2">
        <v>44275</v>
      </c>
      <c r="G5" s="4">
        <v>52000</v>
      </c>
      <c r="H5" s="4">
        <v>0.06</v>
      </c>
      <c r="I5" s="2">
        <v>45299</v>
      </c>
      <c r="J5" s="3" t="s">
        <v>22</v>
      </c>
      <c r="K5" s="3" t="s">
        <v>34</v>
      </c>
      <c r="L5" s="4">
        <v>15</v>
      </c>
      <c r="M5" s="4">
        <v>600</v>
      </c>
      <c r="N5" s="4">
        <v>9000</v>
      </c>
      <c r="O5" s="3" t="s">
        <v>27</v>
      </c>
      <c r="P5" s="1" t="s">
        <v>25</v>
      </c>
      <c r="Q5" s="1" t="str" cm="1">
        <f t="array" ref="Q5">_xlfn.IFS(H5&lt;=0.05,"Average",H5=0.06,"Good",H5&gt;=0.07,"Excellent")</f>
        <v>Good</v>
      </c>
    </row>
    <row r="6" spans="1:20" ht="16.5" customHeight="1" thickBot="1" x14ac:dyDescent="0.3">
      <c r="A6" s="1" t="s">
        <v>30</v>
      </c>
      <c r="B6" s="3" t="s">
        <v>31</v>
      </c>
      <c r="C6" s="3" t="s">
        <v>32</v>
      </c>
      <c r="D6" s="3" t="s">
        <v>20</v>
      </c>
      <c r="E6" s="3" t="s">
        <v>33</v>
      </c>
      <c r="F6" s="2">
        <v>44275</v>
      </c>
      <c r="G6" s="4">
        <v>52000</v>
      </c>
      <c r="H6" s="4">
        <v>0.06</v>
      </c>
      <c r="I6" s="2">
        <v>45306</v>
      </c>
      <c r="J6" s="3" t="s">
        <v>28</v>
      </c>
      <c r="K6" s="3" t="s">
        <v>35</v>
      </c>
      <c r="L6" s="4">
        <v>6</v>
      </c>
      <c r="M6" s="4">
        <v>500</v>
      </c>
      <c r="N6" s="4">
        <v>3000</v>
      </c>
      <c r="O6" s="3" t="s">
        <v>24</v>
      </c>
      <c r="P6" s="1" t="s">
        <v>25</v>
      </c>
      <c r="Q6" s="1" t="str" cm="1">
        <f t="array" ref="Q6">_xlfn.IFS(H6&lt;=0.05,"Average",H6=0.06,"Good",H6&gt;=0.07,"Excellent")</f>
        <v>Good</v>
      </c>
      <c r="S6" s="6" t="s">
        <v>142</v>
      </c>
      <c r="T6" s="6"/>
    </row>
    <row r="7" spans="1:20" ht="16.5" customHeight="1" thickBot="1" x14ac:dyDescent="0.3">
      <c r="A7" s="1" t="s">
        <v>30</v>
      </c>
      <c r="B7" s="3" t="s">
        <v>31</v>
      </c>
      <c r="C7" s="3" t="s">
        <v>32</v>
      </c>
      <c r="D7" s="3" t="s">
        <v>20</v>
      </c>
      <c r="E7" s="3" t="s">
        <v>33</v>
      </c>
      <c r="F7" s="2">
        <v>44275</v>
      </c>
      <c r="G7" s="4">
        <v>52000</v>
      </c>
      <c r="H7" s="4">
        <v>0.06</v>
      </c>
      <c r="I7" s="2">
        <v>45313</v>
      </c>
      <c r="J7" s="3" t="s">
        <v>36</v>
      </c>
      <c r="K7" s="3" t="s">
        <v>37</v>
      </c>
      <c r="L7" s="4">
        <v>3</v>
      </c>
      <c r="M7" s="4">
        <v>2000</v>
      </c>
      <c r="N7" s="4">
        <v>6000</v>
      </c>
      <c r="O7" s="3" t="s">
        <v>24</v>
      </c>
      <c r="P7" s="1" t="s">
        <v>25</v>
      </c>
      <c r="Q7" s="1" t="str" cm="1">
        <f t="array" ref="Q7">_xlfn.IFS(H7&lt;=0.05,"Average",H7=0.06,"Good",H7&gt;=0.07,"Excellent")</f>
        <v>Good</v>
      </c>
      <c r="S7" t="s">
        <v>38</v>
      </c>
      <c r="T7">
        <f>HLOOKUP("Salary",A1:Q95,MATCH(S7,A1:A95,0))</f>
        <v>48000</v>
      </c>
    </row>
    <row r="8" spans="1:20" ht="16.5" customHeight="1" thickBot="1" x14ac:dyDescent="0.3">
      <c r="A8" s="1" t="s">
        <v>38</v>
      </c>
      <c r="B8" s="3" t="s">
        <v>39</v>
      </c>
      <c r="C8" s="3" t="s">
        <v>40</v>
      </c>
      <c r="D8" s="3" t="s">
        <v>41</v>
      </c>
      <c r="E8" s="3" t="s">
        <v>42</v>
      </c>
      <c r="F8" s="2">
        <v>45087</v>
      </c>
      <c r="G8" s="4">
        <v>48000</v>
      </c>
      <c r="H8" s="4">
        <v>0.04</v>
      </c>
      <c r="I8" s="2">
        <v>45301</v>
      </c>
      <c r="J8" s="3" t="s">
        <v>22</v>
      </c>
      <c r="K8" s="3" t="s">
        <v>43</v>
      </c>
      <c r="L8" s="4">
        <v>20</v>
      </c>
      <c r="M8" s="4">
        <v>400</v>
      </c>
      <c r="N8" s="4">
        <v>8000</v>
      </c>
      <c r="O8" s="3" t="s">
        <v>27</v>
      </c>
      <c r="P8" s="1" t="s">
        <v>25</v>
      </c>
      <c r="Q8" s="1" t="str" cm="1">
        <f t="array" ref="Q8">_xlfn.IFS(H8&lt;=0.05,"Average",H8=0.06,"Good",H8&gt;=0.07,"Excellent")</f>
        <v>Average</v>
      </c>
    </row>
    <row r="9" spans="1:20" ht="16.5" customHeight="1" thickBot="1" x14ac:dyDescent="0.3">
      <c r="A9" s="1" t="s">
        <v>38</v>
      </c>
      <c r="B9" s="3" t="s">
        <v>39</v>
      </c>
      <c r="C9" s="3" t="s">
        <v>40</v>
      </c>
      <c r="D9" s="3" t="s">
        <v>41</v>
      </c>
      <c r="E9" s="3" t="s">
        <v>42</v>
      </c>
      <c r="F9" s="2">
        <v>45087</v>
      </c>
      <c r="G9" s="4">
        <v>48000</v>
      </c>
      <c r="H9" s="4">
        <v>0.04</v>
      </c>
      <c r="I9" s="2">
        <v>45308</v>
      </c>
      <c r="J9" s="3" t="s">
        <v>28</v>
      </c>
      <c r="K9" s="3" t="s">
        <v>44</v>
      </c>
      <c r="L9" s="4">
        <v>12</v>
      </c>
      <c r="M9" s="4">
        <v>150</v>
      </c>
      <c r="N9" s="4">
        <v>1800</v>
      </c>
      <c r="O9" s="3" t="s">
        <v>27</v>
      </c>
      <c r="P9" s="1" t="s">
        <v>25</v>
      </c>
      <c r="Q9" s="1" t="str" cm="1">
        <f t="array" ref="Q9">_xlfn.IFS(H9&lt;=0.05,"Average",H9=0.06,"Good",H9&gt;=0.07,"Excellent")</f>
        <v>Average</v>
      </c>
      <c r="S9" s="6" t="s">
        <v>143</v>
      </c>
      <c r="T9" s="6"/>
    </row>
    <row r="10" spans="1:20" ht="16.5" customHeight="1" thickBot="1" x14ac:dyDescent="0.3">
      <c r="A10" s="1" t="s">
        <v>45</v>
      </c>
      <c r="B10" s="3" t="s">
        <v>46</v>
      </c>
      <c r="C10" s="3" t="s">
        <v>47</v>
      </c>
      <c r="D10" s="3" t="s">
        <v>20</v>
      </c>
      <c r="E10" s="3" t="s">
        <v>21</v>
      </c>
      <c r="F10" s="2">
        <v>44140</v>
      </c>
      <c r="G10" s="4">
        <v>58000</v>
      </c>
      <c r="H10" s="4">
        <v>7.0000000000000007E-2</v>
      </c>
      <c r="I10" s="2">
        <v>45297</v>
      </c>
      <c r="J10" s="3" t="s">
        <v>22</v>
      </c>
      <c r="K10" s="3" t="s">
        <v>48</v>
      </c>
      <c r="L10" s="4">
        <v>8</v>
      </c>
      <c r="M10" s="4">
        <v>500</v>
      </c>
      <c r="N10" s="4">
        <v>4000</v>
      </c>
      <c r="O10" s="3" t="s">
        <v>27</v>
      </c>
      <c r="P10" s="1" t="s">
        <v>25</v>
      </c>
      <c r="Q10" s="1" t="str" cm="1">
        <f t="array" ref="Q10">_xlfn.IFS(H10&lt;=0.05,"Average",H10=0.06,"Good",H10&gt;=0.07,"Excellent")</f>
        <v>Excellent</v>
      </c>
      <c r="S10" s="7" t="str">
        <f>B12</f>
        <v>Lisa</v>
      </c>
      <c r="T10">
        <f>MATCH(S10,B2:B95,0)</f>
        <v>9</v>
      </c>
    </row>
    <row r="11" spans="1:20" ht="16.5" customHeight="1" thickBot="1" x14ac:dyDescent="0.3">
      <c r="A11" s="1" t="s">
        <v>45</v>
      </c>
      <c r="B11" s="3" t="s">
        <v>46</v>
      </c>
      <c r="C11" s="3" t="s">
        <v>47</v>
      </c>
      <c r="D11" s="3" t="s">
        <v>20</v>
      </c>
      <c r="E11" s="3" t="s">
        <v>21</v>
      </c>
      <c r="F11" s="2">
        <v>44140</v>
      </c>
      <c r="G11" s="4">
        <v>58000</v>
      </c>
      <c r="H11" s="4">
        <v>7.0000000000000007E-2</v>
      </c>
      <c r="I11" s="2">
        <v>45304</v>
      </c>
      <c r="J11" s="3" t="s">
        <v>36</v>
      </c>
      <c r="K11" s="3" t="s">
        <v>49</v>
      </c>
      <c r="L11" s="4">
        <v>15</v>
      </c>
      <c r="M11" s="4">
        <v>800</v>
      </c>
      <c r="N11" s="4">
        <v>12000</v>
      </c>
      <c r="O11" s="3" t="s">
        <v>24</v>
      </c>
      <c r="P11" s="1" t="s">
        <v>25</v>
      </c>
      <c r="Q11" s="1" t="str" cm="1">
        <f t="array" ref="Q11">_xlfn.IFS(H11&lt;=0.05,"Average",H11=0.06,"Good",H11&gt;=0.07,"Excellent")</f>
        <v>Excellent</v>
      </c>
    </row>
    <row r="12" spans="1:20" ht="16.5" customHeight="1" thickBot="1" x14ac:dyDescent="0.3">
      <c r="A12" s="1" t="s">
        <v>45</v>
      </c>
      <c r="B12" s="3" t="s">
        <v>46</v>
      </c>
      <c r="C12" s="3" t="s">
        <v>47</v>
      </c>
      <c r="D12" s="3" t="s">
        <v>20</v>
      </c>
      <c r="E12" s="3" t="s">
        <v>21</v>
      </c>
      <c r="F12" s="2">
        <v>44140</v>
      </c>
      <c r="G12" s="4">
        <v>58000</v>
      </c>
      <c r="H12" s="4">
        <v>7.0000000000000007E-2</v>
      </c>
      <c r="I12" s="2">
        <v>45311</v>
      </c>
      <c r="J12" s="3" t="s">
        <v>28</v>
      </c>
      <c r="K12" s="3" t="s">
        <v>50</v>
      </c>
      <c r="L12" s="4">
        <v>5</v>
      </c>
      <c r="M12" s="4">
        <v>1000</v>
      </c>
      <c r="N12" s="4">
        <v>5000</v>
      </c>
      <c r="O12" s="3" t="s">
        <v>24</v>
      </c>
      <c r="P12" s="1" t="s">
        <v>25</v>
      </c>
      <c r="Q12" s="1" t="str" cm="1">
        <f t="array" ref="Q12">_xlfn.IFS(H12&lt;=0.05,"Average",H12=0.06,"Good",H12&gt;=0.07,"Excellent")</f>
        <v>Excellent</v>
      </c>
    </row>
    <row r="13" spans="1:20" ht="16.5" customHeight="1" thickBot="1" x14ac:dyDescent="0.3">
      <c r="A13" s="1" t="s">
        <v>51</v>
      </c>
      <c r="B13" s="3" t="s">
        <v>52</v>
      </c>
      <c r="C13" s="3" t="s">
        <v>53</v>
      </c>
      <c r="D13" s="3" t="s">
        <v>41</v>
      </c>
      <c r="E13" s="3" t="s">
        <v>33</v>
      </c>
      <c r="F13" s="2">
        <v>44785</v>
      </c>
      <c r="G13" s="4">
        <v>45000</v>
      </c>
      <c r="H13" s="4">
        <v>0.03</v>
      </c>
      <c r="I13" s="2">
        <v>45300</v>
      </c>
      <c r="J13" s="3" t="s">
        <v>22</v>
      </c>
      <c r="K13" s="3" t="s">
        <v>54</v>
      </c>
      <c r="L13" s="4">
        <v>30</v>
      </c>
      <c r="M13" s="4">
        <v>200</v>
      </c>
      <c r="N13" s="4">
        <v>6000</v>
      </c>
      <c r="O13" s="3" t="s">
        <v>27</v>
      </c>
      <c r="P13" s="1" t="s">
        <v>25</v>
      </c>
      <c r="Q13" s="1" t="str" cm="1">
        <f t="array" ref="Q13">_xlfn.IFS(H13&lt;=0.05,"Average",H13=0.06,"Good",H13&gt;=0.07,"Excellent")</f>
        <v>Average</v>
      </c>
    </row>
    <row r="14" spans="1:20" ht="16.5" customHeight="1" thickBot="1" x14ac:dyDescent="0.3">
      <c r="A14" s="1" t="s">
        <v>51</v>
      </c>
      <c r="B14" s="3" t="s">
        <v>52</v>
      </c>
      <c r="C14" s="3" t="s">
        <v>53</v>
      </c>
      <c r="D14" s="3" t="s">
        <v>41</v>
      </c>
      <c r="E14" s="3" t="s">
        <v>33</v>
      </c>
      <c r="F14" s="2">
        <v>44785</v>
      </c>
      <c r="G14" s="4">
        <v>45000</v>
      </c>
      <c r="H14" s="4">
        <v>0.03</v>
      </c>
      <c r="I14" s="2">
        <v>45307</v>
      </c>
      <c r="J14" s="3" t="s">
        <v>28</v>
      </c>
      <c r="K14" s="3" t="s">
        <v>55</v>
      </c>
      <c r="L14" s="4">
        <v>10</v>
      </c>
      <c r="M14" s="4">
        <v>250</v>
      </c>
      <c r="N14" s="4">
        <v>2500</v>
      </c>
      <c r="O14" s="3" t="s">
        <v>27</v>
      </c>
      <c r="P14" s="1" t="s">
        <v>25</v>
      </c>
      <c r="Q14" s="1" t="str" cm="1">
        <f t="array" ref="Q14">_xlfn.IFS(H14&lt;=0.05,"Average",H14=0.06,"Good",H14&gt;=0.07,"Excellent")</f>
        <v>Average</v>
      </c>
    </row>
    <row r="15" spans="1:20" ht="16.5" customHeight="1" thickBot="1" x14ac:dyDescent="0.3">
      <c r="A15" s="1" t="s">
        <v>56</v>
      </c>
      <c r="B15" s="3" t="s">
        <v>57</v>
      </c>
      <c r="C15" s="3" t="s">
        <v>58</v>
      </c>
      <c r="D15" s="3" t="s">
        <v>20</v>
      </c>
      <c r="E15" s="3" t="s">
        <v>42</v>
      </c>
      <c r="F15" s="2">
        <v>44531</v>
      </c>
      <c r="G15" s="4">
        <v>54000</v>
      </c>
      <c r="H15" s="4">
        <v>0.05</v>
      </c>
      <c r="I15" s="2">
        <v>45302</v>
      </c>
      <c r="J15" s="3" t="s">
        <v>22</v>
      </c>
      <c r="K15" s="3" t="s">
        <v>59</v>
      </c>
      <c r="L15" s="4">
        <v>7</v>
      </c>
      <c r="M15" s="4">
        <v>1500</v>
      </c>
      <c r="N15" s="4">
        <v>10500</v>
      </c>
      <c r="O15" s="3" t="s">
        <v>24</v>
      </c>
      <c r="P15" s="1" t="s">
        <v>25</v>
      </c>
      <c r="Q15" s="1" t="str" cm="1">
        <f t="array" ref="Q15">_xlfn.IFS(H15&lt;=0.05,"Average",H15=0.06,"Good",H15&gt;=0.07,"Excellent")</f>
        <v>Average</v>
      </c>
    </row>
    <row r="16" spans="1:20" ht="16.5" customHeight="1" thickBot="1" x14ac:dyDescent="0.3">
      <c r="A16" s="1" t="s">
        <v>56</v>
      </c>
      <c r="B16" s="3" t="s">
        <v>57</v>
      </c>
      <c r="C16" s="3" t="s">
        <v>58</v>
      </c>
      <c r="D16" s="3" t="s">
        <v>20</v>
      </c>
      <c r="E16" s="3" t="s">
        <v>42</v>
      </c>
      <c r="F16" s="2">
        <v>44531</v>
      </c>
      <c r="G16" s="4">
        <v>54000</v>
      </c>
      <c r="H16" s="4">
        <v>0.05</v>
      </c>
      <c r="I16" s="2">
        <v>45309</v>
      </c>
      <c r="J16" s="3" t="s">
        <v>36</v>
      </c>
      <c r="K16" s="3" t="s">
        <v>60</v>
      </c>
      <c r="L16" s="4">
        <v>25</v>
      </c>
      <c r="M16" s="4">
        <v>100</v>
      </c>
      <c r="N16" s="4">
        <v>2500</v>
      </c>
      <c r="O16" s="3" t="s">
        <v>27</v>
      </c>
      <c r="P16" s="1" t="s">
        <v>25</v>
      </c>
      <c r="Q16" s="1" t="str" cm="1">
        <f t="array" ref="Q16">_xlfn.IFS(H16&lt;=0.05,"Average",H16=0.06,"Good",H16&gt;=0.07,"Excellent")</f>
        <v>Average</v>
      </c>
    </row>
    <row r="17" spans="1:17" ht="16.5" customHeight="1" thickBot="1" x14ac:dyDescent="0.3">
      <c r="A17" s="1" t="s">
        <v>61</v>
      </c>
      <c r="B17" s="3" t="s">
        <v>62</v>
      </c>
      <c r="C17" s="3" t="s">
        <v>63</v>
      </c>
      <c r="D17" s="3" t="s">
        <v>64</v>
      </c>
      <c r="E17" s="3" t="s">
        <v>21</v>
      </c>
      <c r="F17" s="2">
        <v>44971</v>
      </c>
      <c r="G17" s="4">
        <v>42000</v>
      </c>
      <c r="H17" s="4">
        <v>0.02</v>
      </c>
      <c r="I17" s="2">
        <v>45298</v>
      </c>
      <c r="J17" s="3" t="s">
        <v>28</v>
      </c>
      <c r="K17" s="3" t="s">
        <v>65</v>
      </c>
      <c r="L17" s="4">
        <v>15</v>
      </c>
      <c r="M17" s="4">
        <v>200</v>
      </c>
      <c r="N17" s="4">
        <v>3000</v>
      </c>
      <c r="O17" s="3" t="s">
        <v>24</v>
      </c>
      <c r="P17" s="1" t="s">
        <v>25</v>
      </c>
      <c r="Q17" s="1" t="str" cm="1">
        <f t="array" ref="Q17">_xlfn.IFS(H17&lt;=0.05,"Average",H17=0.06,"Good",H17&gt;=0.07,"Excellent")</f>
        <v>Average</v>
      </c>
    </row>
    <row r="18" spans="1:17" ht="16.5" customHeight="1" thickBot="1" x14ac:dyDescent="0.3">
      <c r="A18" s="1" t="s">
        <v>66</v>
      </c>
      <c r="B18" s="3" t="s">
        <v>67</v>
      </c>
      <c r="C18" s="3" t="s">
        <v>68</v>
      </c>
      <c r="D18" s="3" t="s">
        <v>20</v>
      </c>
      <c r="E18" s="3" t="s">
        <v>33</v>
      </c>
      <c r="F18" s="2">
        <v>44104</v>
      </c>
      <c r="G18" s="4">
        <v>56000</v>
      </c>
      <c r="H18" s="4">
        <v>0.06</v>
      </c>
      <c r="I18" s="2">
        <v>45305</v>
      </c>
      <c r="J18" s="3" t="s">
        <v>22</v>
      </c>
      <c r="K18" s="3" t="s">
        <v>69</v>
      </c>
      <c r="L18" s="4">
        <v>6</v>
      </c>
      <c r="M18" s="4">
        <v>1200</v>
      </c>
      <c r="N18" s="4">
        <v>7200</v>
      </c>
      <c r="O18" s="3" t="s">
        <v>27</v>
      </c>
      <c r="P18" s="1" t="s">
        <v>25</v>
      </c>
      <c r="Q18" s="1" t="str" cm="1">
        <f t="array" ref="Q18">_xlfn.IFS(H18&lt;=0.05,"Average",H18=0.06,"Good",H18&gt;=0.07,"Excellent")</f>
        <v>Good</v>
      </c>
    </row>
    <row r="19" spans="1:17" ht="16.5" customHeight="1" thickBot="1" x14ac:dyDescent="0.3">
      <c r="A19" s="1" t="s">
        <v>66</v>
      </c>
      <c r="B19" s="3" t="s">
        <v>67</v>
      </c>
      <c r="C19" s="3" t="s">
        <v>68</v>
      </c>
      <c r="D19" s="3" t="s">
        <v>20</v>
      </c>
      <c r="E19" s="3" t="s">
        <v>33</v>
      </c>
      <c r="F19" s="2">
        <v>44104</v>
      </c>
      <c r="G19" s="4">
        <v>56000</v>
      </c>
      <c r="H19" s="4">
        <v>0.06</v>
      </c>
      <c r="I19" s="2">
        <v>45312</v>
      </c>
      <c r="J19" s="3" t="s">
        <v>36</v>
      </c>
      <c r="K19" s="3" t="s">
        <v>70</v>
      </c>
      <c r="L19" s="4">
        <v>4</v>
      </c>
      <c r="M19" s="4">
        <v>800</v>
      </c>
      <c r="N19" s="4">
        <v>3200</v>
      </c>
      <c r="O19" s="3" t="s">
        <v>24</v>
      </c>
      <c r="P19" s="1" t="s">
        <v>25</v>
      </c>
      <c r="Q19" s="1" t="str" cm="1">
        <f t="array" ref="Q19">_xlfn.IFS(H19&lt;=0.05,"Average",H19=0.06,"Good",H19&gt;=0.07,"Excellent")</f>
        <v>Good</v>
      </c>
    </row>
    <row r="20" spans="1:17" ht="16.5" customHeight="1" thickBot="1" x14ac:dyDescent="0.3">
      <c r="A20" s="1" t="s">
        <v>71</v>
      </c>
      <c r="B20" s="3" t="s">
        <v>72</v>
      </c>
      <c r="C20" s="3" t="s">
        <v>73</v>
      </c>
      <c r="D20" s="3" t="s">
        <v>41</v>
      </c>
      <c r="E20" s="3" t="s">
        <v>42</v>
      </c>
      <c r="F20" s="2">
        <v>44669</v>
      </c>
      <c r="G20" s="4">
        <v>47000</v>
      </c>
      <c r="H20" s="4">
        <v>0.04</v>
      </c>
      <c r="I20" s="2">
        <v>45303</v>
      </c>
      <c r="J20" s="3" t="s">
        <v>22</v>
      </c>
      <c r="K20" s="3" t="s">
        <v>74</v>
      </c>
      <c r="L20" s="4">
        <v>18</v>
      </c>
      <c r="M20" s="4">
        <v>300</v>
      </c>
      <c r="N20" s="4">
        <v>5400</v>
      </c>
      <c r="O20" s="3" t="s">
        <v>27</v>
      </c>
      <c r="P20" s="1" t="s">
        <v>25</v>
      </c>
      <c r="Q20" s="1" t="str" cm="1">
        <f t="array" ref="Q20">_xlfn.IFS(H20&lt;=0.05,"Average",H20=0.06,"Good",H20&gt;=0.07,"Excellent")</f>
        <v>Average</v>
      </c>
    </row>
    <row r="21" spans="1:17" ht="16.5" customHeight="1" thickBot="1" x14ac:dyDescent="0.3">
      <c r="A21" s="1" t="s">
        <v>75</v>
      </c>
      <c r="B21" s="3" t="s">
        <v>76</v>
      </c>
      <c r="C21" s="3" t="s">
        <v>77</v>
      </c>
      <c r="D21" s="3" t="s">
        <v>20</v>
      </c>
      <c r="E21" s="3" t="s">
        <v>21</v>
      </c>
      <c r="F21" s="2">
        <v>44399</v>
      </c>
      <c r="G21" s="4">
        <v>53000</v>
      </c>
      <c r="H21" s="4">
        <v>0.05</v>
      </c>
      <c r="I21" s="2">
        <v>45310</v>
      </c>
      <c r="J21" s="3" t="s">
        <v>28</v>
      </c>
      <c r="K21" s="3" t="s">
        <v>78</v>
      </c>
      <c r="L21" s="4">
        <v>9</v>
      </c>
      <c r="M21" s="4">
        <v>400</v>
      </c>
      <c r="N21" s="4">
        <v>3600</v>
      </c>
      <c r="O21" s="3" t="s">
        <v>24</v>
      </c>
      <c r="P21" s="1" t="s">
        <v>25</v>
      </c>
      <c r="Q21" s="1" t="str" cm="1">
        <f t="array" ref="Q21">_xlfn.IFS(H21&lt;=0.05,"Average",H21=0.06,"Good",H21&gt;=0.07,"Excellent")</f>
        <v>Average</v>
      </c>
    </row>
    <row r="22" spans="1:17" ht="16.5" customHeight="1" thickBot="1" x14ac:dyDescent="0.3">
      <c r="A22" s="1" t="s">
        <v>17</v>
      </c>
      <c r="B22" s="3" t="s">
        <v>18</v>
      </c>
      <c r="C22" s="3" t="s">
        <v>19</v>
      </c>
      <c r="D22" s="3" t="s">
        <v>20</v>
      </c>
      <c r="E22" s="3" t="s">
        <v>21</v>
      </c>
      <c r="F22" s="2">
        <v>44576</v>
      </c>
      <c r="G22" s="4">
        <v>55000</v>
      </c>
      <c r="H22" s="4">
        <v>0.05</v>
      </c>
      <c r="I22" s="2">
        <v>45324</v>
      </c>
      <c r="J22" s="3" t="s">
        <v>22</v>
      </c>
      <c r="K22" s="3" t="s">
        <v>23</v>
      </c>
      <c r="L22" s="4">
        <v>14</v>
      </c>
      <c r="M22" s="4">
        <v>1200</v>
      </c>
      <c r="N22" s="4">
        <v>16800</v>
      </c>
      <c r="O22" s="3" t="s">
        <v>24</v>
      </c>
      <c r="P22" s="1" t="s">
        <v>25</v>
      </c>
      <c r="Q22" s="1" t="str" cm="1">
        <f t="array" ref="Q22">_xlfn.IFS(H22&lt;=0.05,"Average",H22=0.06,"Good",H22&gt;=0.07,"Excellent")</f>
        <v>Average</v>
      </c>
    </row>
    <row r="23" spans="1:17" ht="16.5" customHeight="1" thickBot="1" x14ac:dyDescent="0.3">
      <c r="A23" s="1" t="s">
        <v>17</v>
      </c>
      <c r="B23" s="3" t="s">
        <v>18</v>
      </c>
      <c r="C23" s="3" t="s">
        <v>19</v>
      </c>
      <c r="D23" s="3" t="s">
        <v>20</v>
      </c>
      <c r="E23" s="3" t="s">
        <v>21</v>
      </c>
      <c r="F23" s="2">
        <v>44576</v>
      </c>
      <c r="G23" s="4">
        <v>55000</v>
      </c>
      <c r="H23" s="4">
        <v>0.05</v>
      </c>
      <c r="I23" s="2">
        <v>45331</v>
      </c>
      <c r="J23" s="3" t="s">
        <v>22</v>
      </c>
      <c r="K23" s="3" t="s">
        <v>26</v>
      </c>
      <c r="L23" s="4">
        <v>28</v>
      </c>
      <c r="M23" s="4">
        <v>800</v>
      </c>
      <c r="N23" s="4">
        <v>22400</v>
      </c>
      <c r="O23" s="3" t="s">
        <v>27</v>
      </c>
      <c r="P23" s="1" t="s">
        <v>25</v>
      </c>
      <c r="Q23" s="1" t="str" cm="1">
        <f t="array" ref="Q23">_xlfn.IFS(H23&lt;=0.05,"Average",H23=0.06,"Good",H23&gt;=0.07,"Excellent")</f>
        <v>Average</v>
      </c>
    </row>
    <row r="24" spans="1:17" ht="16.5" customHeight="1" thickBot="1" x14ac:dyDescent="0.3">
      <c r="A24" s="1" t="s">
        <v>30</v>
      </c>
      <c r="B24" s="3" t="s">
        <v>31</v>
      </c>
      <c r="C24" s="3" t="s">
        <v>32</v>
      </c>
      <c r="D24" s="3" t="s">
        <v>20</v>
      </c>
      <c r="E24" s="3" t="s">
        <v>33</v>
      </c>
      <c r="F24" s="2">
        <v>44275</v>
      </c>
      <c r="G24" s="4">
        <v>52000</v>
      </c>
      <c r="H24" s="4">
        <v>0.06</v>
      </c>
      <c r="I24" s="2">
        <v>45327</v>
      </c>
      <c r="J24" s="3" t="s">
        <v>22</v>
      </c>
      <c r="K24" s="3" t="s">
        <v>34</v>
      </c>
      <c r="L24" s="4">
        <v>18</v>
      </c>
      <c r="M24" s="4">
        <v>600</v>
      </c>
      <c r="N24" s="4">
        <v>10800</v>
      </c>
      <c r="O24" s="3" t="s">
        <v>27</v>
      </c>
      <c r="P24" s="1" t="s">
        <v>25</v>
      </c>
      <c r="Q24" s="1" t="str" cm="1">
        <f t="array" ref="Q24">_xlfn.IFS(H24&lt;=0.05,"Average",H24=0.06,"Good",H24&gt;=0.07,"Excellent")</f>
        <v>Good</v>
      </c>
    </row>
    <row r="25" spans="1:17" ht="16.5" customHeight="1" thickBot="1" x14ac:dyDescent="0.3">
      <c r="A25" s="1" t="s">
        <v>30</v>
      </c>
      <c r="B25" s="3" t="s">
        <v>31</v>
      </c>
      <c r="C25" s="3" t="s">
        <v>32</v>
      </c>
      <c r="D25" s="3" t="s">
        <v>20</v>
      </c>
      <c r="E25" s="3" t="s">
        <v>33</v>
      </c>
      <c r="F25" s="2">
        <v>44275</v>
      </c>
      <c r="G25" s="4">
        <v>52000</v>
      </c>
      <c r="H25" s="4">
        <v>0.06</v>
      </c>
      <c r="I25" s="2">
        <v>45334</v>
      </c>
      <c r="J25" s="3" t="s">
        <v>28</v>
      </c>
      <c r="K25" s="3" t="s">
        <v>35</v>
      </c>
      <c r="L25" s="4">
        <v>8</v>
      </c>
      <c r="M25" s="4">
        <v>500</v>
      </c>
      <c r="N25" s="4">
        <v>4000</v>
      </c>
      <c r="O25" s="3" t="s">
        <v>24</v>
      </c>
      <c r="P25" s="1" t="s">
        <v>25</v>
      </c>
      <c r="Q25" s="1" t="str" cm="1">
        <f t="array" ref="Q25">_xlfn.IFS(H25&lt;=0.05,"Average",H25=0.06,"Good",H25&gt;=0.07,"Excellent")</f>
        <v>Good</v>
      </c>
    </row>
    <row r="26" spans="1:17" ht="16.5" customHeight="1" thickBot="1" x14ac:dyDescent="0.3">
      <c r="A26" s="1" t="s">
        <v>38</v>
      </c>
      <c r="B26" s="3" t="s">
        <v>39</v>
      </c>
      <c r="C26" s="3" t="s">
        <v>40</v>
      </c>
      <c r="D26" s="3" t="s">
        <v>41</v>
      </c>
      <c r="E26" s="3" t="s">
        <v>42</v>
      </c>
      <c r="F26" s="2">
        <v>45087</v>
      </c>
      <c r="G26" s="4">
        <v>48000</v>
      </c>
      <c r="H26" s="4">
        <v>0.04</v>
      </c>
      <c r="I26" s="2">
        <v>45329</v>
      </c>
      <c r="J26" s="3" t="s">
        <v>22</v>
      </c>
      <c r="K26" s="3" t="s">
        <v>43</v>
      </c>
      <c r="L26" s="4">
        <v>22</v>
      </c>
      <c r="M26" s="4">
        <v>400</v>
      </c>
      <c r="N26" s="4">
        <v>8800</v>
      </c>
      <c r="O26" s="3" t="s">
        <v>27</v>
      </c>
      <c r="P26" s="1" t="s">
        <v>25</v>
      </c>
      <c r="Q26" s="1" t="str" cm="1">
        <f t="array" ref="Q26">_xlfn.IFS(H26&lt;=0.05,"Average",H26=0.06,"Good",H26&gt;=0.07,"Excellent")</f>
        <v>Average</v>
      </c>
    </row>
    <row r="27" spans="1:17" ht="16.5" customHeight="1" thickBot="1" x14ac:dyDescent="0.3">
      <c r="A27" s="1" t="s">
        <v>45</v>
      </c>
      <c r="B27" s="3" t="s">
        <v>46</v>
      </c>
      <c r="C27" s="3" t="s">
        <v>47</v>
      </c>
      <c r="D27" s="3" t="s">
        <v>20</v>
      </c>
      <c r="E27" s="3" t="s">
        <v>21</v>
      </c>
      <c r="F27" s="2">
        <v>44140</v>
      </c>
      <c r="G27" s="4">
        <v>58000</v>
      </c>
      <c r="H27" s="4">
        <v>7.0000000000000007E-2</v>
      </c>
      <c r="I27" s="2">
        <v>45325</v>
      </c>
      <c r="J27" s="3" t="s">
        <v>22</v>
      </c>
      <c r="K27" s="3" t="s">
        <v>48</v>
      </c>
      <c r="L27" s="4">
        <v>10</v>
      </c>
      <c r="M27" s="4">
        <v>500</v>
      </c>
      <c r="N27" s="4">
        <v>5000</v>
      </c>
      <c r="O27" s="3" t="s">
        <v>27</v>
      </c>
      <c r="P27" s="1" t="s">
        <v>25</v>
      </c>
      <c r="Q27" s="1" t="str" cm="1">
        <f t="array" ref="Q27">_xlfn.IFS(H27&lt;=0.05,"Average",H27=0.06,"Good",H27&gt;=0.07,"Excellent")</f>
        <v>Excellent</v>
      </c>
    </row>
    <row r="28" spans="1:17" ht="16.5" customHeight="1" thickBot="1" x14ac:dyDescent="0.3">
      <c r="A28" s="1" t="s">
        <v>45</v>
      </c>
      <c r="B28" s="3" t="s">
        <v>46</v>
      </c>
      <c r="C28" s="3" t="s">
        <v>47</v>
      </c>
      <c r="D28" s="3" t="s">
        <v>20</v>
      </c>
      <c r="E28" s="3" t="s">
        <v>21</v>
      </c>
      <c r="F28" s="2">
        <v>44140</v>
      </c>
      <c r="G28" s="4">
        <v>58000</v>
      </c>
      <c r="H28" s="4">
        <v>7.0000000000000007E-2</v>
      </c>
      <c r="I28" s="2">
        <v>45332</v>
      </c>
      <c r="J28" s="3" t="s">
        <v>36</v>
      </c>
      <c r="K28" s="3" t="s">
        <v>49</v>
      </c>
      <c r="L28" s="4">
        <v>18</v>
      </c>
      <c r="M28" s="4">
        <v>800</v>
      </c>
      <c r="N28" s="4">
        <v>14400</v>
      </c>
      <c r="O28" s="3" t="s">
        <v>24</v>
      </c>
      <c r="P28" s="1" t="s">
        <v>25</v>
      </c>
      <c r="Q28" s="1" t="str" cm="1">
        <f t="array" ref="Q28">_xlfn.IFS(H28&lt;=0.05,"Average",H28=0.06,"Good",H28&gt;=0.07,"Excellent")</f>
        <v>Excellent</v>
      </c>
    </row>
    <row r="29" spans="1:17" ht="16.5" customHeight="1" thickBot="1" x14ac:dyDescent="0.3">
      <c r="A29" s="1" t="s">
        <v>51</v>
      </c>
      <c r="B29" s="3" t="s">
        <v>52</v>
      </c>
      <c r="C29" s="3" t="s">
        <v>53</v>
      </c>
      <c r="D29" s="3" t="s">
        <v>41</v>
      </c>
      <c r="E29" s="3" t="s">
        <v>33</v>
      </c>
      <c r="F29" s="2">
        <v>44785</v>
      </c>
      <c r="G29" s="4">
        <v>45000</v>
      </c>
      <c r="H29" s="4">
        <v>0.03</v>
      </c>
      <c r="I29" s="2">
        <v>45328</v>
      </c>
      <c r="J29" s="3" t="s">
        <v>22</v>
      </c>
      <c r="K29" s="3" t="s">
        <v>54</v>
      </c>
      <c r="L29" s="4">
        <v>35</v>
      </c>
      <c r="M29" s="4">
        <v>200</v>
      </c>
      <c r="N29" s="4">
        <v>7000</v>
      </c>
      <c r="O29" s="3" t="s">
        <v>27</v>
      </c>
      <c r="P29" s="1" t="s">
        <v>25</v>
      </c>
      <c r="Q29" s="1" t="str" cm="1">
        <f t="array" ref="Q29">_xlfn.IFS(H29&lt;=0.05,"Average",H29=0.06,"Good",H29&gt;=0.07,"Excellent")</f>
        <v>Average</v>
      </c>
    </row>
    <row r="30" spans="1:17" ht="16.5" customHeight="1" thickBot="1" x14ac:dyDescent="0.3">
      <c r="A30" s="1" t="s">
        <v>56</v>
      </c>
      <c r="B30" s="3" t="s">
        <v>57</v>
      </c>
      <c r="C30" s="3" t="s">
        <v>58</v>
      </c>
      <c r="D30" s="3" t="s">
        <v>20</v>
      </c>
      <c r="E30" s="3" t="s">
        <v>42</v>
      </c>
      <c r="F30" s="2">
        <v>44531</v>
      </c>
      <c r="G30" s="4">
        <v>54000</v>
      </c>
      <c r="H30" s="4">
        <v>0.05</v>
      </c>
      <c r="I30" s="2">
        <v>45330</v>
      </c>
      <c r="J30" s="3" t="s">
        <v>22</v>
      </c>
      <c r="K30" s="3" t="s">
        <v>59</v>
      </c>
      <c r="L30" s="4">
        <v>9</v>
      </c>
      <c r="M30" s="4">
        <v>1500</v>
      </c>
      <c r="N30" s="4">
        <v>13500</v>
      </c>
      <c r="O30" s="3" t="s">
        <v>24</v>
      </c>
      <c r="P30" s="1" t="s">
        <v>25</v>
      </c>
      <c r="Q30" s="1" t="str" cm="1">
        <f t="array" ref="Q30">_xlfn.IFS(H30&lt;=0.05,"Average",H30=0.06,"Good",H30&gt;=0.07,"Excellent")</f>
        <v>Average</v>
      </c>
    </row>
    <row r="31" spans="1:17" ht="16.5" customHeight="1" thickBot="1" x14ac:dyDescent="0.3">
      <c r="A31" s="1" t="s">
        <v>61</v>
      </c>
      <c r="B31" s="3" t="s">
        <v>62</v>
      </c>
      <c r="C31" s="3" t="s">
        <v>63</v>
      </c>
      <c r="D31" s="3" t="s">
        <v>64</v>
      </c>
      <c r="E31" s="3" t="s">
        <v>21</v>
      </c>
      <c r="F31" s="2">
        <v>44971</v>
      </c>
      <c r="G31" s="4">
        <v>42000</v>
      </c>
      <c r="H31" s="4">
        <v>0.02</v>
      </c>
      <c r="I31" s="2">
        <v>45326</v>
      </c>
      <c r="J31" s="3" t="s">
        <v>28</v>
      </c>
      <c r="K31" s="3" t="s">
        <v>65</v>
      </c>
      <c r="L31" s="4">
        <v>18</v>
      </c>
      <c r="M31" s="4">
        <v>200</v>
      </c>
      <c r="N31" s="4">
        <v>3600</v>
      </c>
      <c r="O31" s="3" t="s">
        <v>24</v>
      </c>
      <c r="P31" s="1" t="s">
        <v>25</v>
      </c>
      <c r="Q31" s="1" t="str" cm="1">
        <f t="array" ref="Q31">_xlfn.IFS(H31&lt;=0.05,"Average",H31=0.06,"Good",H31&gt;=0.07,"Excellent")</f>
        <v>Average</v>
      </c>
    </row>
    <row r="32" spans="1:17" ht="16.5" customHeight="1" thickBot="1" x14ac:dyDescent="0.3">
      <c r="A32" s="1" t="s">
        <v>66</v>
      </c>
      <c r="B32" s="3" t="s">
        <v>67</v>
      </c>
      <c r="C32" s="3" t="s">
        <v>68</v>
      </c>
      <c r="D32" s="3" t="s">
        <v>20</v>
      </c>
      <c r="E32" s="3" t="s">
        <v>33</v>
      </c>
      <c r="F32" s="2">
        <v>44104</v>
      </c>
      <c r="G32" s="4">
        <v>56000</v>
      </c>
      <c r="H32" s="4">
        <v>0.06</v>
      </c>
      <c r="I32" s="2">
        <v>45333</v>
      </c>
      <c r="J32" s="3" t="s">
        <v>22</v>
      </c>
      <c r="K32" s="3" t="s">
        <v>69</v>
      </c>
      <c r="L32" s="4">
        <v>8</v>
      </c>
      <c r="M32" s="4">
        <v>1200</v>
      </c>
      <c r="N32" s="4">
        <v>9600</v>
      </c>
      <c r="O32" s="3" t="s">
        <v>27</v>
      </c>
      <c r="P32" s="1" t="s">
        <v>25</v>
      </c>
      <c r="Q32" s="1" t="str" cm="1">
        <f t="array" ref="Q32">_xlfn.IFS(H32&lt;=0.05,"Average",H32=0.06,"Good",H32&gt;=0.07,"Excellent")</f>
        <v>Good</v>
      </c>
    </row>
    <row r="33" spans="1:17" ht="16.5" customHeight="1" thickBot="1" x14ac:dyDescent="0.3">
      <c r="A33" s="1" t="s">
        <v>71</v>
      </c>
      <c r="B33" s="3" t="s">
        <v>72</v>
      </c>
      <c r="C33" s="3" t="s">
        <v>73</v>
      </c>
      <c r="D33" s="3" t="s">
        <v>41</v>
      </c>
      <c r="E33" s="3" t="s">
        <v>42</v>
      </c>
      <c r="F33" s="2">
        <v>44669</v>
      </c>
      <c r="G33" s="4">
        <v>47000</v>
      </c>
      <c r="H33" s="4">
        <v>0.04</v>
      </c>
      <c r="I33" s="2">
        <v>45331</v>
      </c>
      <c r="J33" s="3" t="s">
        <v>22</v>
      </c>
      <c r="K33" s="3" t="s">
        <v>74</v>
      </c>
      <c r="L33" s="4">
        <v>20</v>
      </c>
      <c r="M33" s="4">
        <v>300</v>
      </c>
      <c r="N33" s="4">
        <v>6000</v>
      </c>
      <c r="O33" s="3" t="s">
        <v>27</v>
      </c>
      <c r="P33" s="1" t="s">
        <v>25</v>
      </c>
      <c r="Q33" s="1" t="str" cm="1">
        <f t="array" ref="Q33">_xlfn.IFS(H33&lt;=0.05,"Average",H33=0.06,"Good",H33&gt;=0.07,"Excellent")</f>
        <v>Average</v>
      </c>
    </row>
    <row r="34" spans="1:17" ht="16.5" customHeight="1" thickBot="1" x14ac:dyDescent="0.3">
      <c r="A34" s="1" t="s">
        <v>75</v>
      </c>
      <c r="B34" s="3" t="s">
        <v>76</v>
      </c>
      <c r="C34" s="3" t="s">
        <v>77</v>
      </c>
      <c r="D34" s="3" t="s">
        <v>20</v>
      </c>
      <c r="E34" s="3" t="s">
        <v>21</v>
      </c>
      <c r="F34" s="2">
        <v>44399</v>
      </c>
      <c r="G34" s="4">
        <v>53000</v>
      </c>
      <c r="H34" s="4">
        <v>0.05</v>
      </c>
      <c r="I34" s="2">
        <v>45338</v>
      </c>
      <c r="J34" s="3" t="s">
        <v>28</v>
      </c>
      <c r="K34" s="3" t="s">
        <v>78</v>
      </c>
      <c r="L34" s="4">
        <v>11</v>
      </c>
      <c r="M34" s="4">
        <v>400</v>
      </c>
      <c r="N34" s="4">
        <v>4400</v>
      </c>
      <c r="O34" s="3" t="s">
        <v>24</v>
      </c>
      <c r="P34" s="1" t="s">
        <v>25</v>
      </c>
      <c r="Q34" s="1" t="str" cm="1">
        <f t="array" ref="Q34">_xlfn.IFS(H34&lt;=0.05,"Average",H34=0.06,"Good",H34&gt;=0.07,"Excellent")</f>
        <v>Average</v>
      </c>
    </row>
    <row r="35" spans="1:17" ht="16.5" customHeight="1" thickBot="1" x14ac:dyDescent="0.3">
      <c r="A35" s="1" t="s">
        <v>17</v>
      </c>
      <c r="B35" s="3" t="s">
        <v>18</v>
      </c>
      <c r="C35" s="3" t="s">
        <v>19</v>
      </c>
      <c r="D35" s="3" t="s">
        <v>20</v>
      </c>
      <c r="E35" s="3" t="s">
        <v>21</v>
      </c>
      <c r="F35" s="2">
        <v>44576</v>
      </c>
      <c r="G35" s="4">
        <v>55000</v>
      </c>
      <c r="H35" s="4">
        <v>0.05</v>
      </c>
      <c r="I35" s="2">
        <v>45352</v>
      </c>
      <c r="J35" s="3" t="s">
        <v>22</v>
      </c>
      <c r="K35" s="3" t="s">
        <v>23</v>
      </c>
      <c r="L35" s="4">
        <v>16</v>
      </c>
      <c r="M35" s="4">
        <v>1200</v>
      </c>
      <c r="N35" s="4">
        <v>19200</v>
      </c>
      <c r="O35" s="3" t="s">
        <v>24</v>
      </c>
      <c r="P35" s="1" t="s">
        <v>25</v>
      </c>
      <c r="Q35" s="1" t="str" cm="1">
        <f t="array" ref="Q35">_xlfn.IFS(H35&lt;=0.05,"Average",H35=0.06,"Good",H35&gt;=0.07,"Excellent")</f>
        <v>Average</v>
      </c>
    </row>
    <row r="36" spans="1:17" ht="16.5" customHeight="1" thickBot="1" x14ac:dyDescent="0.3">
      <c r="A36" s="1" t="s">
        <v>17</v>
      </c>
      <c r="B36" s="3" t="s">
        <v>18</v>
      </c>
      <c r="C36" s="3" t="s">
        <v>19</v>
      </c>
      <c r="D36" s="3" t="s">
        <v>20</v>
      </c>
      <c r="E36" s="3" t="s">
        <v>21</v>
      </c>
      <c r="F36" s="2">
        <v>44576</v>
      </c>
      <c r="G36" s="4">
        <v>55000</v>
      </c>
      <c r="H36" s="4">
        <v>0.05</v>
      </c>
      <c r="I36" s="2">
        <v>45359</v>
      </c>
      <c r="J36" s="3" t="s">
        <v>22</v>
      </c>
      <c r="K36" s="3" t="s">
        <v>26</v>
      </c>
      <c r="L36" s="4">
        <v>30</v>
      </c>
      <c r="M36" s="4">
        <v>800</v>
      </c>
      <c r="N36" s="4">
        <v>24000</v>
      </c>
      <c r="O36" s="3" t="s">
        <v>27</v>
      </c>
      <c r="P36" s="1" t="s">
        <v>25</v>
      </c>
      <c r="Q36" s="1" t="str" cm="1">
        <f t="array" ref="Q36">_xlfn.IFS(H36&lt;=0.05,"Average",H36=0.06,"Good",H36&gt;=0.07,"Excellent")</f>
        <v>Average</v>
      </c>
    </row>
    <row r="37" spans="1:17" ht="16.5" customHeight="1" thickBot="1" x14ac:dyDescent="0.3">
      <c r="A37" s="1" t="s">
        <v>30</v>
      </c>
      <c r="B37" s="3" t="s">
        <v>31</v>
      </c>
      <c r="C37" s="3" t="s">
        <v>32</v>
      </c>
      <c r="D37" s="3" t="s">
        <v>20</v>
      </c>
      <c r="E37" s="3" t="s">
        <v>33</v>
      </c>
      <c r="F37" s="2">
        <v>44275</v>
      </c>
      <c r="G37" s="4">
        <v>52000</v>
      </c>
      <c r="H37" s="4">
        <v>0.06</v>
      </c>
      <c r="I37" s="2">
        <v>45353</v>
      </c>
      <c r="J37" s="3" t="s">
        <v>22</v>
      </c>
      <c r="K37" s="3" t="s">
        <v>34</v>
      </c>
      <c r="L37" s="4">
        <v>20</v>
      </c>
      <c r="M37" s="4">
        <v>600</v>
      </c>
      <c r="N37" s="4">
        <v>12000</v>
      </c>
      <c r="O37" s="3" t="s">
        <v>27</v>
      </c>
      <c r="P37" s="1" t="s">
        <v>25</v>
      </c>
      <c r="Q37" s="1" t="str" cm="1">
        <f t="array" ref="Q37">_xlfn.IFS(H37&lt;=0.05,"Average",H37=0.06,"Good",H37&gt;=0.07,"Excellent")</f>
        <v>Good</v>
      </c>
    </row>
    <row r="38" spans="1:17" ht="16.5" customHeight="1" thickBot="1" x14ac:dyDescent="0.3">
      <c r="A38" s="1" t="s">
        <v>38</v>
      </c>
      <c r="B38" s="3" t="s">
        <v>39</v>
      </c>
      <c r="C38" s="3" t="s">
        <v>40</v>
      </c>
      <c r="D38" s="3" t="s">
        <v>41</v>
      </c>
      <c r="E38" s="3" t="s">
        <v>42</v>
      </c>
      <c r="F38" s="2">
        <v>45087</v>
      </c>
      <c r="G38" s="4">
        <v>48000</v>
      </c>
      <c r="H38" s="4">
        <v>0.04</v>
      </c>
      <c r="I38" s="2">
        <v>45355</v>
      </c>
      <c r="J38" s="3" t="s">
        <v>22</v>
      </c>
      <c r="K38" s="3" t="s">
        <v>43</v>
      </c>
      <c r="L38" s="4">
        <v>25</v>
      </c>
      <c r="M38" s="4">
        <v>400</v>
      </c>
      <c r="N38" s="4">
        <v>10000</v>
      </c>
      <c r="O38" s="3" t="s">
        <v>27</v>
      </c>
      <c r="P38" s="1" t="s">
        <v>25</v>
      </c>
      <c r="Q38" s="1" t="str" cm="1">
        <f t="array" ref="Q38">_xlfn.IFS(H38&lt;=0.05,"Average",H38=0.06,"Good",H38&gt;=0.07,"Excellent")</f>
        <v>Average</v>
      </c>
    </row>
    <row r="39" spans="1:17" ht="16.5" customHeight="1" thickBot="1" x14ac:dyDescent="0.3">
      <c r="A39" s="1" t="s">
        <v>45</v>
      </c>
      <c r="B39" s="3" t="s">
        <v>46</v>
      </c>
      <c r="C39" s="3" t="s">
        <v>47</v>
      </c>
      <c r="D39" s="3" t="s">
        <v>20</v>
      </c>
      <c r="E39" s="3" t="s">
        <v>21</v>
      </c>
      <c r="F39" s="2">
        <v>44140</v>
      </c>
      <c r="G39" s="4">
        <v>58000</v>
      </c>
      <c r="H39" s="4">
        <v>7.0000000000000007E-2</v>
      </c>
      <c r="I39" s="2">
        <v>45357</v>
      </c>
      <c r="J39" s="3" t="s">
        <v>22</v>
      </c>
      <c r="K39" s="3" t="s">
        <v>48</v>
      </c>
      <c r="L39" s="4">
        <v>12</v>
      </c>
      <c r="M39" s="4">
        <v>500</v>
      </c>
      <c r="N39" s="4">
        <v>6000</v>
      </c>
      <c r="O39" s="3" t="s">
        <v>27</v>
      </c>
      <c r="P39" s="1" t="s">
        <v>25</v>
      </c>
      <c r="Q39" s="1" t="str" cm="1">
        <f t="array" ref="Q39">_xlfn.IFS(H39&lt;=0.05,"Average",H39=0.06,"Good",H39&gt;=0.07,"Excellent")</f>
        <v>Excellent</v>
      </c>
    </row>
    <row r="40" spans="1:17" ht="16.5" customHeight="1" thickBot="1" x14ac:dyDescent="0.3">
      <c r="A40" s="1" t="s">
        <v>51</v>
      </c>
      <c r="B40" s="3" t="s">
        <v>52</v>
      </c>
      <c r="C40" s="3" t="s">
        <v>53</v>
      </c>
      <c r="D40" s="3" t="s">
        <v>41</v>
      </c>
      <c r="E40" s="3" t="s">
        <v>33</v>
      </c>
      <c r="F40" s="2">
        <v>44785</v>
      </c>
      <c r="G40" s="4">
        <v>45000</v>
      </c>
      <c r="H40" s="4">
        <v>0.03</v>
      </c>
      <c r="I40" s="2">
        <v>45354</v>
      </c>
      <c r="J40" s="3" t="s">
        <v>22</v>
      </c>
      <c r="K40" s="3" t="s">
        <v>54</v>
      </c>
      <c r="L40" s="4">
        <v>40</v>
      </c>
      <c r="M40" s="4">
        <v>200</v>
      </c>
      <c r="N40" s="4">
        <v>8000</v>
      </c>
      <c r="O40" s="3" t="s">
        <v>27</v>
      </c>
      <c r="P40" s="1" t="s">
        <v>25</v>
      </c>
      <c r="Q40" s="1" t="str" cm="1">
        <f t="array" ref="Q40">_xlfn.IFS(H40&lt;=0.05,"Average",H40=0.06,"Good",H40&gt;=0.07,"Excellent")</f>
        <v>Average</v>
      </c>
    </row>
    <row r="41" spans="1:17" ht="16.5" customHeight="1" thickBot="1" x14ac:dyDescent="0.3">
      <c r="A41" s="1" t="s">
        <v>56</v>
      </c>
      <c r="B41" s="3" t="s">
        <v>57</v>
      </c>
      <c r="C41" s="3" t="s">
        <v>58</v>
      </c>
      <c r="D41" s="3" t="s">
        <v>20</v>
      </c>
      <c r="E41" s="3" t="s">
        <v>42</v>
      </c>
      <c r="F41" s="2">
        <v>44531</v>
      </c>
      <c r="G41" s="4">
        <v>54000</v>
      </c>
      <c r="H41" s="4">
        <v>0.05</v>
      </c>
      <c r="I41" s="2">
        <v>45356</v>
      </c>
      <c r="J41" s="3" t="s">
        <v>22</v>
      </c>
      <c r="K41" s="3" t="s">
        <v>59</v>
      </c>
      <c r="L41" s="4">
        <v>11</v>
      </c>
      <c r="M41" s="4">
        <v>1500</v>
      </c>
      <c r="N41" s="4">
        <v>16500</v>
      </c>
      <c r="O41" s="3" t="s">
        <v>24</v>
      </c>
      <c r="P41" s="1" t="s">
        <v>25</v>
      </c>
      <c r="Q41" s="1" t="str" cm="1">
        <f t="array" ref="Q41">_xlfn.IFS(H41&lt;=0.05,"Average",H41=0.06,"Good",H41&gt;=0.07,"Excellent")</f>
        <v>Average</v>
      </c>
    </row>
    <row r="42" spans="1:17" ht="16.5" customHeight="1" thickBot="1" x14ac:dyDescent="0.3">
      <c r="A42" s="1" t="s">
        <v>61</v>
      </c>
      <c r="B42" s="3" t="s">
        <v>62</v>
      </c>
      <c r="C42" s="3" t="s">
        <v>63</v>
      </c>
      <c r="D42" s="3" t="s">
        <v>64</v>
      </c>
      <c r="E42" s="3" t="s">
        <v>21</v>
      </c>
      <c r="F42" s="2">
        <v>44971</v>
      </c>
      <c r="G42" s="4">
        <v>42000</v>
      </c>
      <c r="H42" s="4">
        <v>0.02</v>
      </c>
      <c r="I42" s="2">
        <v>45352</v>
      </c>
      <c r="J42" s="3" t="s">
        <v>28</v>
      </c>
      <c r="K42" s="3" t="s">
        <v>65</v>
      </c>
      <c r="L42" s="4">
        <v>20</v>
      </c>
      <c r="M42" s="4">
        <v>200</v>
      </c>
      <c r="N42" s="4">
        <v>4000</v>
      </c>
      <c r="O42" s="3" t="s">
        <v>24</v>
      </c>
      <c r="P42" s="1" t="s">
        <v>25</v>
      </c>
      <c r="Q42" s="1" t="str" cm="1">
        <f t="array" ref="Q42">_xlfn.IFS(H42&lt;=0.05,"Average",H42=0.06,"Good",H42&gt;=0.07,"Excellent")</f>
        <v>Average</v>
      </c>
    </row>
    <row r="43" spans="1:17" ht="16.5" customHeight="1" thickBot="1" x14ac:dyDescent="0.3">
      <c r="A43" s="1" t="s">
        <v>66</v>
      </c>
      <c r="B43" s="3" t="s">
        <v>67</v>
      </c>
      <c r="C43" s="3" t="s">
        <v>68</v>
      </c>
      <c r="D43" s="3" t="s">
        <v>20</v>
      </c>
      <c r="E43" s="3" t="s">
        <v>33</v>
      </c>
      <c r="F43" s="2">
        <v>44104</v>
      </c>
      <c r="G43" s="4">
        <v>56000</v>
      </c>
      <c r="H43" s="4">
        <v>0.06</v>
      </c>
      <c r="I43" s="2">
        <v>45359</v>
      </c>
      <c r="J43" s="3" t="s">
        <v>22</v>
      </c>
      <c r="K43" s="3" t="s">
        <v>69</v>
      </c>
      <c r="L43" s="4">
        <v>10</v>
      </c>
      <c r="M43" s="4">
        <v>1200</v>
      </c>
      <c r="N43" s="4">
        <v>12000</v>
      </c>
      <c r="O43" s="3" t="s">
        <v>27</v>
      </c>
      <c r="P43" s="1" t="s">
        <v>25</v>
      </c>
      <c r="Q43" s="1" t="str" cm="1">
        <f t="array" ref="Q43">_xlfn.IFS(H43&lt;=0.05,"Average",H43=0.06,"Good",H43&gt;=0.07,"Excellent")</f>
        <v>Good</v>
      </c>
    </row>
    <row r="44" spans="1:17" ht="16.5" customHeight="1" thickBot="1" x14ac:dyDescent="0.3">
      <c r="A44" s="1" t="s">
        <v>71</v>
      </c>
      <c r="B44" s="3" t="s">
        <v>72</v>
      </c>
      <c r="C44" s="3" t="s">
        <v>73</v>
      </c>
      <c r="D44" s="3" t="s">
        <v>41</v>
      </c>
      <c r="E44" s="3" t="s">
        <v>42</v>
      </c>
      <c r="F44" s="2">
        <v>44669</v>
      </c>
      <c r="G44" s="4">
        <v>47000</v>
      </c>
      <c r="H44" s="4">
        <v>0.04</v>
      </c>
      <c r="I44" s="2">
        <v>45357</v>
      </c>
      <c r="J44" s="3" t="s">
        <v>22</v>
      </c>
      <c r="K44" s="3" t="s">
        <v>74</v>
      </c>
      <c r="L44" s="4">
        <v>22</v>
      </c>
      <c r="M44" s="4">
        <v>300</v>
      </c>
      <c r="N44" s="4">
        <v>6600</v>
      </c>
      <c r="O44" s="3" t="s">
        <v>27</v>
      </c>
      <c r="P44" s="1" t="s">
        <v>25</v>
      </c>
      <c r="Q44" s="1" t="str" cm="1">
        <f t="array" ref="Q44">_xlfn.IFS(H44&lt;=0.05,"Average",H44=0.06,"Good",H44&gt;=0.07,"Excellent")</f>
        <v>Average</v>
      </c>
    </row>
    <row r="45" spans="1:17" ht="16.5" customHeight="1" thickBot="1" x14ac:dyDescent="0.3">
      <c r="A45" s="1" t="s">
        <v>79</v>
      </c>
      <c r="B45" s="3" t="s">
        <v>80</v>
      </c>
      <c r="C45" s="3" t="s">
        <v>81</v>
      </c>
      <c r="D45" s="3" t="s">
        <v>20</v>
      </c>
      <c r="E45" s="3" t="s">
        <v>42</v>
      </c>
      <c r="F45" s="2">
        <v>44696</v>
      </c>
      <c r="G45" s="4">
        <v>51000</v>
      </c>
      <c r="H45" s="4">
        <v>0.05</v>
      </c>
      <c r="I45" s="2">
        <v>45384</v>
      </c>
      <c r="J45" s="3" t="s">
        <v>22</v>
      </c>
      <c r="K45" s="3" t="s">
        <v>82</v>
      </c>
      <c r="L45" s="4">
        <v>5</v>
      </c>
      <c r="M45" s="4">
        <v>2000</v>
      </c>
      <c r="N45" s="4">
        <v>10000</v>
      </c>
      <c r="O45" s="3" t="s">
        <v>24</v>
      </c>
      <c r="P45" s="1" t="s">
        <v>83</v>
      </c>
      <c r="Q45" s="1" t="str" cm="1">
        <f t="array" ref="Q45">_xlfn.IFS(H45&lt;=0.05,"Average",H45=0.06,"Good",H45&gt;=0.07,"Excellent")</f>
        <v>Average</v>
      </c>
    </row>
    <row r="46" spans="1:17" ht="16.5" customHeight="1" thickBot="1" x14ac:dyDescent="0.3">
      <c r="A46" s="1" t="s">
        <v>79</v>
      </c>
      <c r="B46" s="3" t="s">
        <v>80</v>
      </c>
      <c r="C46" s="3" t="s">
        <v>81</v>
      </c>
      <c r="D46" s="3" t="s">
        <v>20</v>
      </c>
      <c r="E46" s="3" t="s">
        <v>42</v>
      </c>
      <c r="F46" s="2">
        <v>44696</v>
      </c>
      <c r="G46" s="4">
        <v>51000</v>
      </c>
      <c r="H46" s="4">
        <v>0.05</v>
      </c>
      <c r="I46" s="2">
        <v>45391</v>
      </c>
      <c r="J46" s="3" t="s">
        <v>36</v>
      </c>
      <c r="K46" s="3" t="s">
        <v>84</v>
      </c>
      <c r="L46" s="4">
        <v>12</v>
      </c>
      <c r="M46" s="4">
        <v>300</v>
      </c>
      <c r="N46" s="4">
        <v>3600</v>
      </c>
      <c r="O46" s="3" t="s">
        <v>27</v>
      </c>
      <c r="P46" s="1" t="s">
        <v>83</v>
      </c>
      <c r="Q46" s="1" t="str" cm="1">
        <f t="array" ref="Q46">_xlfn.IFS(H46&lt;=0.05,"Average",H46=0.06,"Good",H46&gt;=0.07,"Excellent")</f>
        <v>Average</v>
      </c>
    </row>
    <row r="47" spans="1:17" ht="16.5" customHeight="1" thickBot="1" x14ac:dyDescent="0.3">
      <c r="A47" s="1" t="s">
        <v>85</v>
      </c>
      <c r="B47" s="3" t="s">
        <v>86</v>
      </c>
      <c r="C47" s="3" t="s">
        <v>87</v>
      </c>
      <c r="D47" s="3" t="s">
        <v>41</v>
      </c>
      <c r="E47" s="3" t="s">
        <v>33</v>
      </c>
      <c r="F47" s="2">
        <v>44934</v>
      </c>
      <c r="G47" s="4">
        <v>46000</v>
      </c>
      <c r="H47" s="4">
        <v>0.04</v>
      </c>
      <c r="I47" s="2">
        <v>45387</v>
      </c>
      <c r="J47" s="3" t="s">
        <v>28</v>
      </c>
      <c r="K47" s="3" t="s">
        <v>88</v>
      </c>
      <c r="L47" s="4">
        <v>7</v>
      </c>
      <c r="M47" s="4">
        <v>600</v>
      </c>
      <c r="N47" s="4">
        <v>4200</v>
      </c>
      <c r="O47" s="3" t="s">
        <v>24</v>
      </c>
      <c r="P47" s="1" t="s">
        <v>83</v>
      </c>
      <c r="Q47" s="1" t="str" cm="1">
        <f t="array" ref="Q47">_xlfn.IFS(H47&lt;=0.05,"Average",H47=0.06,"Good",H47&gt;=0.07,"Excellent")</f>
        <v>Average</v>
      </c>
    </row>
    <row r="48" spans="1:17" ht="16.5" customHeight="1" thickBot="1" x14ac:dyDescent="0.3">
      <c r="A48" s="1" t="s">
        <v>89</v>
      </c>
      <c r="B48" s="3" t="s">
        <v>90</v>
      </c>
      <c r="C48" s="3" t="s">
        <v>91</v>
      </c>
      <c r="D48" s="3" t="s">
        <v>20</v>
      </c>
      <c r="E48" s="3" t="s">
        <v>21</v>
      </c>
      <c r="F48" s="2">
        <v>44451</v>
      </c>
      <c r="G48" s="4">
        <v>57000</v>
      </c>
      <c r="H48" s="4">
        <v>0.06</v>
      </c>
      <c r="I48" s="2">
        <v>45385</v>
      </c>
      <c r="J48" s="3" t="s">
        <v>22</v>
      </c>
      <c r="K48" s="3" t="s">
        <v>92</v>
      </c>
      <c r="L48" s="4">
        <v>4</v>
      </c>
      <c r="M48" s="4">
        <v>1800</v>
      </c>
      <c r="N48" s="4">
        <v>7200</v>
      </c>
      <c r="O48" s="3" t="s">
        <v>27</v>
      </c>
      <c r="P48" s="1" t="s">
        <v>83</v>
      </c>
      <c r="Q48" s="1" t="str" cm="1">
        <f t="array" ref="Q48">_xlfn.IFS(H48&lt;=0.05,"Average",H48=0.06,"Good",H48&gt;=0.07,"Excellent")</f>
        <v>Good</v>
      </c>
    </row>
    <row r="49" spans="1:17" ht="16.5" customHeight="1" thickBot="1" x14ac:dyDescent="0.3">
      <c r="A49" s="1" t="s">
        <v>93</v>
      </c>
      <c r="B49" s="3" t="s">
        <v>94</v>
      </c>
      <c r="C49" s="3" t="s">
        <v>95</v>
      </c>
      <c r="D49" s="3" t="s">
        <v>64</v>
      </c>
      <c r="E49" s="3" t="s">
        <v>33</v>
      </c>
      <c r="F49" s="2">
        <v>44885</v>
      </c>
      <c r="G49" s="4">
        <v>43000</v>
      </c>
      <c r="H49" s="4">
        <v>0.03</v>
      </c>
      <c r="I49" s="2">
        <v>45389</v>
      </c>
      <c r="J49" s="3" t="s">
        <v>28</v>
      </c>
      <c r="K49" s="3" t="s">
        <v>96</v>
      </c>
      <c r="L49" s="4">
        <v>25</v>
      </c>
      <c r="M49" s="4">
        <v>100</v>
      </c>
      <c r="N49" s="4">
        <v>2500</v>
      </c>
      <c r="O49" s="3" t="s">
        <v>24</v>
      </c>
      <c r="P49" s="1" t="s">
        <v>83</v>
      </c>
      <c r="Q49" s="1" t="str" cm="1">
        <f t="array" ref="Q49">_xlfn.IFS(H49&lt;=0.05,"Average",H49=0.06,"Good",H49&gt;=0.07,"Excellent")</f>
        <v>Average</v>
      </c>
    </row>
    <row r="50" spans="1:17" ht="16.5" customHeight="1" thickBot="1" x14ac:dyDescent="0.3">
      <c r="A50" s="1" t="s">
        <v>97</v>
      </c>
      <c r="B50" s="3" t="s">
        <v>98</v>
      </c>
      <c r="C50" s="3" t="s">
        <v>99</v>
      </c>
      <c r="D50" s="3" t="s">
        <v>20</v>
      </c>
      <c r="E50" s="3" t="s">
        <v>42</v>
      </c>
      <c r="F50" s="2">
        <v>44168</v>
      </c>
      <c r="G50" s="4">
        <v>59000</v>
      </c>
      <c r="H50" s="4">
        <v>7.0000000000000007E-2</v>
      </c>
      <c r="I50" s="2">
        <v>45386</v>
      </c>
      <c r="J50" s="3" t="s">
        <v>22</v>
      </c>
      <c r="K50" s="3" t="s">
        <v>100</v>
      </c>
      <c r="L50" s="4">
        <v>8</v>
      </c>
      <c r="M50" s="4">
        <v>1000</v>
      </c>
      <c r="N50" s="4">
        <v>8000</v>
      </c>
      <c r="O50" s="3" t="s">
        <v>27</v>
      </c>
      <c r="P50" s="1" t="s">
        <v>83</v>
      </c>
      <c r="Q50" s="1" t="str" cm="1">
        <f t="array" ref="Q50">_xlfn.IFS(H50&lt;=0.05,"Average",H50=0.06,"Good",H50&gt;=0.07,"Excellent")</f>
        <v>Excellent</v>
      </c>
    </row>
    <row r="51" spans="1:17" ht="16.5" customHeight="1" thickBot="1" x14ac:dyDescent="0.3">
      <c r="A51" s="1" t="s">
        <v>101</v>
      </c>
      <c r="B51" s="3" t="s">
        <v>102</v>
      </c>
      <c r="C51" s="3" t="s">
        <v>103</v>
      </c>
      <c r="D51" s="3" t="s">
        <v>41</v>
      </c>
      <c r="E51" s="3" t="s">
        <v>21</v>
      </c>
      <c r="F51" s="2">
        <v>45010</v>
      </c>
      <c r="G51" s="4">
        <v>44000</v>
      </c>
      <c r="H51" s="4">
        <v>0.03</v>
      </c>
      <c r="I51" s="2">
        <v>45390</v>
      </c>
      <c r="J51" s="3" t="s">
        <v>28</v>
      </c>
      <c r="K51" s="3" t="s">
        <v>104</v>
      </c>
      <c r="L51" s="4">
        <v>15</v>
      </c>
      <c r="M51" s="4">
        <v>200</v>
      </c>
      <c r="N51" s="4">
        <v>3000</v>
      </c>
      <c r="O51" s="3" t="s">
        <v>27</v>
      </c>
      <c r="P51" s="1" t="s">
        <v>83</v>
      </c>
      <c r="Q51" s="1" t="str" cm="1">
        <f t="array" ref="Q51">_xlfn.IFS(H51&lt;=0.05,"Average",H51=0.06,"Good",H51&gt;=0.07,"Excellent")</f>
        <v>Average</v>
      </c>
    </row>
    <row r="52" spans="1:17" ht="16.5" customHeight="1" thickBot="1" x14ac:dyDescent="0.3">
      <c r="A52" s="1" t="s">
        <v>105</v>
      </c>
      <c r="B52" s="3" t="s">
        <v>106</v>
      </c>
      <c r="C52" s="3" t="s">
        <v>107</v>
      </c>
      <c r="D52" s="3" t="s">
        <v>20</v>
      </c>
      <c r="E52" s="3" t="s">
        <v>33</v>
      </c>
      <c r="F52" s="2">
        <v>44365</v>
      </c>
      <c r="G52" s="4">
        <v>55000</v>
      </c>
      <c r="H52" s="4">
        <v>0.05</v>
      </c>
      <c r="I52" s="2">
        <v>45388</v>
      </c>
      <c r="J52" s="3" t="s">
        <v>36</v>
      </c>
      <c r="K52" s="3" t="s">
        <v>108</v>
      </c>
      <c r="L52" s="4">
        <v>6</v>
      </c>
      <c r="M52" s="4">
        <v>800</v>
      </c>
      <c r="N52" s="4">
        <v>4800</v>
      </c>
      <c r="O52" s="3" t="s">
        <v>24</v>
      </c>
      <c r="P52" s="1" t="s">
        <v>83</v>
      </c>
      <c r="Q52" s="1" t="str" cm="1">
        <f t="array" ref="Q52">_xlfn.IFS(H52&lt;=0.05,"Average",H52=0.06,"Good",H52&gt;=0.07,"Excellent")</f>
        <v>Average</v>
      </c>
    </row>
    <row r="53" spans="1:17" ht="16.5" customHeight="1" thickBot="1" x14ac:dyDescent="0.3">
      <c r="A53" s="1" t="s">
        <v>109</v>
      </c>
      <c r="B53" s="3" t="s">
        <v>110</v>
      </c>
      <c r="C53" s="3" t="s">
        <v>111</v>
      </c>
      <c r="D53" s="3" t="s">
        <v>41</v>
      </c>
      <c r="E53" s="3" t="s">
        <v>42</v>
      </c>
      <c r="F53" s="2">
        <v>44620</v>
      </c>
      <c r="G53" s="4">
        <v>47000</v>
      </c>
      <c r="H53" s="4">
        <v>0.04</v>
      </c>
      <c r="I53" s="2">
        <v>45392</v>
      </c>
      <c r="J53" s="3" t="s">
        <v>22</v>
      </c>
      <c r="K53" s="3" t="s">
        <v>112</v>
      </c>
      <c r="L53" s="4">
        <v>10</v>
      </c>
      <c r="M53" s="4">
        <v>500</v>
      </c>
      <c r="N53" s="4">
        <v>5000</v>
      </c>
      <c r="O53" s="3" t="s">
        <v>27</v>
      </c>
      <c r="P53" s="1" t="s">
        <v>83</v>
      </c>
      <c r="Q53" s="1" t="str" cm="1">
        <f t="array" ref="Q53">_xlfn.IFS(H53&lt;=0.05,"Average",H53=0.06,"Good",H53&gt;=0.07,"Excellent")</f>
        <v>Average</v>
      </c>
    </row>
    <row r="54" spans="1:17" ht="16.5" customHeight="1" thickBot="1" x14ac:dyDescent="0.3">
      <c r="A54" s="1" t="s">
        <v>113</v>
      </c>
      <c r="B54" s="3" t="s">
        <v>114</v>
      </c>
      <c r="C54" s="3" t="s">
        <v>115</v>
      </c>
      <c r="D54" s="3" t="s">
        <v>20</v>
      </c>
      <c r="E54" s="3" t="s">
        <v>21</v>
      </c>
      <c r="F54" s="2">
        <v>44057</v>
      </c>
      <c r="G54" s="4">
        <v>56000</v>
      </c>
      <c r="H54" s="4">
        <v>0.06</v>
      </c>
      <c r="I54" s="2">
        <v>45393</v>
      </c>
      <c r="J54" s="3" t="s">
        <v>28</v>
      </c>
      <c r="K54" s="3" t="s">
        <v>116</v>
      </c>
      <c r="L54" s="4">
        <v>3</v>
      </c>
      <c r="M54" s="4">
        <v>800</v>
      </c>
      <c r="N54" s="4">
        <v>2400</v>
      </c>
      <c r="O54" s="3" t="s">
        <v>24</v>
      </c>
      <c r="P54" s="1" t="s">
        <v>83</v>
      </c>
      <c r="Q54" s="1" t="str" cm="1">
        <f t="array" ref="Q54">_xlfn.IFS(H54&lt;=0.05,"Average",H54=0.06,"Good",H54&gt;=0.07,"Excellent")</f>
        <v>Good</v>
      </c>
    </row>
    <row r="55" spans="1:17" ht="16.5" customHeight="1" thickBot="1" x14ac:dyDescent="0.3">
      <c r="A55" s="1" t="s">
        <v>117</v>
      </c>
      <c r="B55" s="3" t="s">
        <v>118</v>
      </c>
      <c r="C55" s="3" t="s">
        <v>119</v>
      </c>
      <c r="D55" s="3" t="s">
        <v>64</v>
      </c>
      <c r="E55" s="3" t="s">
        <v>42</v>
      </c>
      <c r="F55" s="2">
        <v>45112</v>
      </c>
      <c r="G55" s="4">
        <v>41000</v>
      </c>
      <c r="H55" s="4">
        <v>0.02</v>
      </c>
      <c r="I55" s="2">
        <v>45391</v>
      </c>
      <c r="J55" s="3" t="s">
        <v>28</v>
      </c>
      <c r="K55" s="3" t="s">
        <v>120</v>
      </c>
      <c r="L55" s="4">
        <v>20</v>
      </c>
      <c r="M55" s="4">
        <v>150</v>
      </c>
      <c r="N55" s="4">
        <v>3000</v>
      </c>
      <c r="O55" s="3" t="s">
        <v>24</v>
      </c>
      <c r="P55" s="1" t="s">
        <v>83</v>
      </c>
      <c r="Q55" s="1" t="str" cm="1">
        <f t="array" ref="Q55">_xlfn.IFS(H55&lt;=0.05,"Average",H55=0.06,"Good",H55&gt;=0.07,"Excellent")</f>
        <v>Average</v>
      </c>
    </row>
    <row r="56" spans="1:17" ht="16.5" customHeight="1" thickBot="1" x14ac:dyDescent="0.3">
      <c r="A56" s="1" t="s">
        <v>79</v>
      </c>
      <c r="B56" s="3" t="s">
        <v>80</v>
      </c>
      <c r="C56" s="3" t="s">
        <v>81</v>
      </c>
      <c r="D56" s="3" t="s">
        <v>20</v>
      </c>
      <c r="E56" s="3" t="s">
        <v>42</v>
      </c>
      <c r="F56" s="2">
        <v>44696</v>
      </c>
      <c r="G56" s="4">
        <v>51000</v>
      </c>
      <c r="H56" s="4">
        <v>0.05</v>
      </c>
      <c r="I56" s="2">
        <v>45413</v>
      </c>
      <c r="J56" s="3" t="s">
        <v>22</v>
      </c>
      <c r="K56" s="3" t="s">
        <v>82</v>
      </c>
      <c r="L56" s="4">
        <v>7</v>
      </c>
      <c r="M56" s="4">
        <v>2000</v>
      </c>
      <c r="N56" s="4">
        <v>14000</v>
      </c>
      <c r="O56" s="3" t="s">
        <v>24</v>
      </c>
      <c r="P56" s="1" t="s">
        <v>83</v>
      </c>
      <c r="Q56" s="1" t="str" cm="1">
        <f t="array" ref="Q56">_xlfn.IFS(H56&lt;=0.05,"Average",H56=0.06,"Good",H56&gt;=0.07,"Excellent")</f>
        <v>Average</v>
      </c>
    </row>
    <row r="57" spans="1:17" ht="16.5" customHeight="1" thickBot="1" x14ac:dyDescent="0.3">
      <c r="A57" s="1" t="s">
        <v>85</v>
      </c>
      <c r="B57" s="3" t="s">
        <v>86</v>
      </c>
      <c r="C57" s="3" t="s">
        <v>87</v>
      </c>
      <c r="D57" s="3" t="s">
        <v>41</v>
      </c>
      <c r="E57" s="3" t="s">
        <v>33</v>
      </c>
      <c r="F57" s="2">
        <v>44934</v>
      </c>
      <c r="G57" s="4">
        <v>46000</v>
      </c>
      <c r="H57" s="4">
        <v>0.04</v>
      </c>
      <c r="I57" s="2">
        <v>45415</v>
      </c>
      <c r="J57" s="3" t="s">
        <v>28</v>
      </c>
      <c r="K57" s="3" t="s">
        <v>88</v>
      </c>
      <c r="L57" s="4">
        <v>9</v>
      </c>
      <c r="M57" s="4">
        <v>600</v>
      </c>
      <c r="N57" s="4">
        <v>5400</v>
      </c>
      <c r="O57" s="3" t="s">
        <v>24</v>
      </c>
      <c r="P57" s="1" t="s">
        <v>83</v>
      </c>
      <c r="Q57" s="1" t="str" cm="1">
        <f t="array" ref="Q57">_xlfn.IFS(H57&lt;=0.05,"Average",H57=0.06,"Good",H57&gt;=0.07,"Excellent")</f>
        <v>Average</v>
      </c>
    </row>
    <row r="58" spans="1:17" ht="16.5" customHeight="1" thickBot="1" x14ac:dyDescent="0.3">
      <c r="A58" s="1" t="s">
        <v>89</v>
      </c>
      <c r="B58" s="3" t="s">
        <v>90</v>
      </c>
      <c r="C58" s="3" t="s">
        <v>91</v>
      </c>
      <c r="D58" s="3" t="s">
        <v>20</v>
      </c>
      <c r="E58" s="3" t="s">
        <v>21</v>
      </c>
      <c r="F58" s="2">
        <v>44451</v>
      </c>
      <c r="G58" s="4">
        <v>57000</v>
      </c>
      <c r="H58" s="4">
        <v>0.06</v>
      </c>
      <c r="I58" s="2">
        <v>45414</v>
      </c>
      <c r="J58" s="3" t="s">
        <v>22</v>
      </c>
      <c r="K58" s="3" t="s">
        <v>92</v>
      </c>
      <c r="L58" s="4">
        <v>6</v>
      </c>
      <c r="M58" s="4">
        <v>1800</v>
      </c>
      <c r="N58" s="4">
        <v>10800</v>
      </c>
      <c r="O58" s="3" t="s">
        <v>27</v>
      </c>
      <c r="P58" s="1" t="s">
        <v>83</v>
      </c>
      <c r="Q58" s="1" t="str" cm="1">
        <f t="array" ref="Q58">_xlfn.IFS(H58&lt;=0.05,"Average",H58=0.06,"Good",H58&gt;=0.07,"Excellent")</f>
        <v>Good</v>
      </c>
    </row>
    <row r="59" spans="1:17" ht="16.5" customHeight="1" thickBot="1" x14ac:dyDescent="0.3">
      <c r="A59" s="1" t="s">
        <v>93</v>
      </c>
      <c r="B59" s="3" t="s">
        <v>94</v>
      </c>
      <c r="C59" s="3" t="s">
        <v>95</v>
      </c>
      <c r="D59" s="3" t="s">
        <v>64</v>
      </c>
      <c r="E59" s="3" t="s">
        <v>33</v>
      </c>
      <c r="F59" s="2">
        <v>44885</v>
      </c>
      <c r="G59" s="4">
        <v>43000</v>
      </c>
      <c r="H59" s="4">
        <v>0.03</v>
      </c>
      <c r="I59" s="2">
        <v>45416</v>
      </c>
      <c r="J59" s="3" t="s">
        <v>28</v>
      </c>
      <c r="K59" s="3" t="s">
        <v>96</v>
      </c>
      <c r="L59" s="4">
        <v>30</v>
      </c>
      <c r="M59" s="4">
        <v>100</v>
      </c>
      <c r="N59" s="4">
        <v>3000</v>
      </c>
      <c r="O59" s="3" t="s">
        <v>24</v>
      </c>
      <c r="P59" s="1" t="s">
        <v>83</v>
      </c>
      <c r="Q59" s="1" t="str" cm="1">
        <f t="array" ref="Q59">_xlfn.IFS(H59&lt;=0.05,"Average",H59=0.06,"Good",H59&gt;=0.07,"Excellent")</f>
        <v>Average</v>
      </c>
    </row>
    <row r="60" spans="1:17" ht="16.5" customHeight="1" thickBot="1" x14ac:dyDescent="0.3">
      <c r="A60" s="1" t="s">
        <v>97</v>
      </c>
      <c r="B60" s="3" t="s">
        <v>98</v>
      </c>
      <c r="C60" s="3" t="s">
        <v>99</v>
      </c>
      <c r="D60" s="3" t="s">
        <v>20</v>
      </c>
      <c r="E60" s="3" t="s">
        <v>42</v>
      </c>
      <c r="F60" s="2">
        <v>44168</v>
      </c>
      <c r="G60" s="4">
        <v>59000</v>
      </c>
      <c r="H60" s="4">
        <v>7.0000000000000007E-2</v>
      </c>
      <c r="I60" s="2">
        <v>45418</v>
      </c>
      <c r="J60" s="3" t="s">
        <v>22</v>
      </c>
      <c r="K60" s="3" t="s">
        <v>100</v>
      </c>
      <c r="L60" s="4">
        <v>10</v>
      </c>
      <c r="M60" s="4">
        <v>1000</v>
      </c>
      <c r="N60" s="4">
        <v>10000</v>
      </c>
      <c r="O60" s="3" t="s">
        <v>27</v>
      </c>
      <c r="P60" s="1" t="s">
        <v>83</v>
      </c>
      <c r="Q60" s="1" t="str" cm="1">
        <f t="array" ref="Q60">_xlfn.IFS(H60&lt;=0.05,"Average",H60=0.06,"Good",H60&gt;=0.07,"Excellent")</f>
        <v>Excellent</v>
      </c>
    </row>
    <row r="61" spans="1:17" ht="16.5" customHeight="1" thickBot="1" x14ac:dyDescent="0.3">
      <c r="A61" s="1" t="s">
        <v>101</v>
      </c>
      <c r="B61" s="3" t="s">
        <v>102</v>
      </c>
      <c r="C61" s="3" t="s">
        <v>103</v>
      </c>
      <c r="D61" s="3" t="s">
        <v>41</v>
      </c>
      <c r="E61" s="3" t="s">
        <v>21</v>
      </c>
      <c r="F61" s="2">
        <v>45010</v>
      </c>
      <c r="G61" s="4">
        <v>44000</v>
      </c>
      <c r="H61" s="4">
        <v>0.03</v>
      </c>
      <c r="I61" s="2">
        <v>45417</v>
      </c>
      <c r="J61" s="3" t="s">
        <v>28</v>
      </c>
      <c r="K61" s="3" t="s">
        <v>104</v>
      </c>
      <c r="L61" s="4">
        <v>18</v>
      </c>
      <c r="M61" s="4">
        <v>200</v>
      </c>
      <c r="N61" s="4">
        <v>3600</v>
      </c>
      <c r="O61" s="3" t="s">
        <v>27</v>
      </c>
      <c r="P61" s="1" t="s">
        <v>83</v>
      </c>
      <c r="Q61" s="1" t="str" cm="1">
        <f t="array" ref="Q61">_xlfn.IFS(H61&lt;=0.05,"Average",H61=0.06,"Good",H61&gt;=0.07,"Excellent")</f>
        <v>Average</v>
      </c>
    </row>
    <row r="62" spans="1:17" ht="16.5" customHeight="1" thickBot="1" x14ac:dyDescent="0.3">
      <c r="A62" s="1" t="s">
        <v>105</v>
      </c>
      <c r="B62" s="3" t="s">
        <v>106</v>
      </c>
      <c r="C62" s="3" t="s">
        <v>107</v>
      </c>
      <c r="D62" s="3" t="s">
        <v>20</v>
      </c>
      <c r="E62" s="3" t="s">
        <v>33</v>
      </c>
      <c r="F62" s="2">
        <v>44365</v>
      </c>
      <c r="G62" s="4">
        <v>55000</v>
      </c>
      <c r="H62" s="4">
        <v>0.05</v>
      </c>
      <c r="I62" s="2">
        <v>45419</v>
      </c>
      <c r="J62" s="3" t="s">
        <v>36</v>
      </c>
      <c r="K62" s="3" t="s">
        <v>108</v>
      </c>
      <c r="L62" s="4">
        <v>8</v>
      </c>
      <c r="M62" s="4">
        <v>800</v>
      </c>
      <c r="N62" s="4">
        <v>6400</v>
      </c>
      <c r="O62" s="3" t="s">
        <v>24</v>
      </c>
      <c r="P62" s="1" t="s">
        <v>83</v>
      </c>
      <c r="Q62" s="1" t="str" cm="1">
        <f t="array" ref="Q62">_xlfn.IFS(H62&lt;=0.05,"Average",H62=0.06,"Good",H62&gt;=0.07,"Excellent")</f>
        <v>Average</v>
      </c>
    </row>
    <row r="63" spans="1:17" ht="16.5" customHeight="1" thickBot="1" x14ac:dyDescent="0.3">
      <c r="A63" s="1" t="s">
        <v>109</v>
      </c>
      <c r="B63" s="3" t="s">
        <v>110</v>
      </c>
      <c r="C63" s="3" t="s">
        <v>111</v>
      </c>
      <c r="D63" s="3" t="s">
        <v>41</v>
      </c>
      <c r="E63" s="3" t="s">
        <v>42</v>
      </c>
      <c r="F63" s="2">
        <v>44620</v>
      </c>
      <c r="G63" s="4">
        <v>47000</v>
      </c>
      <c r="H63" s="4">
        <v>0.04</v>
      </c>
      <c r="I63" s="2">
        <v>45420</v>
      </c>
      <c r="J63" s="3" t="s">
        <v>22</v>
      </c>
      <c r="K63" s="3" t="s">
        <v>112</v>
      </c>
      <c r="L63" s="4">
        <v>12</v>
      </c>
      <c r="M63" s="4">
        <v>500</v>
      </c>
      <c r="N63" s="4">
        <v>6000</v>
      </c>
      <c r="O63" s="3" t="s">
        <v>27</v>
      </c>
      <c r="P63" s="1" t="s">
        <v>83</v>
      </c>
      <c r="Q63" s="1" t="str" cm="1">
        <f t="array" ref="Q63">_xlfn.IFS(H63&lt;=0.05,"Average",H63=0.06,"Good",H63&gt;=0.07,"Excellent")</f>
        <v>Average</v>
      </c>
    </row>
    <row r="64" spans="1:17" ht="16.5" customHeight="1" thickBot="1" x14ac:dyDescent="0.3">
      <c r="A64" s="1" t="s">
        <v>113</v>
      </c>
      <c r="B64" s="3" t="s">
        <v>114</v>
      </c>
      <c r="C64" s="3" t="s">
        <v>115</v>
      </c>
      <c r="D64" s="3" t="s">
        <v>20</v>
      </c>
      <c r="E64" s="3" t="s">
        <v>21</v>
      </c>
      <c r="F64" s="2">
        <v>44057</v>
      </c>
      <c r="G64" s="4">
        <v>56000</v>
      </c>
      <c r="H64" s="4">
        <v>0.06</v>
      </c>
      <c r="I64" s="2">
        <v>45421</v>
      </c>
      <c r="J64" s="3" t="s">
        <v>28</v>
      </c>
      <c r="K64" s="3" t="s">
        <v>116</v>
      </c>
      <c r="L64" s="4">
        <v>5</v>
      </c>
      <c r="M64" s="4">
        <v>800</v>
      </c>
      <c r="N64" s="4">
        <v>4000</v>
      </c>
      <c r="O64" s="3" t="s">
        <v>24</v>
      </c>
      <c r="P64" s="1" t="s">
        <v>83</v>
      </c>
      <c r="Q64" s="1" t="str" cm="1">
        <f t="array" ref="Q64">_xlfn.IFS(H64&lt;=0.05,"Average",H64=0.06,"Good",H64&gt;=0.07,"Excellent")</f>
        <v>Good</v>
      </c>
    </row>
    <row r="65" spans="1:17" ht="16.5" customHeight="1" thickBot="1" x14ac:dyDescent="0.3">
      <c r="A65" s="1" t="s">
        <v>117</v>
      </c>
      <c r="B65" s="3" t="s">
        <v>118</v>
      </c>
      <c r="C65" s="3" t="s">
        <v>119</v>
      </c>
      <c r="D65" s="3" t="s">
        <v>64</v>
      </c>
      <c r="E65" s="3" t="s">
        <v>42</v>
      </c>
      <c r="F65" s="2">
        <v>45112</v>
      </c>
      <c r="G65" s="4">
        <v>41000</v>
      </c>
      <c r="H65" s="4">
        <v>0.02</v>
      </c>
      <c r="I65" s="2">
        <v>45422</v>
      </c>
      <c r="J65" s="3" t="s">
        <v>28</v>
      </c>
      <c r="K65" s="3" t="s">
        <v>120</v>
      </c>
      <c r="L65" s="4">
        <v>25</v>
      </c>
      <c r="M65" s="4">
        <v>150</v>
      </c>
      <c r="N65" s="4">
        <v>3750</v>
      </c>
      <c r="O65" s="3" t="s">
        <v>24</v>
      </c>
      <c r="P65" s="1" t="s">
        <v>83</v>
      </c>
      <c r="Q65" s="1" t="str" cm="1">
        <f t="array" ref="Q65">_xlfn.IFS(H65&lt;=0.05,"Average",H65=0.06,"Good",H65&gt;=0.07,"Excellent")</f>
        <v>Average</v>
      </c>
    </row>
    <row r="66" spans="1:17" ht="16.5" customHeight="1" thickBot="1" x14ac:dyDescent="0.3">
      <c r="A66" s="1" t="s">
        <v>17</v>
      </c>
      <c r="B66" s="3" t="s">
        <v>18</v>
      </c>
      <c r="C66" s="3" t="s">
        <v>19</v>
      </c>
      <c r="D66" s="3" t="s">
        <v>20</v>
      </c>
      <c r="E66" s="3" t="s">
        <v>21</v>
      </c>
      <c r="F66" s="2">
        <v>44576</v>
      </c>
      <c r="G66" s="4">
        <v>55000</v>
      </c>
      <c r="H66" s="4">
        <v>0.05</v>
      </c>
      <c r="I66" s="2">
        <v>45444</v>
      </c>
      <c r="J66" s="3" t="s">
        <v>22</v>
      </c>
      <c r="K66" s="3" t="s">
        <v>23</v>
      </c>
      <c r="L66" s="4">
        <v>18</v>
      </c>
      <c r="M66" s="4">
        <v>1200</v>
      </c>
      <c r="N66" s="4">
        <v>21600</v>
      </c>
      <c r="O66" s="3" t="s">
        <v>24</v>
      </c>
      <c r="P66" s="1" t="s">
        <v>83</v>
      </c>
      <c r="Q66" s="1" t="str" cm="1">
        <f t="array" ref="Q66">_xlfn.IFS(H66&lt;=0.05,"Average",H66=0.06,"Good",H66&gt;=0.07,"Excellent")</f>
        <v>Average</v>
      </c>
    </row>
    <row r="67" spans="1:17" ht="16.5" customHeight="1" thickBot="1" x14ac:dyDescent="0.3">
      <c r="A67" s="1" t="s">
        <v>30</v>
      </c>
      <c r="B67" s="3" t="s">
        <v>31</v>
      </c>
      <c r="C67" s="3" t="s">
        <v>32</v>
      </c>
      <c r="D67" s="3" t="s">
        <v>20</v>
      </c>
      <c r="E67" s="3" t="s">
        <v>33</v>
      </c>
      <c r="F67" s="2">
        <v>44275</v>
      </c>
      <c r="G67" s="4">
        <v>52000</v>
      </c>
      <c r="H67" s="4">
        <v>0.06</v>
      </c>
      <c r="I67" s="2">
        <v>45446</v>
      </c>
      <c r="J67" s="3" t="s">
        <v>22</v>
      </c>
      <c r="K67" s="3" t="s">
        <v>34</v>
      </c>
      <c r="L67" s="4">
        <v>22</v>
      </c>
      <c r="M67" s="4">
        <v>600</v>
      </c>
      <c r="N67" s="4">
        <v>13200</v>
      </c>
      <c r="O67" s="3" t="s">
        <v>27</v>
      </c>
      <c r="P67" s="1" t="s">
        <v>83</v>
      </c>
      <c r="Q67" s="1" t="str" cm="1">
        <f t="array" ref="Q67">_xlfn.IFS(H67&lt;=0.05,"Average",H67=0.06,"Good",H67&gt;=0.07,"Excellent")</f>
        <v>Good</v>
      </c>
    </row>
    <row r="68" spans="1:17" ht="16.5" customHeight="1" thickBot="1" x14ac:dyDescent="0.3">
      <c r="A68" s="1" t="s">
        <v>38</v>
      </c>
      <c r="B68" s="3" t="s">
        <v>39</v>
      </c>
      <c r="C68" s="3" t="s">
        <v>40</v>
      </c>
      <c r="D68" s="3" t="s">
        <v>41</v>
      </c>
      <c r="E68" s="3" t="s">
        <v>42</v>
      </c>
      <c r="F68" s="2">
        <v>45087</v>
      </c>
      <c r="G68" s="4">
        <v>48000</v>
      </c>
      <c r="H68" s="4">
        <v>0.04</v>
      </c>
      <c r="I68" s="2">
        <v>45445</v>
      </c>
      <c r="J68" s="3" t="s">
        <v>22</v>
      </c>
      <c r="K68" s="3" t="s">
        <v>43</v>
      </c>
      <c r="L68" s="4">
        <v>28</v>
      </c>
      <c r="M68" s="4">
        <v>400</v>
      </c>
      <c r="N68" s="4">
        <v>11200</v>
      </c>
      <c r="O68" s="3" t="s">
        <v>27</v>
      </c>
      <c r="P68" s="1" t="s">
        <v>83</v>
      </c>
      <c r="Q68" s="1" t="str" cm="1">
        <f t="array" ref="Q68">_xlfn.IFS(H68&lt;=0.05,"Average",H68=0.06,"Good",H68&gt;=0.07,"Excellent")</f>
        <v>Average</v>
      </c>
    </row>
    <row r="69" spans="1:17" ht="16.5" customHeight="1" thickBot="1" x14ac:dyDescent="0.3">
      <c r="A69" s="1" t="s">
        <v>45</v>
      </c>
      <c r="B69" s="3" t="s">
        <v>46</v>
      </c>
      <c r="C69" s="3" t="s">
        <v>47</v>
      </c>
      <c r="D69" s="3" t="s">
        <v>20</v>
      </c>
      <c r="E69" s="3" t="s">
        <v>21</v>
      </c>
      <c r="F69" s="2">
        <v>44140</v>
      </c>
      <c r="G69" s="4">
        <v>58000</v>
      </c>
      <c r="H69" s="4">
        <v>7.0000000000000007E-2</v>
      </c>
      <c r="I69" s="2">
        <v>45447</v>
      </c>
      <c r="J69" s="3" t="s">
        <v>22</v>
      </c>
      <c r="K69" s="3" t="s">
        <v>48</v>
      </c>
      <c r="L69" s="4">
        <v>14</v>
      </c>
      <c r="M69" s="4">
        <v>500</v>
      </c>
      <c r="N69" s="4">
        <v>7000</v>
      </c>
      <c r="O69" s="3" t="s">
        <v>27</v>
      </c>
      <c r="P69" s="1" t="s">
        <v>83</v>
      </c>
      <c r="Q69" s="1" t="str" cm="1">
        <f t="array" ref="Q69">_xlfn.IFS(H69&lt;=0.05,"Average",H69=0.06,"Good",H69&gt;=0.07,"Excellent")</f>
        <v>Excellent</v>
      </c>
    </row>
    <row r="70" spans="1:17" ht="16.5" customHeight="1" thickBot="1" x14ac:dyDescent="0.3">
      <c r="A70" s="1" t="s">
        <v>51</v>
      </c>
      <c r="B70" s="3" t="s">
        <v>52</v>
      </c>
      <c r="C70" s="3" t="s">
        <v>53</v>
      </c>
      <c r="D70" s="3" t="s">
        <v>41</v>
      </c>
      <c r="E70" s="3" t="s">
        <v>33</v>
      </c>
      <c r="F70" s="2">
        <v>44785</v>
      </c>
      <c r="G70" s="4">
        <v>45000</v>
      </c>
      <c r="H70" s="4">
        <v>0.03</v>
      </c>
      <c r="I70" s="2">
        <v>45448</v>
      </c>
      <c r="J70" s="3" t="s">
        <v>22</v>
      </c>
      <c r="K70" s="3" t="s">
        <v>54</v>
      </c>
      <c r="L70" s="4">
        <v>45</v>
      </c>
      <c r="M70" s="4">
        <v>200</v>
      </c>
      <c r="N70" s="4">
        <v>9000</v>
      </c>
      <c r="O70" s="3" t="s">
        <v>27</v>
      </c>
      <c r="P70" s="1" t="s">
        <v>83</v>
      </c>
      <c r="Q70" s="1" t="str" cm="1">
        <f t="array" ref="Q70">_xlfn.IFS(H70&lt;=0.05,"Average",H70=0.06,"Good",H70&gt;=0.07,"Excellent")</f>
        <v>Average</v>
      </c>
    </row>
    <row r="71" spans="1:17" ht="16.5" customHeight="1" thickBot="1" x14ac:dyDescent="0.3">
      <c r="A71" s="1" t="s">
        <v>56</v>
      </c>
      <c r="B71" s="3" t="s">
        <v>57</v>
      </c>
      <c r="C71" s="3" t="s">
        <v>58</v>
      </c>
      <c r="D71" s="3" t="s">
        <v>20</v>
      </c>
      <c r="E71" s="3" t="s">
        <v>42</v>
      </c>
      <c r="F71" s="2">
        <v>44531</v>
      </c>
      <c r="G71" s="4">
        <v>54000</v>
      </c>
      <c r="H71" s="4">
        <v>0.05</v>
      </c>
      <c r="I71" s="2">
        <v>45449</v>
      </c>
      <c r="J71" s="3" t="s">
        <v>22</v>
      </c>
      <c r="K71" s="3" t="s">
        <v>59</v>
      </c>
      <c r="L71" s="4">
        <v>13</v>
      </c>
      <c r="M71" s="4">
        <v>1500</v>
      </c>
      <c r="N71" s="4">
        <v>19500</v>
      </c>
      <c r="O71" s="3" t="s">
        <v>24</v>
      </c>
      <c r="P71" s="1" t="s">
        <v>83</v>
      </c>
      <c r="Q71" s="1" t="str" cm="1">
        <f t="array" ref="Q71">_xlfn.IFS(H71&lt;=0.05,"Average",H71=0.06,"Good",H71&gt;=0.07,"Excellent")</f>
        <v>Average</v>
      </c>
    </row>
    <row r="72" spans="1:17" ht="16.5" customHeight="1" thickBot="1" x14ac:dyDescent="0.3">
      <c r="A72" s="1" t="s">
        <v>61</v>
      </c>
      <c r="B72" s="3" t="s">
        <v>62</v>
      </c>
      <c r="C72" s="3" t="s">
        <v>63</v>
      </c>
      <c r="D72" s="3" t="s">
        <v>64</v>
      </c>
      <c r="E72" s="3" t="s">
        <v>21</v>
      </c>
      <c r="F72" s="2">
        <v>44971</v>
      </c>
      <c r="G72" s="4">
        <v>42000</v>
      </c>
      <c r="H72" s="4">
        <v>0.02</v>
      </c>
      <c r="I72" s="2">
        <v>45450</v>
      </c>
      <c r="J72" s="3" t="s">
        <v>28</v>
      </c>
      <c r="K72" s="3" t="s">
        <v>65</v>
      </c>
      <c r="L72" s="4">
        <v>22</v>
      </c>
      <c r="M72" s="4">
        <v>200</v>
      </c>
      <c r="N72" s="4">
        <v>4400</v>
      </c>
      <c r="O72" s="3" t="s">
        <v>24</v>
      </c>
      <c r="P72" s="1" t="s">
        <v>83</v>
      </c>
      <c r="Q72" s="1" t="str" cm="1">
        <f t="array" ref="Q72">_xlfn.IFS(H72&lt;=0.05,"Average",H72=0.06,"Good",H72&gt;=0.07,"Excellent")</f>
        <v>Average</v>
      </c>
    </row>
    <row r="73" spans="1:17" ht="16.5" customHeight="1" thickBot="1" x14ac:dyDescent="0.3">
      <c r="A73" s="1" t="s">
        <v>66</v>
      </c>
      <c r="B73" s="3" t="s">
        <v>67</v>
      </c>
      <c r="C73" s="3" t="s">
        <v>68</v>
      </c>
      <c r="D73" s="3" t="s">
        <v>20</v>
      </c>
      <c r="E73" s="3" t="s">
        <v>33</v>
      </c>
      <c r="F73" s="2">
        <v>44104</v>
      </c>
      <c r="G73" s="4">
        <v>56000</v>
      </c>
      <c r="H73" s="4">
        <v>0.06</v>
      </c>
      <c r="I73" s="2">
        <v>45451</v>
      </c>
      <c r="J73" s="3" t="s">
        <v>22</v>
      </c>
      <c r="K73" s="3" t="s">
        <v>69</v>
      </c>
      <c r="L73" s="4">
        <v>12</v>
      </c>
      <c r="M73" s="4">
        <v>1200</v>
      </c>
      <c r="N73" s="4">
        <v>14400</v>
      </c>
      <c r="O73" s="3" t="s">
        <v>27</v>
      </c>
      <c r="P73" s="1" t="s">
        <v>83</v>
      </c>
      <c r="Q73" s="1" t="str" cm="1">
        <f t="array" ref="Q73">_xlfn.IFS(H73&lt;=0.05,"Average",H73=0.06,"Good",H73&gt;=0.07,"Excellent")</f>
        <v>Good</v>
      </c>
    </row>
    <row r="74" spans="1:17" ht="16.5" customHeight="1" thickBot="1" x14ac:dyDescent="0.3">
      <c r="A74" s="1" t="s">
        <v>71</v>
      </c>
      <c r="B74" s="3" t="s">
        <v>72</v>
      </c>
      <c r="C74" s="3" t="s">
        <v>73</v>
      </c>
      <c r="D74" s="3" t="s">
        <v>41</v>
      </c>
      <c r="E74" s="3" t="s">
        <v>42</v>
      </c>
      <c r="F74" s="2">
        <v>44669</v>
      </c>
      <c r="G74" s="4">
        <v>47000</v>
      </c>
      <c r="H74" s="4">
        <v>0.04</v>
      </c>
      <c r="I74" s="2">
        <v>45452</v>
      </c>
      <c r="J74" s="3" t="s">
        <v>22</v>
      </c>
      <c r="K74" s="3" t="s">
        <v>74</v>
      </c>
      <c r="L74" s="4">
        <v>25</v>
      </c>
      <c r="M74" s="4">
        <v>300</v>
      </c>
      <c r="N74" s="4">
        <v>7500</v>
      </c>
      <c r="O74" s="3" t="s">
        <v>27</v>
      </c>
      <c r="P74" s="1" t="s">
        <v>83</v>
      </c>
      <c r="Q74" s="1" t="str" cm="1">
        <f t="array" ref="Q74">_xlfn.IFS(H74&lt;=0.05,"Average",H74=0.06,"Good",H74&gt;=0.07,"Excellent")</f>
        <v>Average</v>
      </c>
    </row>
    <row r="75" spans="1:17" ht="16.5" customHeight="1" thickBot="1" x14ac:dyDescent="0.3">
      <c r="A75" s="1" t="s">
        <v>75</v>
      </c>
      <c r="B75" s="3" t="s">
        <v>76</v>
      </c>
      <c r="C75" s="3" t="s">
        <v>77</v>
      </c>
      <c r="D75" s="3" t="s">
        <v>20</v>
      </c>
      <c r="E75" s="3" t="s">
        <v>21</v>
      </c>
      <c r="F75" s="2">
        <v>44399</v>
      </c>
      <c r="G75" s="4">
        <v>53000</v>
      </c>
      <c r="H75" s="4">
        <v>0.05</v>
      </c>
      <c r="I75" s="2">
        <v>45453</v>
      </c>
      <c r="J75" s="3" t="s">
        <v>28</v>
      </c>
      <c r="K75" s="3" t="s">
        <v>78</v>
      </c>
      <c r="L75" s="4">
        <v>15</v>
      </c>
      <c r="M75" s="4">
        <v>400</v>
      </c>
      <c r="N75" s="4">
        <v>6000</v>
      </c>
      <c r="O75" s="3" t="s">
        <v>24</v>
      </c>
      <c r="P75" s="1" t="s">
        <v>83</v>
      </c>
      <c r="Q75" s="1" t="str" cm="1">
        <f t="array" ref="Q75">_xlfn.IFS(H75&lt;=0.05,"Average",H75=0.06,"Good",H75&gt;=0.07,"Excellent")</f>
        <v>Average</v>
      </c>
    </row>
    <row r="76" spans="1:17" ht="16.5" customHeight="1" thickBot="1" x14ac:dyDescent="0.3">
      <c r="A76" s="1" t="s">
        <v>121</v>
      </c>
      <c r="B76" s="3" t="s">
        <v>122</v>
      </c>
      <c r="C76" s="3" t="s">
        <v>106</v>
      </c>
      <c r="D76" s="3" t="s">
        <v>20</v>
      </c>
      <c r="E76" s="3" t="s">
        <v>33</v>
      </c>
      <c r="F76" s="2">
        <v>44630</v>
      </c>
      <c r="G76" s="4">
        <v>54000</v>
      </c>
      <c r="H76" s="4">
        <v>0.05</v>
      </c>
      <c r="I76" s="2">
        <v>45474</v>
      </c>
      <c r="J76" s="3" t="s">
        <v>22</v>
      </c>
      <c r="K76" s="3" t="s">
        <v>123</v>
      </c>
      <c r="L76" s="4">
        <v>16</v>
      </c>
      <c r="M76" s="4">
        <v>250</v>
      </c>
      <c r="N76" s="4">
        <v>4000</v>
      </c>
      <c r="O76" s="3" t="s">
        <v>27</v>
      </c>
      <c r="P76" s="1" t="s">
        <v>124</v>
      </c>
      <c r="Q76" s="1" t="str" cm="1">
        <f t="array" ref="Q76">_xlfn.IFS(H76&lt;=0.05,"Average",H76=0.06,"Good",H76&gt;=0.07,"Excellent")</f>
        <v>Average</v>
      </c>
    </row>
    <row r="77" spans="1:17" ht="16.5" customHeight="1" thickBot="1" x14ac:dyDescent="0.3">
      <c r="A77" s="1" t="s">
        <v>125</v>
      </c>
      <c r="B77" s="3" t="s">
        <v>126</v>
      </c>
      <c r="C77" s="3" t="s">
        <v>127</v>
      </c>
      <c r="D77" s="3" t="s">
        <v>41</v>
      </c>
      <c r="E77" s="3" t="s">
        <v>42</v>
      </c>
      <c r="F77" s="2">
        <v>44522</v>
      </c>
      <c r="G77" s="4">
        <v>46000</v>
      </c>
      <c r="H77" s="4">
        <v>0.04</v>
      </c>
      <c r="I77" s="2">
        <v>45475</v>
      </c>
      <c r="J77" s="3" t="s">
        <v>28</v>
      </c>
      <c r="K77" s="3" t="s">
        <v>128</v>
      </c>
      <c r="L77" s="4">
        <v>12</v>
      </c>
      <c r="M77" s="4">
        <v>300</v>
      </c>
      <c r="N77" s="4">
        <v>3600</v>
      </c>
      <c r="O77" s="3" t="s">
        <v>24</v>
      </c>
      <c r="P77" s="1" t="s">
        <v>124</v>
      </c>
      <c r="Q77" s="1" t="str" cm="1">
        <f t="array" ref="Q77">_xlfn.IFS(H77&lt;=0.05,"Average",H77=0.06,"Good",H77&gt;=0.07,"Excellent")</f>
        <v>Average</v>
      </c>
    </row>
    <row r="78" spans="1:17" ht="16.5" customHeight="1" thickBot="1" x14ac:dyDescent="0.3">
      <c r="A78" s="1" t="s">
        <v>129</v>
      </c>
      <c r="B78" s="3" t="s">
        <v>130</v>
      </c>
      <c r="C78" s="3" t="s">
        <v>131</v>
      </c>
      <c r="D78" s="3" t="s">
        <v>20</v>
      </c>
      <c r="E78" s="3" t="s">
        <v>21</v>
      </c>
      <c r="F78" s="2">
        <v>44020</v>
      </c>
      <c r="G78" s="4">
        <v>58000</v>
      </c>
      <c r="H78" s="4">
        <v>0.06</v>
      </c>
      <c r="I78" s="2">
        <v>45476</v>
      </c>
      <c r="J78" s="3" t="s">
        <v>36</v>
      </c>
      <c r="K78" s="3" t="s">
        <v>132</v>
      </c>
      <c r="L78" s="4">
        <v>2</v>
      </c>
      <c r="M78" s="4">
        <v>3000</v>
      </c>
      <c r="N78" s="4">
        <v>6000</v>
      </c>
      <c r="O78" s="3" t="s">
        <v>24</v>
      </c>
      <c r="P78" s="1" t="s">
        <v>124</v>
      </c>
      <c r="Q78" s="1" t="str" cm="1">
        <f t="array" ref="Q78">_xlfn.IFS(H78&lt;=0.05,"Average",H78=0.06,"Good",H78&gt;=0.07,"Excellent")</f>
        <v>Good</v>
      </c>
    </row>
    <row r="79" spans="1:17" ht="16.5" customHeight="1" thickBot="1" x14ac:dyDescent="0.3">
      <c r="A79" s="1" t="s">
        <v>133</v>
      </c>
      <c r="B79" s="3" t="s">
        <v>134</v>
      </c>
      <c r="C79" s="3" t="s">
        <v>135</v>
      </c>
      <c r="D79" s="3" t="s">
        <v>64</v>
      </c>
      <c r="E79" s="3" t="s">
        <v>42</v>
      </c>
      <c r="F79" s="2">
        <v>45031</v>
      </c>
      <c r="G79" s="4">
        <v>42000</v>
      </c>
      <c r="H79" s="4">
        <v>0.03</v>
      </c>
      <c r="I79" s="2">
        <v>45477</v>
      </c>
      <c r="J79" s="3" t="s">
        <v>28</v>
      </c>
      <c r="K79" s="3" t="s">
        <v>136</v>
      </c>
      <c r="L79" s="4">
        <v>18</v>
      </c>
      <c r="M79" s="4">
        <v>180</v>
      </c>
      <c r="N79" s="4">
        <v>3240</v>
      </c>
      <c r="O79" s="3" t="s">
        <v>24</v>
      </c>
      <c r="P79" s="1" t="s">
        <v>124</v>
      </c>
      <c r="Q79" s="1" t="str" cm="1">
        <f t="array" ref="Q79">_xlfn.IFS(H79&lt;=0.05,"Average",H79=0.06,"Good",H79&gt;=0.07,"Excellent")</f>
        <v>Average</v>
      </c>
    </row>
    <row r="80" spans="1:17" ht="16.5" customHeight="1" thickBot="1" x14ac:dyDescent="0.3">
      <c r="A80" s="1" t="s">
        <v>137</v>
      </c>
      <c r="B80" s="3" t="s">
        <v>138</v>
      </c>
      <c r="C80" s="3" t="s">
        <v>139</v>
      </c>
      <c r="D80" s="3" t="s">
        <v>20</v>
      </c>
      <c r="E80" s="3" t="s">
        <v>33</v>
      </c>
      <c r="F80" s="2">
        <v>44438</v>
      </c>
      <c r="G80" s="4">
        <v>55000</v>
      </c>
      <c r="H80" s="4">
        <v>0.05</v>
      </c>
      <c r="I80" s="2">
        <v>45478</v>
      </c>
      <c r="J80" s="3" t="s">
        <v>22</v>
      </c>
      <c r="K80" s="3" t="s">
        <v>140</v>
      </c>
      <c r="L80" s="4">
        <v>20</v>
      </c>
      <c r="M80" s="4">
        <v>350</v>
      </c>
      <c r="N80" s="4">
        <v>7000</v>
      </c>
      <c r="O80" s="3" t="s">
        <v>27</v>
      </c>
      <c r="P80" s="1" t="s">
        <v>124</v>
      </c>
      <c r="Q80" s="1" t="str" cm="1">
        <f t="array" ref="Q80">_xlfn.IFS(H80&lt;=0.05,"Average",H80=0.06,"Good",H80&gt;=0.07,"Excellent")</f>
        <v>Average</v>
      </c>
    </row>
    <row r="81" spans="1:17" ht="16.5" customHeight="1" thickBot="1" x14ac:dyDescent="0.3">
      <c r="A81" s="1" t="s">
        <v>121</v>
      </c>
      <c r="B81" s="3" t="s">
        <v>122</v>
      </c>
      <c r="C81" s="3" t="s">
        <v>106</v>
      </c>
      <c r="D81" s="3" t="s">
        <v>20</v>
      </c>
      <c r="E81" s="3" t="s">
        <v>33</v>
      </c>
      <c r="F81" s="2">
        <v>44630</v>
      </c>
      <c r="G81" s="4">
        <v>54000</v>
      </c>
      <c r="H81" s="4">
        <v>0.05</v>
      </c>
      <c r="I81" s="2">
        <v>45505</v>
      </c>
      <c r="J81" s="3" t="s">
        <v>22</v>
      </c>
      <c r="K81" s="3" t="s">
        <v>123</v>
      </c>
      <c r="L81" s="4">
        <v>18</v>
      </c>
      <c r="M81" s="4">
        <v>250</v>
      </c>
      <c r="N81" s="4">
        <v>4500</v>
      </c>
      <c r="O81" s="3" t="s">
        <v>27</v>
      </c>
      <c r="P81" s="1" t="s">
        <v>124</v>
      </c>
      <c r="Q81" s="1" t="str" cm="1">
        <f t="array" ref="Q81">_xlfn.IFS(H81&lt;=0.05,"Average",H81=0.06,"Good",H81&gt;=0.07,"Excellent")</f>
        <v>Average</v>
      </c>
    </row>
    <row r="82" spans="1:17" ht="16.5" customHeight="1" thickBot="1" x14ac:dyDescent="0.3">
      <c r="A82" s="1" t="s">
        <v>125</v>
      </c>
      <c r="B82" s="3" t="s">
        <v>126</v>
      </c>
      <c r="C82" s="3" t="s">
        <v>127</v>
      </c>
      <c r="D82" s="3" t="s">
        <v>41</v>
      </c>
      <c r="E82" s="3" t="s">
        <v>42</v>
      </c>
      <c r="F82" s="2">
        <v>44522</v>
      </c>
      <c r="G82" s="4">
        <v>46000</v>
      </c>
      <c r="H82" s="4">
        <v>0.04</v>
      </c>
      <c r="I82" s="2">
        <v>45506</v>
      </c>
      <c r="J82" s="3" t="s">
        <v>28</v>
      </c>
      <c r="K82" s="3" t="s">
        <v>128</v>
      </c>
      <c r="L82" s="4">
        <v>14</v>
      </c>
      <c r="M82" s="4">
        <v>300</v>
      </c>
      <c r="N82" s="4">
        <v>4200</v>
      </c>
      <c r="O82" s="3" t="s">
        <v>24</v>
      </c>
      <c r="P82" s="1" t="s">
        <v>124</v>
      </c>
      <c r="Q82" s="1" t="str" cm="1">
        <f t="array" ref="Q82">_xlfn.IFS(H82&lt;=0.05,"Average",H82=0.06,"Good",H82&gt;=0.07,"Excellent")</f>
        <v>Average</v>
      </c>
    </row>
    <row r="83" spans="1:17" ht="16.5" customHeight="1" thickBot="1" x14ac:dyDescent="0.3">
      <c r="A83" s="1" t="s">
        <v>129</v>
      </c>
      <c r="B83" s="3" t="s">
        <v>130</v>
      </c>
      <c r="C83" s="3" t="s">
        <v>131</v>
      </c>
      <c r="D83" s="3" t="s">
        <v>20</v>
      </c>
      <c r="E83" s="3" t="s">
        <v>21</v>
      </c>
      <c r="F83" s="2">
        <v>44020</v>
      </c>
      <c r="G83" s="4">
        <v>58000</v>
      </c>
      <c r="H83" s="4">
        <v>0.06</v>
      </c>
      <c r="I83" s="2">
        <v>45507</v>
      </c>
      <c r="J83" s="3" t="s">
        <v>36</v>
      </c>
      <c r="K83" s="3" t="s">
        <v>132</v>
      </c>
      <c r="L83" s="4">
        <v>3</v>
      </c>
      <c r="M83" s="4">
        <v>3000</v>
      </c>
      <c r="N83" s="4">
        <v>9000</v>
      </c>
      <c r="O83" s="3" t="s">
        <v>24</v>
      </c>
      <c r="P83" s="1" t="s">
        <v>124</v>
      </c>
      <c r="Q83" s="1" t="str" cm="1">
        <f t="array" ref="Q83">_xlfn.IFS(H83&lt;=0.05,"Average",H83=0.06,"Good",H83&gt;=0.07,"Excellent")</f>
        <v>Good</v>
      </c>
    </row>
    <row r="84" spans="1:17" ht="16.5" customHeight="1" thickBot="1" x14ac:dyDescent="0.3">
      <c r="A84" s="1" t="s">
        <v>133</v>
      </c>
      <c r="B84" s="3" t="s">
        <v>134</v>
      </c>
      <c r="C84" s="3" t="s">
        <v>135</v>
      </c>
      <c r="D84" s="3" t="s">
        <v>64</v>
      </c>
      <c r="E84" s="3" t="s">
        <v>42</v>
      </c>
      <c r="F84" s="2">
        <v>45031</v>
      </c>
      <c r="G84" s="4">
        <v>42000</v>
      </c>
      <c r="H84" s="4">
        <v>0.03</v>
      </c>
      <c r="I84" s="2">
        <v>45508</v>
      </c>
      <c r="J84" s="3" t="s">
        <v>28</v>
      </c>
      <c r="K84" s="3" t="s">
        <v>136</v>
      </c>
      <c r="L84" s="4">
        <v>20</v>
      </c>
      <c r="M84" s="4">
        <v>180</v>
      </c>
      <c r="N84" s="4">
        <v>3600</v>
      </c>
      <c r="O84" s="3" t="s">
        <v>24</v>
      </c>
      <c r="P84" s="1" t="s">
        <v>124</v>
      </c>
      <c r="Q84" s="1" t="str" cm="1">
        <f t="array" ref="Q84">_xlfn.IFS(H84&lt;=0.05,"Average",H84=0.06,"Good",H84&gt;=0.07,"Excellent")</f>
        <v>Average</v>
      </c>
    </row>
    <row r="85" spans="1:17" ht="16.5" customHeight="1" thickBot="1" x14ac:dyDescent="0.3">
      <c r="A85" s="1" t="s">
        <v>137</v>
      </c>
      <c r="B85" s="3" t="s">
        <v>138</v>
      </c>
      <c r="C85" s="3" t="s">
        <v>139</v>
      </c>
      <c r="D85" s="3" t="s">
        <v>20</v>
      </c>
      <c r="E85" s="3" t="s">
        <v>33</v>
      </c>
      <c r="F85" s="2">
        <v>44438</v>
      </c>
      <c r="G85" s="4">
        <v>55000</v>
      </c>
      <c r="H85" s="4">
        <v>0.05</v>
      </c>
      <c r="I85" s="2">
        <v>45509</v>
      </c>
      <c r="J85" s="3" t="s">
        <v>22</v>
      </c>
      <c r="K85" s="3" t="s">
        <v>140</v>
      </c>
      <c r="L85" s="4">
        <v>22</v>
      </c>
      <c r="M85" s="4">
        <v>350</v>
      </c>
      <c r="N85" s="4">
        <v>7700</v>
      </c>
      <c r="O85" s="3" t="s">
        <v>27</v>
      </c>
      <c r="P85" s="1" t="s">
        <v>124</v>
      </c>
      <c r="Q85" s="1" t="str" cm="1">
        <f t="array" ref="Q85">_xlfn.IFS(H85&lt;=0.05,"Average",H85=0.06,"Good",H85&gt;=0.07,"Excellent")</f>
        <v>Average</v>
      </c>
    </row>
    <row r="86" spans="1:17" ht="16.5" customHeight="1" thickBot="1" x14ac:dyDescent="0.3">
      <c r="A86" s="1" t="s">
        <v>17</v>
      </c>
      <c r="B86" s="3" t="s">
        <v>18</v>
      </c>
      <c r="C86" s="3" t="s">
        <v>19</v>
      </c>
      <c r="D86" s="3" t="s">
        <v>20</v>
      </c>
      <c r="E86" s="3" t="s">
        <v>21</v>
      </c>
      <c r="F86" s="2">
        <v>44576</v>
      </c>
      <c r="G86" s="4">
        <v>55000</v>
      </c>
      <c r="H86" s="4">
        <v>0.05</v>
      </c>
      <c r="I86" s="2">
        <v>45536</v>
      </c>
      <c r="J86" s="3" t="s">
        <v>22</v>
      </c>
      <c r="K86" s="3" t="s">
        <v>23</v>
      </c>
      <c r="L86" s="4">
        <v>20</v>
      </c>
      <c r="M86" s="4">
        <v>1200</v>
      </c>
      <c r="N86" s="4">
        <v>24000</v>
      </c>
      <c r="O86" s="3" t="s">
        <v>24</v>
      </c>
      <c r="P86" s="1" t="s">
        <v>124</v>
      </c>
      <c r="Q86" s="1" t="str" cm="1">
        <f t="array" ref="Q86">_xlfn.IFS(H86&lt;=0.05,"Average",H86=0.06,"Good",H86&gt;=0.07,"Excellent")</f>
        <v>Average</v>
      </c>
    </row>
    <row r="87" spans="1:17" ht="16.5" customHeight="1" thickBot="1" x14ac:dyDescent="0.3">
      <c r="A87" s="1" t="s">
        <v>30</v>
      </c>
      <c r="B87" s="3" t="s">
        <v>31</v>
      </c>
      <c r="C87" s="3" t="s">
        <v>32</v>
      </c>
      <c r="D87" s="3" t="s">
        <v>20</v>
      </c>
      <c r="E87" s="3" t="s">
        <v>33</v>
      </c>
      <c r="F87" s="2">
        <v>44275</v>
      </c>
      <c r="G87" s="4">
        <v>52000</v>
      </c>
      <c r="H87" s="4">
        <v>0.06</v>
      </c>
      <c r="I87" s="2">
        <v>45537</v>
      </c>
      <c r="J87" s="3" t="s">
        <v>22</v>
      </c>
      <c r="K87" s="3" t="s">
        <v>34</v>
      </c>
      <c r="L87" s="4">
        <v>25</v>
      </c>
      <c r="M87" s="4">
        <v>600</v>
      </c>
      <c r="N87" s="4">
        <v>15000</v>
      </c>
      <c r="O87" s="3" t="s">
        <v>27</v>
      </c>
      <c r="P87" s="1" t="s">
        <v>124</v>
      </c>
      <c r="Q87" s="1" t="str" cm="1">
        <f t="array" ref="Q87">_xlfn.IFS(H87&lt;=0.05,"Average",H87=0.06,"Good",H87&gt;=0.07,"Excellent")</f>
        <v>Good</v>
      </c>
    </row>
    <row r="88" spans="1:17" ht="16.5" customHeight="1" thickBot="1" x14ac:dyDescent="0.3">
      <c r="A88" s="1" t="s">
        <v>38</v>
      </c>
      <c r="B88" s="3" t="s">
        <v>39</v>
      </c>
      <c r="C88" s="3" t="s">
        <v>40</v>
      </c>
      <c r="D88" s="3" t="s">
        <v>41</v>
      </c>
      <c r="E88" s="3" t="s">
        <v>42</v>
      </c>
      <c r="F88" s="2">
        <v>45087</v>
      </c>
      <c r="G88" s="4">
        <v>48000</v>
      </c>
      <c r="H88" s="4">
        <v>0.04</v>
      </c>
      <c r="I88" s="2">
        <v>45538</v>
      </c>
      <c r="J88" s="3" t="s">
        <v>22</v>
      </c>
      <c r="K88" s="3" t="s">
        <v>43</v>
      </c>
      <c r="L88" s="4">
        <v>30</v>
      </c>
      <c r="M88" s="4">
        <v>400</v>
      </c>
      <c r="N88" s="4">
        <v>12000</v>
      </c>
      <c r="O88" s="3" t="s">
        <v>27</v>
      </c>
      <c r="P88" s="1" t="s">
        <v>124</v>
      </c>
      <c r="Q88" s="1" t="str" cm="1">
        <f t="array" ref="Q88">_xlfn.IFS(H88&lt;=0.05,"Average",H88=0.06,"Good",H88&gt;=0.07,"Excellent")</f>
        <v>Average</v>
      </c>
    </row>
    <row r="89" spans="1:17" ht="16.5" customHeight="1" thickBot="1" x14ac:dyDescent="0.3">
      <c r="A89" s="1" t="s">
        <v>45</v>
      </c>
      <c r="B89" s="3" t="s">
        <v>46</v>
      </c>
      <c r="C89" s="3" t="s">
        <v>47</v>
      </c>
      <c r="D89" s="3" t="s">
        <v>20</v>
      </c>
      <c r="E89" s="3" t="s">
        <v>21</v>
      </c>
      <c r="F89" s="2">
        <v>44140</v>
      </c>
      <c r="G89" s="4">
        <v>58000</v>
      </c>
      <c r="H89" s="4">
        <v>7.0000000000000007E-2</v>
      </c>
      <c r="I89" s="2">
        <v>45539</v>
      </c>
      <c r="J89" s="3" t="s">
        <v>22</v>
      </c>
      <c r="K89" s="3" t="s">
        <v>48</v>
      </c>
      <c r="L89" s="4">
        <v>16</v>
      </c>
      <c r="M89" s="4">
        <v>500</v>
      </c>
      <c r="N89" s="4">
        <v>8000</v>
      </c>
      <c r="O89" s="3" t="s">
        <v>27</v>
      </c>
      <c r="P89" s="1" t="s">
        <v>124</v>
      </c>
      <c r="Q89" s="1" t="str" cm="1">
        <f t="array" ref="Q89">_xlfn.IFS(H89&lt;=0.05,"Average",H89=0.06,"Good",H89&gt;=0.07,"Excellent")</f>
        <v>Excellent</v>
      </c>
    </row>
    <row r="90" spans="1:17" ht="16.5" customHeight="1" thickBot="1" x14ac:dyDescent="0.3">
      <c r="A90" s="1" t="s">
        <v>51</v>
      </c>
      <c r="B90" s="3" t="s">
        <v>52</v>
      </c>
      <c r="C90" s="3" t="s">
        <v>53</v>
      </c>
      <c r="D90" s="3" t="s">
        <v>41</v>
      </c>
      <c r="E90" s="3" t="s">
        <v>33</v>
      </c>
      <c r="F90" s="2">
        <v>44785</v>
      </c>
      <c r="G90" s="4">
        <v>45000</v>
      </c>
      <c r="H90" s="4">
        <v>0.03</v>
      </c>
      <c r="I90" s="2">
        <v>45540</v>
      </c>
      <c r="J90" s="3" t="s">
        <v>22</v>
      </c>
      <c r="K90" s="3" t="s">
        <v>54</v>
      </c>
      <c r="L90" s="4">
        <v>50</v>
      </c>
      <c r="M90" s="4">
        <v>200</v>
      </c>
      <c r="N90" s="4">
        <v>10000</v>
      </c>
      <c r="O90" s="3" t="s">
        <v>27</v>
      </c>
      <c r="P90" s="1" t="s">
        <v>124</v>
      </c>
      <c r="Q90" s="1" t="str" cm="1">
        <f t="array" ref="Q90">_xlfn.IFS(H90&lt;=0.05,"Average",H90=0.06,"Good",H90&gt;=0.07,"Excellent")</f>
        <v>Average</v>
      </c>
    </row>
    <row r="91" spans="1:17" ht="16.5" customHeight="1" thickBot="1" x14ac:dyDescent="0.3">
      <c r="A91" s="1" t="s">
        <v>56</v>
      </c>
      <c r="B91" s="3" t="s">
        <v>57</v>
      </c>
      <c r="C91" s="3" t="s">
        <v>58</v>
      </c>
      <c r="D91" s="3" t="s">
        <v>20</v>
      </c>
      <c r="E91" s="3" t="s">
        <v>42</v>
      </c>
      <c r="F91" s="2">
        <v>44531</v>
      </c>
      <c r="G91" s="4">
        <v>54000</v>
      </c>
      <c r="H91" s="4">
        <v>0.05</v>
      </c>
      <c r="I91" s="2">
        <v>45541</v>
      </c>
      <c r="J91" s="3" t="s">
        <v>22</v>
      </c>
      <c r="K91" s="3" t="s">
        <v>59</v>
      </c>
      <c r="L91" s="4">
        <v>15</v>
      </c>
      <c r="M91" s="4">
        <v>1500</v>
      </c>
      <c r="N91" s="4">
        <v>22500</v>
      </c>
      <c r="O91" s="3" t="s">
        <v>24</v>
      </c>
      <c r="P91" s="1" t="s">
        <v>124</v>
      </c>
      <c r="Q91" s="1" t="str" cm="1">
        <f t="array" ref="Q91">_xlfn.IFS(H91&lt;=0.05,"Average",H91=0.06,"Good",H91&gt;=0.07,"Excellent")</f>
        <v>Average</v>
      </c>
    </row>
    <row r="92" spans="1:17" ht="16.5" customHeight="1" thickBot="1" x14ac:dyDescent="0.3">
      <c r="A92" s="1" t="s">
        <v>61</v>
      </c>
      <c r="B92" s="3" t="s">
        <v>62</v>
      </c>
      <c r="C92" s="3" t="s">
        <v>63</v>
      </c>
      <c r="D92" s="3" t="s">
        <v>64</v>
      </c>
      <c r="E92" s="3" t="s">
        <v>21</v>
      </c>
      <c r="F92" s="2">
        <v>44971</v>
      </c>
      <c r="G92" s="4">
        <v>42000</v>
      </c>
      <c r="H92" s="4">
        <v>0.02</v>
      </c>
      <c r="I92" s="2">
        <v>45542</v>
      </c>
      <c r="J92" s="3" t="s">
        <v>28</v>
      </c>
      <c r="K92" s="3" t="s">
        <v>65</v>
      </c>
      <c r="L92" s="4">
        <v>25</v>
      </c>
      <c r="M92" s="4">
        <v>200</v>
      </c>
      <c r="N92" s="4">
        <v>5000</v>
      </c>
      <c r="O92" s="3" t="s">
        <v>24</v>
      </c>
      <c r="P92" s="1" t="s">
        <v>124</v>
      </c>
      <c r="Q92" s="1" t="str" cm="1">
        <f t="array" ref="Q92">_xlfn.IFS(H92&lt;=0.05,"Average",H92=0.06,"Good",H92&gt;=0.07,"Excellent")</f>
        <v>Average</v>
      </c>
    </row>
    <row r="93" spans="1:17" ht="16.5" customHeight="1" thickBot="1" x14ac:dyDescent="0.3">
      <c r="A93" s="1" t="s">
        <v>66</v>
      </c>
      <c r="B93" s="3" t="s">
        <v>67</v>
      </c>
      <c r="C93" s="3" t="s">
        <v>68</v>
      </c>
      <c r="D93" s="3" t="s">
        <v>20</v>
      </c>
      <c r="E93" s="3" t="s">
        <v>33</v>
      </c>
      <c r="F93" s="2">
        <v>44104</v>
      </c>
      <c r="G93" s="4">
        <v>56000</v>
      </c>
      <c r="H93" s="4">
        <v>0.06</v>
      </c>
      <c r="I93" s="2">
        <v>45543</v>
      </c>
      <c r="J93" s="3" t="s">
        <v>22</v>
      </c>
      <c r="K93" s="3" t="s">
        <v>69</v>
      </c>
      <c r="L93" s="4">
        <v>14</v>
      </c>
      <c r="M93" s="4">
        <v>1200</v>
      </c>
      <c r="N93" s="4">
        <v>16800</v>
      </c>
      <c r="O93" s="3" t="s">
        <v>27</v>
      </c>
      <c r="P93" s="1" t="s">
        <v>124</v>
      </c>
      <c r="Q93" s="1" t="str" cm="1">
        <f t="array" ref="Q93">_xlfn.IFS(H93&lt;=0.05,"Average",H93=0.06,"Good",H93&gt;=0.07,"Excellent")</f>
        <v>Good</v>
      </c>
    </row>
    <row r="94" spans="1:17" ht="16.5" customHeight="1" thickBot="1" x14ac:dyDescent="0.3">
      <c r="A94" s="1" t="s">
        <v>71</v>
      </c>
      <c r="B94" s="3" t="s">
        <v>72</v>
      </c>
      <c r="C94" s="3" t="s">
        <v>73</v>
      </c>
      <c r="D94" s="3" t="s">
        <v>41</v>
      </c>
      <c r="E94" s="3" t="s">
        <v>42</v>
      </c>
      <c r="F94" s="2">
        <v>44669</v>
      </c>
      <c r="G94" s="4">
        <v>47000</v>
      </c>
      <c r="H94" s="4">
        <v>0.04</v>
      </c>
      <c r="I94" s="2">
        <v>45544</v>
      </c>
      <c r="J94" s="3" t="s">
        <v>22</v>
      </c>
      <c r="K94" s="3" t="s">
        <v>74</v>
      </c>
      <c r="L94" s="4">
        <v>28</v>
      </c>
      <c r="M94" s="4">
        <v>300</v>
      </c>
      <c r="N94" s="4">
        <v>8400</v>
      </c>
      <c r="O94" s="3" t="s">
        <v>27</v>
      </c>
      <c r="P94" s="1" t="s">
        <v>124</v>
      </c>
      <c r="Q94" s="1" t="str" cm="1">
        <f t="array" ref="Q94">_xlfn.IFS(H94&lt;=0.05,"Average",H94=0.06,"Good",H94&gt;=0.07,"Excellent")</f>
        <v>Average</v>
      </c>
    </row>
    <row r="95" spans="1:17" ht="16.5" customHeight="1" thickBot="1" x14ac:dyDescent="0.3">
      <c r="A95" s="1" t="s">
        <v>75</v>
      </c>
      <c r="B95" s="3" t="s">
        <v>76</v>
      </c>
      <c r="C95" s="3" t="s">
        <v>77</v>
      </c>
      <c r="D95" s="3" t="s">
        <v>20</v>
      </c>
      <c r="E95" s="3" t="s">
        <v>21</v>
      </c>
      <c r="F95" s="2">
        <v>44399</v>
      </c>
      <c r="G95" s="4">
        <v>53000</v>
      </c>
      <c r="H95" s="4">
        <v>0.05</v>
      </c>
      <c r="I95" s="2">
        <v>45545</v>
      </c>
      <c r="J95" s="3" t="s">
        <v>28</v>
      </c>
      <c r="K95" s="3" t="s">
        <v>78</v>
      </c>
      <c r="L95" s="4">
        <v>17</v>
      </c>
      <c r="M95" s="4">
        <v>400</v>
      </c>
      <c r="N95" s="4">
        <v>6800</v>
      </c>
      <c r="O95" s="3" t="s">
        <v>24</v>
      </c>
      <c r="P95" s="1" t="s">
        <v>124</v>
      </c>
      <c r="Q95" s="1" t="str" cm="1">
        <f t="array" ref="Q95">_xlfn.IFS(H95&lt;=0.05,"Average",H95=0.06,"Good",H95&gt;=0.07,"Excellent")</f>
        <v>Average</v>
      </c>
    </row>
  </sheetData>
  <mergeCells count="3">
    <mergeCell ref="S3:T3"/>
    <mergeCell ref="S6:T6"/>
    <mergeCell ref="S9:T9"/>
  </mergeCells>
  <conditionalFormatting sqref="Q2:Q95">
    <cfRule type="cellIs" dxfId="30" priority="1" operator="equal">
      <formula>$Q$28</formula>
    </cfRule>
    <cfRule type="cellIs" dxfId="29" priority="2" operator="equal">
      <formula>$Q$6</formula>
    </cfRule>
    <cfRule type="cellIs" dxfId="28" priority="3" operator="equal">
      <formula>$Q$3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25A8-6DBD-483B-8748-FEEF03C092ED}">
  <sheetPr>
    <tabColor theme="5" tint="-0.499984740745262"/>
  </sheetPr>
  <dimension ref="D2:K4"/>
  <sheetViews>
    <sheetView showGridLines="0" tabSelected="1" workbookViewId="0">
      <selection activeCell="E107" sqref="E107"/>
    </sheetView>
  </sheetViews>
  <sheetFormatPr defaultColWidth="10.85546875" defaultRowHeight="15" x14ac:dyDescent="0.25"/>
  <cols>
    <col min="1" max="16384" width="10.85546875" style="10"/>
  </cols>
  <sheetData>
    <row r="2" spans="4:11" x14ac:dyDescent="0.25">
      <c r="D2" s="8" t="s">
        <v>148</v>
      </c>
      <c r="E2" s="8"/>
      <c r="G2" s="8" t="s">
        <v>149</v>
      </c>
      <c r="H2" s="8"/>
      <c r="J2" s="8" t="s">
        <v>150</v>
      </c>
      <c r="K2" s="8"/>
    </row>
    <row r="3" spans="4:11" x14ac:dyDescent="0.25">
      <c r="D3" s="8"/>
      <c r="E3" s="8"/>
      <c r="G3" s="8"/>
      <c r="H3" s="8"/>
      <c r="J3" s="8"/>
      <c r="K3" s="8"/>
    </row>
    <row r="4" spans="4:11" ht="18.75" x14ac:dyDescent="0.25">
      <c r="D4" s="9">
        <f>SUM(Data!N2:N95)</f>
        <v>789890</v>
      </c>
      <c r="E4" s="9"/>
      <c r="G4" s="9">
        <f>SUM(Data!L2:L95)</f>
        <v>1522</v>
      </c>
      <c r="H4" s="9"/>
      <c r="J4" s="9">
        <v>3</v>
      </c>
      <c r="K4" s="9"/>
    </row>
  </sheetData>
  <mergeCells count="6">
    <mergeCell ref="D4:E4"/>
    <mergeCell ref="G2:H3"/>
    <mergeCell ref="D2:E3"/>
    <mergeCell ref="J2:K3"/>
    <mergeCell ref="G4:H4"/>
    <mergeCell ref="J4: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Pivort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Rwn</dc:creator>
  <cp:lastModifiedBy>Rwn</cp:lastModifiedBy>
  <dcterms:created xsi:type="dcterms:W3CDTF">2026-05-18T06:03:16Z</dcterms:created>
  <dcterms:modified xsi:type="dcterms:W3CDTF">2026-05-18T06:57:48Z</dcterms:modified>
</cp:coreProperties>
</file>